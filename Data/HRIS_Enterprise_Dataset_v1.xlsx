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a73b9cd098aeff/Documents/Business and personal branding and portafolio/Portafolio/HRIS_Implementation_Simulation_2026/"/>
    </mc:Choice>
  </mc:AlternateContent>
  <xr:revisionPtr revIDLastSave="250" documentId="8_{B9FABF6D-A31F-4375-8E3C-F2DD0747F5F7}" xr6:coauthVersionLast="47" xr6:coauthVersionMax="47" xr10:uidLastSave="{FC584530-3CF2-4C4F-BDA1-39FB5F7C10F3}"/>
  <bookViews>
    <workbookView xWindow="-110" yWindow="-110" windowWidth="19420" windowHeight="11500" firstSheet="5" activeTab="5" xr2:uid="{21285D58-6003-4EA5-BE2D-D39476D25F22}"/>
  </bookViews>
  <sheets>
    <sheet name="WORKFORCE CONTROL SNAPSHOT" sheetId="15" r:id="rId1"/>
    <sheet name="Workforce Structure" sheetId="7" r:id="rId2"/>
    <sheet name="Tenure Stability" sheetId="17" r:id="rId3"/>
    <sheet name="Early Tenure Risk by Division" sheetId="14" r:id="rId4"/>
    <sheet name="SPAN OF CONTROL" sheetId="12" r:id="rId5"/>
    <sheet name="Employee_Master" sheetId="1" r:id="rId6"/>
    <sheet name="Vacancy_Planning" sheetId="2" r:id="rId7"/>
    <sheet name="HRIS_Program" sheetId="3" r:id="rId8"/>
    <sheet name="Financials" sheetId="4" r:id="rId9"/>
  </sheets>
  <definedNames>
    <definedName name="_xlnm._FilterDatabase" localSheetId="5" hidden="1">Employee_Master!$A$1:$AB$1201</definedName>
    <definedName name="_xlcn.WorksheetConnection_Employee_MasterA1Z12011" hidden="1">Employee_Master!$A$1:$AB$1201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Employee_Master!$A$1:$Z$120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3" i="1" l="1"/>
  <c r="K257" i="1"/>
  <c r="P253" i="1"/>
  <c r="K247" i="1"/>
  <c r="K245" i="1"/>
  <c r="P243" i="1"/>
  <c r="K240" i="1"/>
  <c r="K39" i="1"/>
  <c r="K12" i="1"/>
  <c r="P10" i="1"/>
  <c r="K6" i="1"/>
  <c r="H465" i="1"/>
  <c r="K465" i="1" s="1"/>
  <c r="K91" i="1"/>
  <c r="P4" i="1"/>
  <c r="K83" i="1"/>
  <c r="K103" i="1"/>
  <c r="K566" i="1"/>
  <c r="K563" i="1"/>
  <c r="K541" i="1"/>
  <c r="K530" i="1"/>
  <c r="K520" i="1"/>
  <c r="K501" i="1"/>
  <c r="K490" i="1"/>
  <c r="K478" i="1"/>
  <c r="K475" i="1"/>
  <c r="K474" i="1"/>
  <c r="K459" i="1"/>
  <c r="K457" i="1"/>
  <c r="K445" i="1"/>
  <c r="P217" i="1"/>
  <c r="P563" i="1"/>
  <c r="P541" i="1"/>
  <c r="P530" i="1"/>
  <c r="P490" i="1"/>
  <c r="Q490" i="1" s="1"/>
  <c r="P459" i="1"/>
  <c r="P445" i="1"/>
  <c r="P237" i="1"/>
  <c r="P234" i="1"/>
  <c r="K228" i="1"/>
  <c r="P221" i="1"/>
  <c r="P220" i="1"/>
  <c r="K203" i="1"/>
  <c r="K198" i="1"/>
  <c r="K191" i="1"/>
  <c r="K3" i="1"/>
  <c r="K5" i="1"/>
  <c r="K7" i="1"/>
  <c r="K8" i="1"/>
  <c r="K9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4" i="1"/>
  <c r="K85" i="1"/>
  <c r="K86" i="1"/>
  <c r="K87" i="1"/>
  <c r="K88" i="1"/>
  <c r="K89" i="1"/>
  <c r="K90" i="1"/>
  <c r="K92" i="1"/>
  <c r="K93" i="1"/>
  <c r="K94" i="1"/>
  <c r="K95" i="1"/>
  <c r="K96" i="1"/>
  <c r="K97" i="1"/>
  <c r="K98" i="1"/>
  <c r="K99" i="1"/>
  <c r="K100" i="1"/>
  <c r="K101" i="1"/>
  <c r="K102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2" i="1"/>
  <c r="K193" i="1"/>
  <c r="K194" i="1"/>
  <c r="K195" i="1"/>
  <c r="K196" i="1"/>
  <c r="K197" i="1"/>
  <c r="K199" i="1"/>
  <c r="K200" i="1"/>
  <c r="K201" i="1"/>
  <c r="K202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8" i="1"/>
  <c r="K219" i="1"/>
  <c r="K222" i="1"/>
  <c r="K223" i="1"/>
  <c r="K224" i="1"/>
  <c r="K225" i="1"/>
  <c r="K226" i="1"/>
  <c r="K227" i="1"/>
  <c r="K229" i="1"/>
  <c r="K230" i="1"/>
  <c r="K231" i="1"/>
  <c r="K232" i="1"/>
  <c r="K233" i="1"/>
  <c r="K235" i="1"/>
  <c r="K236" i="1"/>
  <c r="K238" i="1"/>
  <c r="K239" i="1"/>
  <c r="K241" i="1"/>
  <c r="K242" i="1"/>
  <c r="K244" i="1"/>
  <c r="K246" i="1"/>
  <c r="K248" i="1"/>
  <c r="K249" i="1"/>
  <c r="K250" i="1"/>
  <c r="K251" i="1"/>
  <c r="K252" i="1"/>
  <c r="K254" i="1"/>
  <c r="K255" i="1"/>
  <c r="K256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6" i="1"/>
  <c r="K447" i="1"/>
  <c r="K448" i="1"/>
  <c r="K449" i="1"/>
  <c r="K450" i="1"/>
  <c r="K451" i="1"/>
  <c r="K452" i="1"/>
  <c r="K453" i="1"/>
  <c r="K454" i="1"/>
  <c r="K455" i="1"/>
  <c r="K456" i="1"/>
  <c r="K458" i="1"/>
  <c r="K460" i="1"/>
  <c r="K461" i="1"/>
  <c r="K462" i="1"/>
  <c r="K463" i="1"/>
  <c r="K464" i="1"/>
  <c r="K466" i="1"/>
  <c r="K467" i="1"/>
  <c r="K468" i="1"/>
  <c r="K469" i="1"/>
  <c r="K470" i="1"/>
  <c r="K471" i="1"/>
  <c r="K472" i="1"/>
  <c r="K473" i="1"/>
  <c r="K476" i="1"/>
  <c r="K477" i="1"/>
  <c r="K479" i="1"/>
  <c r="K480" i="1"/>
  <c r="K481" i="1"/>
  <c r="K482" i="1"/>
  <c r="K483" i="1"/>
  <c r="K484" i="1"/>
  <c r="K485" i="1"/>
  <c r="K486" i="1"/>
  <c r="K487" i="1"/>
  <c r="K488" i="1"/>
  <c r="K489" i="1"/>
  <c r="K491" i="1"/>
  <c r="K492" i="1"/>
  <c r="K493" i="1"/>
  <c r="K494" i="1"/>
  <c r="K495" i="1"/>
  <c r="K496" i="1"/>
  <c r="K497" i="1"/>
  <c r="K498" i="1"/>
  <c r="K499" i="1"/>
  <c r="K500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1" i="1"/>
  <c r="K522" i="1"/>
  <c r="K523" i="1"/>
  <c r="K524" i="1"/>
  <c r="K525" i="1"/>
  <c r="K526" i="1"/>
  <c r="K527" i="1"/>
  <c r="K528" i="1"/>
  <c r="K529" i="1"/>
  <c r="K531" i="1"/>
  <c r="K532" i="1"/>
  <c r="K533" i="1"/>
  <c r="K534" i="1"/>
  <c r="K535" i="1"/>
  <c r="K536" i="1"/>
  <c r="K537" i="1"/>
  <c r="K538" i="1"/>
  <c r="K539" i="1"/>
  <c r="K540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4" i="1"/>
  <c r="K565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2" i="1"/>
  <c r="C2" i="3"/>
  <c r="C3" i="2" a="1"/>
  <c r="C3" i="2"/>
  <c r="C4" i="2" a="1"/>
  <c r="C4" i="2" s="1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C11" i="2" a="1"/>
  <c r="C11" i="2"/>
  <c r="C12" i="2" a="1"/>
  <c r="C12" i="2"/>
  <c r="C13" i="2" a="1"/>
  <c r="C13" i="2"/>
  <c r="C14" i="2" a="1"/>
  <c r="C14" i="2"/>
  <c r="C15" i="2" a="1"/>
  <c r="C15" i="2"/>
  <c r="C16" i="2" a="1"/>
  <c r="C16" i="2"/>
  <c r="C17" i="2" a="1"/>
  <c r="C17" i="2"/>
  <c r="C18" i="2" a="1"/>
  <c r="C18" i="2"/>
  <c r="C19" i="2" a="1"/>
  <c r="C19" i="2"/>
  <c r="C20" i="2" a="1"/>
  <c r="C20" i="2"/>
  <c r="C21" i="2" a="1"/>
  <c r="C21" i="2"/>
  <c r="C22" i="2" a="1"/>
  <c r="C22" i="2"/>
  <c r="C23" i="2" a="1"/>
  <c r="C23" i="2"/>
  <c r="C24" i="2" a="1"/>
  <c r="C24" i="2"/>
  <c r="C25" i="2" a="1"/>
  <c r="C25" i="2"/>
  <c r="C26" i="2" a="1"/>
  <c r="C26" i="2"/>
  <c r="C27" i="2" a="1"/>
  <c r="C27" i="2"/>
  <c r="C28" i="2" a="1"/>
  <c r="C28" i="2"/>
  <c r="C29" i="2" a="1"/>
  <c r="C29" i="2"/>
  <c r="C30" i="2" a="1"/>
  <c r="C30" i="2"/>
  <c r="C31" i="2" a="1"/>
  <c r="C31" i="2"/>
  <c r="C32" i="2" a="1"/>
  <c r="C32" i="2"/>
  <c r="C33" i="2" a="1"/>
  <c r="C33" i="2"/>
  <c r="C34" i="2" a="1"/>
  <c r="C34" i="2"/>
  <c r="C35" i="2" a="1"/>
  <c r="C35" i="2"/>
  <c r="C36" i="2" a="1"/>
  <c r="C36" i="2"/>
  <c r="C37" i="2" a="1"/>
  <c r="C37" i="2"/>
  <c r="C38" i="2" a="1"/>
  <c r="C38" i="2"/>
  <c r="C39" i="2" a="1"/>
  <c r="C39" i="2"/>
  <c r="C40" i="2" a="1"/>
  <c r="C40" i="2"/>
  <c r="C41" i="2" a="1"/>
  <c r="C41" i="2"/>
  <c r="C42" i="2" a="1"/>
  <c r="C42" i="2"/>
  <c r="C43" i="2" a="1"/>
  <c r="C43" i="2"/>
  <c r="C44" i="2" a="1"/>
  <c r="C44" i="2"/>
  <c r="C45" i="2" a="1"/>
  <c r="C45" i="2"/>
  <c r="C46" i="2" a="1"/>
  <c r="C46" i="2"/>
  <c r="C47" i="2" a="1"/>
  <c r="C47" i="2"/>
  <c r="C48" i="2" a="1"/>
  <c r="C48" i="2"/>
  <c r="C49" i="2" a="1"/>
  <c r="C49" i="2"/>
  <c r="C50" i="2" a="1"/>
  <c r="C50" i="2"/>
  <c r="C51" i="2" a="1"/>
  <c r="C51" i="2"/>
  <c r="C52" i="2" a="1"/>
  <c r="C52" i="2"/>
  <c r="C53" i="2" a="1"/>
  <c r="C53" i="2"/>
  <c r="C54" i="2" a="1"/>
  <c r="C54" i="2"/>
  <c r="C55" i="2" a="1"/>
  <c r="C55" i="2"/>
  <c r="C56" i="2" a="1"/>
  <c r="C56" i="2"/>
  <c r="C57" i="2" a="1"/>
  <c r="C57" i="2"/>
  <c r="C58" i="2" a="1"/>
  <c r="C58" i="2"/>
  <c r="C59" i="2" a="1"/>
  <c r="C59" i="2"/>
  <c r="C60" i="2" a="1"/>
  <c r="C60" i="2"/>
  <c r="C61" i="2" a="1"/>
  <c r="C61" i="2"/>
  <c r="C62" i="2" a="1"/>
  <c r="C62" i="2"/>
  <c r="C63" i="2" a="1"/>
  <c r="C63" i="2"/>
  <c r="C64" i="2" a="1"/>
  <c r="C64" i="2"/>
  <c r="C65" i="2" a="1"/>
  <c r="C65" i="2"/>
  <c r="C66" i="2" a="1"/>
  <c r="C66" i="2"/>
  <c r="C67" i="2" a="1"/>
  <c r="C67" i="2"/>
  <c r="C68" i="2" a="1"/>
  <c r="C68" i="2"/>
  <c r="C69" i="2" a="1"/>
  <c r="C69" i="2"/>
  <c r="C70" i="2" a="1"/>
  <c r="C70" i="2"/>
  <c r="C71" i="2" a="1"/>
  <c r="C71" i="2"/>
  <c r="C72" i="2" a="1"/>
  <c r="C72" i="2"/>
  <c r="C73" i="2" a="1"/>
  <c r="C73" i="2"/>
  <c r="C74" i="2" a="1"/>
  <c r="C74" i="2"/>
  <c r="C75" i="2" a="1"/>
  <c r="C75" i="2"/>
  <c r="C76" i="2" a="1"/>
  <c r="C76" i="2"/>
  <c r="C77" i="2" a="1"/>
  <c r="C77" i="2"/>
  <c r="C78" i="2" a="1"/>
  <c r="C78" i="2"/>
  <c r="C79" i="2" a="1"/>
  <c r="C79" i="2"/>
  <c r="C80" i="2" a="1"/>
  <c r="C80" i="2"/>
  <c r="C81" i="2" a="1"/>
  <c r="C81" i="2"/>
  <c r="C2" i="2" a="1"/>
  <c r="C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2" i="2"/>
  <c r="P598" i="1"/>
  <c r="P1025" i="1"/>
  <c r="Q1025" i="1" s="1"/>
  <c r="P770" i="1"/>
  <c r="Q770" i="1" s="1"/>
  <c r="P848" i="1"/>
  <c r="Q848" i="1" s="1"/>
  <c r="P205" i="1"/>
  <c r="P580" i="1"/>
  <c r="P850" i="1"/>
  <c r="Q850" i="1" s="1"/>
  <c r="P1146" i="1"/>
  <c r="P988" i="1"/>
  <c r="P201" i="1"/>
  <c r="P159" i="1"/>
  <c r="P839" i="1"/>
  <c r="P681" i="1"/>
  <c r="Q681" i="1" s="1"/>
  <c r="P933" i="1"/>
  <c r="Q933" i="1" s="1"/>
  <c r="P534" i="1"/>
  <c r="P312" i="1"/>
  <c r="P1110" i="1"/>
  <c r="P45" i="1"/>
  <c r="P262" i="1"/>
  <c r="P529" i="1"/>
  <c r="P152" i="1"/>
  <c r="Q152" i="1" s="1"/>
  <c r="P1186" i="1"/>
  <c r="Q1186" i="1" s="1"/>
  <c r="P804" i="1"/>
  <c r="Q804" i="1" s="1"/>
  <c r="P711" i="1"/>
  <c r="P626" i="1"/>
  <c r="Q626" i="1" s="1"/>
  <c r="P751" i="1"/>
  <c r="P386" i="1"/>
  <c r="P1007" i="1"/>
  <c r="P129" i="1"/>
  <c r="Q129" i="1" s="1"/>
  <c r="P606" i="1"/>
  <c r="P995" i="1"/>
  <c r="Q995" i="1" s="1"/>
  <c r="P698" i="1"/>
  <c r="P1119" i="1"/>
  <c r="P242" i="1"/>
  <c r="P144" i="1"/>
  <c r="Q144" i="1" s="1"/>
  <c r="P65" i="1"/>
  <c r="Q65" i="1" s="1"/>
  <c r="P550" i="1"/>
  <c r="P348" i="1"/>
  <c r="Q348" i="1" s="1"/>
  <c r="P1075" i="1"/>
  <c r="Q1075" i="1" s="1"/>
  <c r="P87" i="1"/>
  <c r="P401" i="1"/>
  <c r="P213" i="1"/>
  <c r="P215" i="1"/>
  <c r="P455" i="1"/>
  <c r="P443" i="1"/>
  <c r="P947" i="1"/>
  <c r="Q947" i="1" s="1"/>
  <c r="P977" i="1"/>
  <c r="Q977" i="1" s="1"/>
  <c r="P216" i="1"/>
  <c r="P597" i="1"/>
  <c r="P1174" i="1"/>
  <c r="Q1174" i="1" s="1"/>
  <c r="P153" i="1"/>
  <c r="P230" i="1"/>
  <c r="P525" i="1"/>
  <c r="P51" i="1"/>
  <c r="P951" i="1"/>
  <c r="P2" i="1"/>
  <c r="Q2" i="1" s="1"/>
  <c r="P293" i="1"/>
  <c r="P360" i="1"/>
  <c r="P13" i="1"/>
  <c r="P600" i="1"/>
  <c r="P1063" i="1"/>
  <c r="P1031" i="1"/>
  <c r="P1114" i="1"/>
  <c r="P281" i="1"/>
  <c r="P428" i="1"/>
  <c r="P879" i="1"/>
  <c r="P1201" i="1"/>
  <c r="Q1201" i="1" s="1"/>
  <c r="P1017" i="1"/>
  <c r="Q1017" i="1" s="1"/>
  <c r="P353" i="1"/>
  <c r="P771" i="1"/>
  <c r="Q771" i="1" s="1"/>
  <c r="P758" i="1"/>
  <c r="P539" i="1"/>
  <c r="P417" i="1"/>
  <c r="P345" i="1"/>
  <c r="P903" i="1"/>
  <c r="P7" i="1"/>
  <c r="P249" i="1"/>
  <c r="P853" i="1"/>
  <c r="P605" i="1"/>
  <c r="P1026" i="1"/>
  <c r="Q1026" i="1" s="1"/>
  <c r="P895" i="1"/>
  <c r="P1016" i="1"/>
  <c r="P712" i="1"/>
  <c r="P171" i="1"/>
  <c r="P602" i="1"/>
  <c r="P674" i="1"/>
  <c r="Q674" i="1" s="1"/>
  <c r="P1044" i="1"/>
  <c r="P96" i="1"/>
  <c r="P516" i="1"/>
  <c r="P584" i="1"/>
  <c r="P439" i="1"/>
  <c r="P810" i="1"/>
  <c r="P623" i="1"/>
  <c r="P291" i="1"/>
  <c r="Q291" i="1" s="1"/>
  <c r="P181" i="1"/>
  <c r="P39" i="1"/>
  <c r="P1137" i="1"/>
  <c r="Q1137" i="1" s="1"/>
  <c r="P1004" i="1"/>
  <c r="P592" i="1"/>
  <c r="P1090" i="1"/>
  <c r="Q1090" i="1" s="1"/>
  <c r="P724" i="1"/>
  <c r="P196" i="1"/>
  <c r="P1045" i="1"/>
  <c r="P95" i="1"/>
  <c r="P259" i="1"/>
  <c r="P67" i="1"/>
  <c r="P535" i="1"/>
  <c r="P117" i="1"/>
  <c r="P1001" i="1"/>
  <c r="Q1001" i="1" s="1"/>
  <c r="P564" i="1"/>
  <c r="P1010" i="1"/>
  <c r="P607" i="1"/>
  <c r="P18" i="1"/>
  <c r="P612" i="1"/>
  <c r="P1038" i="1"/>
  <c r="P618" i="1"/>
  <c r="P1027" i="1"/>
  <c r="Q1027" i="1" s="1"/>
  <c r="P1123" i="1"/>
  <c r="Q1123" i="1" s="1"/>
  <c r="P963" i="1"/>
  <c r="P1171" i="1"/>
  <c r="Q1171" i="1" s="1"/>
  <c r="P641" i="1"/>
  <c r="Q641" i="1" s="1"/>
  <c r="P1065" i="1"/>
  <c r="Q1065" i="1" s="1"/>
  <c r="P347" i="1"/>
  <c r="Q347" i="1" s="1"/>
  <c r="P648" i="1"/>
  <c r="Q648" i="1" s="1"/>
  <c r="P983" i="1"/>
  <c r="P891" i="1"/>
  <c r="P880" i="1"/>
  <c r="P100" i="1"/>
  <c r="P765" i="1"/>
  <c r="P145" i="1"/>
  <c r="Q145" i="1" s="1"/>
  <c r="P1199" i="1"/>
  <c r="Q1199" i="1" s="1"/>
  <c r="P370" i="1"/>
  <c r="Q370" i="1" s="1"/>
  <c r="P971" i="1"/>
  <c r="Q971" i="1" s="1"/>
  <c r="P374" i="1"/>
  <c r="P123" i="1"/>
  <c r="P378" i="1"/>
  <c r="P514" i="1"/>
  <c r="Q514" i="1" s="1"/>
  <c r="P429" i="1"/>
  <c r="P395" i="1"/>
  <c r="Q395" i="1" s="1"/>
  <c r="P789" i="1"/>
  <c r="P821" i="1"/>
  <c r="P583" i="1"/>
  <c r="P551" i="1"/>
  <c r="P105" i="1"/>
  <c r="Q105" i="1" s="1"/>
  <c r="P424" i="1"/>
  <c r="P451" i="1"/>
  <c r="Q451" i="1" s="1"/>
  <c r="P815" i="1"/>
  <c r="P1078" i="1"/>
  <c r="P131" i="1"/>
  <c r="P207" i="1"/>
  <c r="P411" i="1"/>
  <c r="Q411" i="1" s="1"/>
  <c r="P721" i="1"/>
  <c r="P517" i="1"/>
  <c r="P657" i="1"/>
  <c r="P990" i="1"/>
  <c r="P177" i="1"/>
  <c r="P858" i="1"/>
  <c r="Q858" i="1" s="1"/>
  <c r="P473" i="1"/>
  <c r="Q473" i="1" s="1"/>
  <c r="P464" i="1"/>
  <c r="P138" i="1"/>
  <c r="P471" i="1"/>
  <c r="P1054" i="1"/>
  <c r="P1109" i="1"/>
  <c r="Q1109" i="1" s="1"/>
  <c r="P818" i="1"/>
  <c r="Q818" i="1" s="1"/>
  <c r="P875" i="1"/>
  <c r="P38" i="1"/>
  <c r="P69" i="1"/>
  <c r="P255" i="1"/>
  <c r="P380" i="1"/>
  <c r="P157" i="1"/>
  <c r="P659" i="1"/>
  <c r="Q659" i="1" s="1"/>
  <c r="P957" i="1"/>
  <c r="Q957" i="1" s="1"/>
  <c r="P479" i="1"/>
  <c r="P842" i="1"/>
  <c r="P367" i="1"/>
  <c r="P497" i="1"/>
  <c r="Q497" i="1" s="1"/>
  <c r="P611" i="1"/>
  <c r="P1164" i="1"/>
  <c r="Q1164" i="1" s="1"/>
  <c r="P286" i="1"/>
  <c r="P553" i="1"/>
  <c r="Q553" i="1" s="1"/>
  <c r="P813" i="1"/>
  <c r="P704" i="1"/>
  <c r="Q704" i="1" s="1"/>
  <c r="P187" i="1"/>
  <c r="P426" i="1"/>
  <c r="P781" i="1"/>
  <c r="P60" i="1"/>
  <c r="P1091" i="1"/>
  <c r="Q1091" i="1" s="1"/>
  <c r="P914" i="1"/>
  <c r="Q914" i="1" s="1"/>
  <c r="P377" i="1"/>
  <c r="P766" i="1"/>
  <c r="P440" i="1"/>
  <c r="P88" i="1"/>
  <c r="Q88" i="1" s="1"/>
  <c r="P1113" i="1"/>
  <c r="Q1113" i="1" s="1"/>
  <c r="P677" i="1"/>
  <c r="P175" i="1"/>
  <c r="P638" i="1"/>
  <c r="P1053" i="1"/>
  <c r="P200" i="1"/>
  <c r="P780" i="1"/>
  <c r="Q780" i="1" s="1"/>
  <c r="P414" i="1"/>
  <c r="P856" i="1"/>
  <c r="Q856" i="1" s="1"/>
  <c r="P1178" i="1"/>
  <c r="Q1178" i="1" s="1"/>
  <c r="P1126" i="1"/>
  <c r="P387" i="1"/>
  <c r="Q387" i="1" s="1"/>
  <c r="P817" i="1"/>
  <c r="P1184" i="1"/>
  <c r="P538" i="1"/>
  <c r="Q538" i="1" s="1"/>
  <c r="P1020" i="1"/>
  <c r="Q1020" i="1" s="1"/>
  <c r="P1097" i="1"/>
  <c r="Q1097" i="1" s="1"/>
  <c r="P1148" i="1"/>
  <c r="Q1148" i="1" s="1"/>
  <c r="P649" i="1"/>
  <c r="P854" i="1"/>
  <c r="P384" i="1"/>
  <c r="P883" i="1"/>
  <c r="P791" i="1"/>
  <c r="P188" i="1"/>
  <c r="Q188" i="1" s="1"/>
  <c r="P940" i="1"/>
  <c r="P141" i="1"/>
  <c r="P1175" i="1"/>
  <c r="P482" i="1"/>
  <c r="P886" i="1"/>
  <c r="P1172" i="1"/>
  <c r="Q1172" i="1" s="1"/>
  <c r="P1089" i="1"/>
  <c r="Q1089" i="1" s="1"/>
  <c r="P132" i="1"/>
  <c r="P114" i="1"/>
  <c r="P502" i="1"/>
  <c r="P1002" i="1"/>
  <c r="Q1002" i="1" s="1"/>
  <c r="P362" i="1"/>
  <c r="P920" i="1"/>
  <c r="P78" i="1"/>
  <c r="P720" i="1"/>
  <c r="Q720" i="1" s="1"/>
  <c r="P705" i="1"/>
  <c r="Q705" i="1" s="1"/>
  <c r="P442" i="1"/>
  <c r="P486" i="1"/>
  <c r="P824" i="1"/>
  <c r="Q824" i="1" s="1"/>
  <c r="P185" i="1"/>
  <c r="P528" i="1"/>
  <c r="P521" i="1"/>
  <c r="P1115" i="1"/>
  <c r="Q1115" i="1" s="1"/>
  <c r="P893" i="1"/>
  <c r="P569" i="1"/>
  <c r="P1056" i="1"/>
  <c r="P1179" i="1"/>
  <c r="Q1179" i="1" s="1"/>
  <c r="P433" i="1"/>
  <c r="Q433" i="1" s="1"/>
  <c r="P321" i="1"/>
  <c r="P526" i="1"/>
  <c r="P399" i="1"/>
  <c r="P725" i="1"/>
  <c r="P729" i="1"/>
  <c r="Q729" i="1" s="1"/>
  <c r="P432" i="1"/>
  <c r="P785" i="1"/>
  <c r="P537" i="1"/>
  <c r="Q537" i="1" s="1"/>
  <c r="P863" i="1"/>
  <c r="P513" i="1"/>
  <c r="Q513" i="1" s="1"/>
  <c r="P481" i="1"/>
  <c r="P1190" i="1"/>
  <c r="Q1190" i="1" s="1"/>
  <c r="P906" i="1"/>
  <c r="P793" i="1"/>
  <c r="Q793" i="1" s="1"/>
  <c r="P1181" i="1"/>
  <c r="Q1181" i="1" s="1"/>
  <c r="P997" i="1"/>
  <c r="Q997" i="1" s="1"/>
  <c r="P735" i="1"/>
  <c r="P932" i="1"/>
  <c r="P910" i="1"/>
  <c r="Q910" i="1" s="1"/>
  <c r="P74" i="1"/>
  <c r="P336" i="1"/>
  <c r="P1021" i="1"/>
  <c r="Q1021" i="1" s="1"/>
  <c r="P484" i="1"/>
  <c r="P1024" i="1"/>
  <c r="P302" i="1"/>
  <c r="P646" i="1"/>
  <c r="P927" i="1"/>
  <c r="P499" i="1"/>
  <c r="P17" i="1"/>
  <c r="P494" i="1"/>
  <c r="P603" i="1"/>
  <c r="P363" i="1"/>
  <c r="P960" i="1"/>
  <c r="P444" i="1"/>
  <c r="P122" i="1"/>
  <c r="P480" i="1"/>
  <c r="P970" i="1"/>
  <c r="Q970" i="1" s="1"/>
  <c r="P749" i="1"/>
  <c r="P836" i="1"/>
  <c r="P846" i="1"/>
  <c r="Q846" i="1" s="1"/>
  <c r="P1051" i="1"/>
  <c r="Q1051" i="1" s="1"/>
  <c r="P1133" i="1"/>
  <c r="Q1133" i="1" s="1"/>
  <c r="P823" i="1"/>
  <c r="P124" i="1"/>
  <c r="Q124" i="1" s="1"/>
  <c r="P91" i="1"/>
  <c r="P469" i="1"/>
  <c r="P1068" i="1"/>
  <c r="Q1068" i="1" s="1"/>
  <c r="P1187" i="1"/>
  <c r="Q1187" i="1" s="1"/>
  <c r="P172" i="1"/>
  <c r="P313" i="1"/>
  <c r="P396" i="1"/>
  <c r="P524" i="1"/>
  <c r="P148" i="1"/>
  <c r="P315" i="1"/>
  <c r="P986" i="1"/>
  <c r="Q986" i="1" s="1"/>
  <c r="P66" i="1"/>
  <c r="Q66" i="1" s="1"/>
  <c r="P661" i="1"/>
  <c r="Q661" i="1" s="1"/>
  <c r="P1116" i="1"/>
  <c r="Q1116" i="1" s="1"/>
  <c r="P833" i="1"/>
  <c r="P950" i="1"/>
  <c r="P391" i="1"/>
  <c r="P734" i="1"/>
  <c r="P71" i="1"/>
  <c r="P838" i="1"/>
  <c r="P998" i="1"/>
  <c r="P381" i="1"/>
  <c r="P1167" i="1"/>
  <c r="P1107" i="1"/>
  <c r="Q1107" i="1" s="1"/>
  <c r="P519" i="1"/>
  <c r="P1094" i="1"/>
  <c r="P98" i="1"/>
  <c r="P955" i="1"/>
  <c r="Q955" i="1" s="1"/>
  <c r="P5" i="1"/>
  <c r="P154" i="1"/>
  <c r="P393" i="1"/>
  <c r="P47" i="1"/>
  <c r="P807" i="1"/>
  <c r="P1136" i="1"/>
  <c r="P431" i="1"/>
  <c r="P919" i="1"/>
  <c r="P73" i="1"/>
  <c r="P29" i="1"/>
  <c r="P284" i="1"/>
  <c r="Q284" i="1" s="1"/>
  <c r="P1150" i="1"/>
  <c r="P859" i="1"/>
  <c r="P277" i="1"/>
  <c r="P772" i="1"/>
  <c r="Q772" i="1" s="1"/>
  <c r="P980" i="1"/>
  <c r="P1022" i="1"/>
  <c r="P454" i="1"/>
  <c r="P340" i="1"/>
  <c r="P654" i="1"/>
  <c r="P750" i="1"/>
  <c r="P403" i="1"/>
  <c r="P884" i="1"/>
  <c r="P979" i="1"/>
  <c r="Q979" i="1" s="1"/>
  <c r="P915" i="1"/>
  <c r="P800" i="1"/>
  <c r="P86" i="1"/>
  <c r="P546" i="1"/>
  <c r="P244" i="1"/>
  <c r="P543" i="1"/>
  <c r="P614" i="1"/>
  <c r="P120" i="1"/>
  <c r="P577" i="1"/>
  <c r="Q577" i="1" s="1"/>
  <c r="P125" i="1"/>
  <c r="P1076" i="1"/>
  <c r="Q1076" i="1" s="1"/>
  <c r="P34" i="1"/>
  <c r="P394" i="1"/>
  <c r="Q394" i="1" s="1"/>
  <c r="P319" i="1"/>
  <c r="P467" i="1"/>
  <c r="P296" i="1"/>
  <c r="P934" i="1"/>
  <c r="P133" i="1"/>
  <c r="P493" i="1"/>
  <c r="P508" i="1"/>
  <c r="P506" i="1"/>
  <c r="P1061" i="1"/>
  <c r="Q1061" i="1" s="1"/>
  <c r="P726" i="1"/>
  <c r="P964" i="1"/>
  <c r="P868" i="1"/>
  <c r="Q868" i="1" s="1"/>
  <c r="P1166" i="1"/>
  <c r="Q1166" i="1" s="1"/>
  <c r="P146" i="1"/>
  <c r="P404" i="1"/>
  <c r="P937" i="1"/>
  <c r="P1194" i="1"/>
  <c r="Q1194" i="1" s="1"/>
  <c r="P594" i="1"/>
  <c r="Q594" i="1" s="1"/>
  <c r="P19" i="1"/>
  <c r="P56" i="1"/>
  <c r="P740" i="1"/>
  <c r="Q740" i="1" s="1"/>
  <c r="P989" i="1"/>
  <c r="Q989" i="1" s="1"/>
  <c r="P495" i="1"/>
  <c r="P183" i="1"/>
  <c r="P352" i="1"/>
  <c r="P1131" i="1"/>
  <c r="Q1131" i="1" s="1"/>
  <c r="P505" i="1"/>
  <c r="P189" i="1"/>
  <c r="P624" i="1"/>
  <c r="P576" i="1"/>
  <c r="Q576" i="1" s="1"/>
  <c r="P973" i="1"/>
  <c r="P496" i="1"/>
  <c r="P487" i="1"/>
  <c r="P16" i="1"/>
  <c r="P337" i="1"/>
  <c r="P820" i="1"/>
  <c r="P204" i="1"/>
  <c r="Q204" i="1" s="1"/>
  <c r="P924" i="1"/>
  <c r="Q924" i="1" s="1"/>
  <c r="P728" i="1"/>
  <c r="P179" i="1"/>
  <c r="P1062" i="1"/>
  <c r="P658" i="1"/>
  <c r="P318" i="1"/>
  <c r="P784" i="1"/>
  <c r="Q784" i="1" s="1"/>
  <c r="P667" i="1"/>
  <c r="P849" i="1"/>
  <c r="P1129" i="1"/>
  <c r="P264" i="1"/>
  <c r="P913" i="1"/>
  <c r="P52" i="1"/>
  <c r="P695" i="1"/>
  <c r="P697" i="1"/>
  <c r="Q697" i="1" s="1"/>
  <c r="P92" i="1"/>
  <c r="P1185" i="1"/>
  <c r="Q1185" i="1" s="1"/>
  <c r="P867" i="1"/>
  <c r="P192" i="1"/>
  <c r="P354" i="1"/>
  <c r="P713" i="1"/>
  <c r="P358" i="1"/>
  <c r="P90" i="1"/>
  <c r="P527" i="1"/>
  <c r="P273" i="1"/>
  <c r="P753" i="1"/>
  <c r="P383" i="1"/>
  <c r="P447" i="1"/>
  <c r="P907" i="1"/>
  <c r="P150" i="1"/>
  <c r="P668" i="1"/>
  <c r="P343" i="1"/>
  <c r="P43" i="1"/>
  <c r="P511" i="1"/>
  <c r="P699" i="1"/>
  <c r="P1033" i="1"/>
  <c r="Q1033" i="1" s="1"/>
  <c r="P1103" i="1"/>
  <c r="P421" i="1"/>
  <c r="P930" i="1"/>
  <c r="Q930" i="1" s="1"/>
  <c r="P294" i="1"/>
  <c r="P761" i="1"/>
  <c r="Q761" i="1" s="1"/>
  <c r="P510" i="1"/>
  <c r="P554" i="1"/>
  <c r="Q554" i="1" s="1"/>
  <c r="P822" i="1"/>
  <c r="P587" i="1"/>
  <c r="P398" i="1"/>
  <c r="P889" i="1"/>
  <c r="Q889" i="1" s="1"/>
  <c r="P843" i="1"/>
  <c r="P1180" i="1"/>
  <c r="Q1180" i="1" s="1"/>
  <c r="P714" i="1"/>
  <c r="P295" i="1"/>
  <c r="P763" i="1"/>
  <c r="P121" i="1"/>
  <c r="P1104" i="1"/>
  <c r="P435" i="1"/>
  <c r="Q435" i="1" s="1"/>
  <c r="P922" i="1"/>
  <c r="Q922" i="1" s="1"/>
  <c r="P870" i="1"/>
  <c r="P342" i="1"/>
  <c r="P1046" i="1"/>
  <c r="P1135" i="1"/>
  <c r="P694" i="1"/>
  <c r="P31" i="1"/>
  <c r="P866" i="1"/>
  <c r="Q866" i="1" s="1"/>
  <c r="P24" i="1"/>
  <c r="Q24" i="1" s="1"/>
  <c r="P819" i="1"/>
  <c r="P507" i="1"/>
  <c r="P788" i="1"/>
  <c r="P139" i="1"/>
  <c r="P236" i="1"/>
  <c r="P1177" i="1"/>
  <c r="Q1177" i="1" s="1"/>
  <c r="P32" i="1"/>
  <c r="P101" i="1"/>
  <c r="P617" i="1"/>
  <c r="P754" i="1"/>
  <c r="P687" i="1"/>
  <c r="P355" i="1"/>
  <c r="Q355" i="1" s="1"/>
  <c r="P270" i="1"/>
  <c r="P335" i="1"/>
  <c r="P912" i="1"/>
  <c r="Q912" i="1" s="1"/>
  <c r="P786" i="1"/>
  <c r="Q786" i="1" s="1"/>
  <c r="P167" i="1"/>
  <c r="P118" i="1"/>
  <c r="P719" i="1"/>
  <c r="P44" i="1"/>
  <c r="P84" i="1"/>
  <c r="P382" i="1"/>
  <c r="P361" i="1"/>
  <c r="P642" i="1"/>
  <c r="Q642" i="1" s="1"/>
  <c r="P748" i="1"/>
  <c r="P518" i="1"/>
  <c r="P290" i="1"/>
  <c r="P680" i="1"/>
  <c r="Q680" i="1" s="1"/>
  <c r="P231" i="1"/>
  <c r="P556" i="1"/>
  <c r="P332" i="1"/>
  <c r="Q332" i="1" s="1"/>
  <c r="P643" i="1"/>
  <c r="P830" i="1"/>
  <c r="P902" i="1"/>
  <c r="P317" i="1"/>
  <c r="P297" i="1"/>
  <c r="P143" i="1"/>
  <c r="P548" i="1"/>
  <c r="P83" i="1"/>
  <c r="P1125" i="1"/>
  <c r="P547" i="1"/>
  <c r="P847" i="1"/>
  <c r="P278" i="1"/>
  <c r="P832" i="1"/>
  <c r="P425" i="1"/>
  <c r="P334" i="1"/>
  <c r="P1139" i="1"/>
  <c r="P961" i="1"/>
  <c r="Q961" i="1" s="1"/>
  <c r="P799" i="1"/>
  <c r="P441" i="1"/>
  <c r="P169" i="1"/>
  <c r="Q169" i="1" s="1"/>
  <c r="P881" i="1"/>
  <c r="P498" i="1"/>
  <c r="Q498" i="1" s="1"/>
  <c r="P357" i="1"/>
  <c r="P269" i="1"/>
  <c r="P876" i="1"/>
  <c r="P939" i="1"/>
  <c r="Q939" i="1" s="1"/>
  <c r="P199" i="1"/>
  <c r="P504" i="1"/>
  <c r="P1006" i="1"/>
  <c r="P1198" i="1"/>
  <c r="Q1198" i="1" s="1"/>
  <c r="P23" i="1"/>
  <c r="P333" i="1"/>
  <c r="P709" i="1"/>
  <c r="P306" i="1"/>
  <c r="P635" i="1"/>
  <c r="P908" i="1"/>
  <c r="Q908" i="1" s="1"/>
  <c r="P666" i="1"/>
  <c r="P739" i="1"/>
  <c r="Q739" i="1" s="1"/>
  <c r="P468" i="1"/>
  <c r="P299" i="1"/>
  <c r="P596" i="1"/>
  <c r="P252" i="1"/>
  <c r="Q252" i="1" s="1"/>
  <c r="P555" i="1"/>
  <c r="P586" i="1"/>
  <c r="P111" i="1"/>
  <c r="P491" i="1"/>
  <c r="P137" i="1"/>
  <c r="P689" i="1"/>
  <c r="P574" i="1"/>
  <c r="P1112" i="1"/>
  <c r="P762" i="1"/>
  <c r="Q762" i="1" s="1"/>
  <c r="P327" i="1"/>
  <c r="P272" i="1"/>
  <c r="Q272" i="1" s="1"/>
  <c r="P708" i="1"/>
  <c r="Q708" i="1" s="1"/>
  <c r="P1005" i="1"/>
  <c r="P75" i="1"/>
  <c r="P283" i="1"/>
  <c r="P211" i="1"/>
  <c r="P693" i="1"/>
  <c r="P892" i="1"/>
  <c r="Q892" i="1" s="1"/>
  <c r="P279" i="1"/>
  <c r="P917" i="1"/>
  <c r="P460" i="1"/>
  <c r="P835" i="1"/>
  <c r="Q835" i="1" s="1"/>
  <c r="P1040" i="1"/>
  <c r="P250" i="1"/>
  <c r="P610" i="1"/>
  <c r="Q610" i="1" s="1"/>
  <c r="P232" i="1"/>
  <c r="Q232" i="1" s="1"/>
  <c r="P369" i="1"/>
  <c r="P300" i="1"/>
  <c r="P941" i="1"/>
  <c r="Q941" i="1" s="1"/>
  <c r="P116" i="1"/>
  <c r="P1120" i="1"/>
  <c r="P764" i="1"/>
  <c r="Q764" i="1" s="1"/>
  <c r="P1041" i="1"/>
  <c r="Q1041" i="1" s="1"/>
  <c r="P21" i="1"/>
  <c r="P745" i="1"/>
  <c r="P573" i="1"/>
  <c r="P453" i="1"/>
  <c r="P11" i="1"/>
  <c r="P905" i="1"/>
  <c r="P390" i="1"/>
  <c r="P1154" i="1"/>
  <c r="Q1154" i="1" s="1"/>
  <c r="P160" i="1"/>
  <c r="P931" i="1"/>
  <c r="P874" i="1"/>
  <c r="P415" i="1"/>
  <c r="P1155" i="1"/>
  <c r="Q1155" i="1" s="1"/>
  <c r="P1145" i="1"/>
  <c r="Q1145" i="1" s="1"/>
  <c r="P968" i="1"/>
  <c r="P57" i="1"/>
  <c r="P311" i="1"/>
  <c r="P20" i="1"/>
  <c r="P885" i="1"/>
  <c r="P452" i="1"/>
  <c r="P218" i="1"/>
  <c r="P1161" i="1"/>
  <c r="Q1161" i="1" s="1"/>
  <c r="P776" i="1"/>
  <c r="Q776" i="1" s="1"/>
  <c r="P956" i="1"/>
  <c r="P738" i="1"/>
  <c r="Q738" i="1" s="1"/>
  <c r="P63" i="1"/>
  <c r="P837" i="1"/>
  <c r="P54" i="1"/>
  <c r="P996" i="1"/>
  <c r="P639" i="1"/>
  <c r="P630" i="1"/>
  <c r="P673" i="1"/>
  <c r="P1192" i="1"/>
  <c r="P485" i="1"/>
  <c r="P969" i="1"/>
  <c r="P68" i="1"/>
  <c r="P894" i="1"/>
  <c r="P976" i="1"/>
  <c r="P890" i="1"/>
  <c r="Q890" i="1" s="1"/>
  <c r="P683" i="1"/>
  <c r="Q683" i="1" s="1"/>
  <c r="P212" i="1"/>
  <c r="P9" i="1"/>
  <c r="P690" i="1"/>
  <c r="Q690" i="1" s="1"/>
  <c r="P568" i="1"/>
  <c r="P70" i="1"/>
  <c r="P287" i="1"/>
  <c r="P82" i="1"/>
  <c r="P936" i="1"/>
  <c r="P567" i="1"/>
  <c r="P1106" i="1"/>
  <c r="P560" i="1"/>
  <c r="P1066" i="1"/>
  <c r="Q1066" i="1" s="1"/>
  <c r="P945" i="1"/>
  <c r="Q945" i="1" s="1"/>
  <c r="P540" i="1"/>
  <c r="P1049" i="1"/>
  <c r="Q1049" i="1" s="1"/>
  <c r="P871" i="1"/>
  <c r="P1011" i="1"/>
  <c r="Q1011" i="1" s="1"/>
  <c r="P1057" i="1"/>
  <c r="P1169" i="1"/>
  <c r="P1077" i="1"/>
  <c r="Q1077" i="1" s="1"/>
  <c r="P831" i="1"/>
  <c r="P147" i="1"/>
  <c r="P186" i="1"/>
  <c r="P557" i="1"/>
  <c r="P412" i="1"/>
  <c r="Q412" i="1" s="1"/>
  <c r="P251" i="1"/>
  <c r="P921" i="1"/>
  <c r="P420" i="1"/>
  <c r="P974" i="1"/>
  <c r="P42" i="1"/>
  <c r="Q42" i="1" s="1"/>
  <c r="P627" i="1"/>
  <c r="Q627" i="1" s="1"/>
  <c r="P25" i="1"/>
  <c r="Q25" i="1" s="1"/>
  <c r="P30" i="1"/>
  <c r="P972" i="1"/>
  <c r="P140" i="1"/>
  <c r="P1127" i="1"/>
  <c r="P246" i="1"/>
  <c r="P1043" i="1"/>
  <c r="Q1043" i="1" s="1"/>
  <c r="P942" i="1"/>
  <c r="P14" i="1"/>
  <c r="P448" i="1"/>
  <c r="P1153" i="1"/>
  <c r="P808" i="1"/>
  <c r="P702" i="1"/>
  <c r="P840" i="1"/>
  <c r="Q840" i="1" s="1"/>
  <c r="P328" i="1"/>
  <c r="P696" i="1"/>
  <c r="P716" i="1"/>
  <c r="Q716" i="1" s="1"/>
  <c r="P115" i="1"/>
  <c r="P248" i="1"/>
  <c r="P1039" i="1"/>
  <c r="P289" i="1"/>
  <c r="P656" i="1"/>
  <c r="P113" i="1"/>
  <c r="P219" i="1"/>
  <c r="P1074" i="1"/>
  <c r="Q1074" i="1" s="1"/>
  <c r="P1003" i="1"/>
  <c r="P77" i="1"/>
  <c r="P326" i="1"/>
  <c r="P1173" i="1"/>
  <c r="Q1173" i="1" s="1"/>
  <c r="P982" i="1"/>
  <c r="P585" i="1"/>
  <c r="P851" i="1"/>
  <c r="P916" i="1"/>
  <c r="P1158" i="1"/>
  <c r="P1100" i="1"/>
  <c r="P589" i="1"/>
  <c r="P161" i="1"/>
  <c r="P288" i="1"/>
  <c r="P929" i="1"/>
  <c r="Q929" i="1" s="1"/>
  <c r="P449" i="1"/>
  <c r="P755" i="1"/>
  <c r="P1048" i="1"/>
  <c r="P841" i="1"/>
  <c r="P1165" i="1"/>
  <c r="Q1165" i="1" s="1"/>
  <c r="P282" i="1"/>
  <c r="P356" i="1"/>
  <c r="P965" i="1"/>
  <c r="Q965" i="1" s="1"/>
  <c r="P33" i="1"/>
  <c r="P97" i="1"/>
  <c r="P999" i="1"/>
  <c r="P341" i="1"/>
  <c r="P500" i="1"/>
  <c r="P325" i="1"/>
  <c r="P954" i="1"/>
  <c r="Q954" i="1" s="1"/>
  <c r="P1156" i="1"/>
  <c r="Q1156" i="1" s="1"/>
  <c r="P422" i="1"/>
  <c r="P1084" i="1"/>
  <c r="P636" i="1"/>
  <c r="P229" i="1"/>
  <c r="P15" i="1"/>
  <c r="P684" i="1"/>
  <c r="P1142" i="1"/>
  <c r="P701" i="1"/>
  <c r="P26" i="1"/>
  <c r="Q26" i="1" s="1"/>
  <c r="P590" i="1"/>
  <c r="P877" i="1"/>
  <c r="P418" i="1"/>
  <c r="P110" i="1"/>
  <c r="P834" i="1"/>
  <c r="Q834" i="1" s="1"/>
  <c r="P869" i="1"/>
  <c r="P46" i="1"/>
  <c r="P106" i="1"/>
  <c r="Q106" i="1" s="1"/>
  <c r="P1191" i="1"/>
  <c r="Q1191" i="1" s="1"/>
  <c r="P864" i="1"/>
  <c r="P593" i="1"/>
  <c r="P22" i="1"/>
  <c r="P1059" i="1"/>
  <c r="Q1059" i="1" s="1"/>
  <c r="P35" i="1"/>
  <c r="P1058" i="1"/>
  <c r="Q1058" i="1" s="1"/>
  <c r="P331" i="1"/>
  <c r="Q331" i="1" s="1"/>
  <c r="P768" i="1"/>
  <c r="P1087" i="1"/>
  <c r="P752" i="1"/>
  <c r="Q752" i="1" s="1"/>
  <c r="P37" i="1"/>
  <c r="P446" i="1"/>
  <c r="P1183" i="1"/>
  <c r="Q1183" i="1" s="1"/>
  <c r="P6" i="1"/>
  <c r="P825" i="1"/>
  <c r="Q825" i="1" s="1"/>
  <c r="P1083" i="1"/>
  <c r="P816" i="1"/>
  <c r="P686" i="1"/>
  <c r="P59" i="1"/>
  <c r="P645" i="1"/>
  <c r="P365" i="1"/>
  <c r="P1060" i="1"/>
  <c r="Q1060" i="1" s="1"/>
  <c r="P588" i="1"/>
  <c r="Q588" i="1" s="1"/>
  <c r="P1055" i="1"/>
  <c r="P409" i="1"/>
  <c r="P271" i="1"/>
  <c r="P828" i="1"/>
  <c r="Q828" i="1" s="1"/>
  <c r="P767" i="1"/>
  <c r="P256" i="1"/>
  <c r="P637" i="1"/>
  <c r="P561" i="1"/>
  <c r="Q561" i="1" s="1"/>
  <c r="P628" i="1"/>
  <c r="P233" i="1"/>
  <c r="P168" i="1"/>
  <c r="Q168" i="1" s="1"/>
  <c r="P1122" i="1"/>
  <c r="Q1122" i="1" s="1"/>
  <c r="P178" i="1"/>
  <c r="P676" i="1"/>
  <c r="P128" i="1"/>
  <c r="P72" i="1"/>
  <c r="P533" i="1"/>
  <c r="P1067" i="1"/>
  <c r="Q1067" i="1" s="1"/>
  <c r="P782" i="1"/>
  <c r="Q782" i="1" s="1"/>
  <c r="P1013" i="1"/>
  <c r="Q1013" i="1" s="1"/>
  <c r="P802" i="1"/>
  <c r="Q802" i="1" s="1"/>
  <c r="P275" i="1"/>
  <c r="P722" i="1"/>
  <c r="P1088" i="1"/>
  <c r="P595" i="1"/>
  <c r="Q595" i="1" s="1"/>
  <c r="P27" i="1"/>
  <c r="P1151" i="1"/>
  <c r="P193" i="1"/>
  <c r="P1143" i="1"/>
  <c r="P372" i="1"/>
  <c r="P1069" i="1"/>
  <c r="Q1069" i="1" s="1"/>
  <c r="P872" i="1"/>
  <c r="Q872" i="1" s="1"/>
  <c r="P987" i="1"/>
  <c r="Q987" i="1" s="1"/>
  <c r="P260" i="1"/>
  <c r="P730" i="1"/>
  <c r="Q730" i="1" s="1"/>
  <c r="P28" i="1"/>
  <c r="P958" i="1"/>
  <c r="P991" i="1"/>
  <c r="P50" i="1"/>
  <c r="P466" i="1"/>
  <c r="P3" i="1"/>
  <c r="P64" i="1"/>
  <c r="Q64" i="1" s="1"/>
  <c r="P746" i="1"/>
  <c r="P1018" i="1"/>
  <c r="Q1018" i="1" s="1"/>
  <c r="P489" i="1"/>
  <c r="P274" i="1"/>
  <c r="P208" i="1"/>
  <c r="Q208" i="1" s="1"/>
  <c r="P1159" i="1"/>
  <c r="P423" i="1"/>
  <c r="P261" i="1"/>
  <c r="P882" i="1"/>
  <c r="Q882" i="1" s="1"/>
  <c r="P1032" i="1"/>
  <c r="P616" i="1"/>
  <c r="P93" i="1"/>
  <c r="P280" i="1"/>
  <c r="P202" i="1"/>
  <c r="P1189" i="1"/>
  <c r="Q1189" i="1" s="1"/>
  <c r="P304" i="1"/>
  <c r="P40" i="1"/>
  <c r="P888" i="1"/>
  <c r="Q888" i="1" s="1"/>
  <c r="P632" i="1"/>
  <c r="P1081" i="1"/>
  <c r="P1070" i="1"/>
  <c r="P715" i="1"/>
  <c r="Q715" i="1" s="1"/>
  <c r="P1188" i="1"/>
  <c r="Q1188" i="1" s="1"/>
  <c r="P857" i="1"/>
  <c r="Q857" i="1" s="1"/>
  <c r="P339" i="1"/>
  <c r="P860" i="1"/>
  <c r="Q860" i="1" s="1"/>
  <c r="P706" i="1"/>
  <c r="P923" i="1"/>
  <c r="P773" i="1"/>
  <c r="P102" i="1"/>
  <c r="P604" i="1"/>
  <c r="P700" i="1"/>
  <c r="P523" i="1"/>
  <c r="P413" i="1"/>
  <c r="P266" i="1"/>
  <c r="P591" i="1"/>
  <c r="P1118" i="1"/>
  <c r="P8" i="1"/>
  <c r="P741" i="1"/>
  <c r="P165" i="1"/>
  <c r="P669" i="1"/>
  <c r="P717" i="1"/>
  <c r="P959" i="1"/>
  <c r="P1012" i="1"/>
  <c r="P629" i="1"/>
  <c r="P258" i="1"/>
  <c r="P1047" i="1"/>
  <c r="P1086" i="1"/>
  <c r="P672" i="1"/>
  <c r="P650" i="1"/>
  <c r="P61" i="1"/>
  <c r="P829" i="1"/>
  <c r="P542" i="1"/>
  <c r="P943" i="1"/>
  <c r="P918" i="1"/>
  <c r="P210" i="1"/>
  <c r="P385" i="1"/>
  <c r="P861" i="1"/>
  <c r="P79" i="1"/>
  <c r="P796" i="1"/>
  <c r="P809" i="1"/>
  <c r="P130" i="1"/>
  <c r="P359" i="1"/>
  <c r="P685" i="1"/>
  <c r="P855" i="1"/>
  <c r="P731" i="1"/>
  <c r="P163" i="1"/>
  <c r="P1101" i="1"/>
  <c r="Q1101" i="1" s="1"/>
  <c r="P966" i="1"/>
  <c r="P615" i="1"/>
  <c r="P652" i="1"/>
  <c r="P475" i="1"/>
  <c r="Q475" i="1" s="1"/>
  <c r="P1095" i="1"/>
  <c r="P406" i="1"/>
  <c r="P509" i="1"/>
  <c r="P182" i="1"/>
  <c r="P173" i="1"/>
  <c r="P582" i="1"/>
  <c r="P151" i="1"/>
  <c r="P298" i="1"/>
  <c r="P904" i="1"/>
  <c r="P531" i="1"/>
  <c r="P549" i="1"/>
  <c r="P571" i="1"/>
  <c r="P640" i="1"/>
  <c r="P935" i="1"/>
  <c r="P142" i="1"/>
  <c r="P664" i="1"/>
  <c r="P224" i="1"/>
  <c r="P58" i="1"/>
  <c r="P430" i="1"/>
  <c r="P601" i="1"/>
  <c r="P993" i="1"/>
  <c r="Q993" i="1" s="1"/>
  <c r="P727" i="1"/>
  <c r="P944" i="1"/>
  <c r="P1096" i="1"/>
  <c r="P1036" i="1"/>
  <c r="P679" i="1"/>
  <c r="P671" i="1"/>
  <c r="P373" i="1"/>
  <c r="P223" i="1"/>
  <c r="P55" i="1"/>
  <c r="P176" i="1"/>
  <c r="P962" i="1"/>
  <c r="Q962" i="1" s="1"/>
  <c r="P240" i="1"/>
  <c r="P322" i="1"/>
  <c r="P578" i="1"/>
  <c r="P410" i="1"/>
  <c r="Q410" i="1" s="1"/>
  <c r="P1157" i="1"/>
  <c r="Q1157" i="1" s="1"/>
  <c r="P350" i="1"/>
  <c r="P647" i="1"/>
  <c r="P909" i="1"/>
  <c r="P975" i="1"/>
  <c r="P570" i="1"/>
  <c r="P599" i="1"/>
  <c r="P194" i="1"/>
  <c r="P364" i="1"/>
  <c r="P653" i="1"/>
  <c r="P1037" i="1"/>
  <c r="Q1037" i="1" s="1"/>
  <c r="P1093" i="1"/>
  <c r="Q1093" i="1" s="1"/>
  <c r="P967" i="1"/>
  <c r="P757" i="1"/>
  <c r="P801" i="1"/>
  <c r="P759" i="1"/>
  <c r="P1014" i="1"/>
  <c r="P108" i="1"/>
  <c r="P408" i="1"/>
  <c r="P678" i="1"/>
  <c r="P1132" i="1"/>
  <c r="P558" i="1"/>
  <c r="P1042" i="1"/>
  <c r="Q1042" i="1" s="1"/>
  <c r="P1108" i="1"/>
  <c r="Q1108" i="1" s="1"/>
  <c r="P267" i="1"/>
  <c r="Q267" i="1" s="1"/>
  <c r="P53" i="1"/>
  <c r="P254" i="1"/>
  <c r="P1085" i="1"/>
  <c r="Q1085" i="1" s="1"/>
  <c r="P174" i="1"/>
  <c r="P572" i="1"/>
  <c r="P777" i="1"/>
  <c r="P948" i="1"/>
  <c r="P625" i="1"/>
  <c r="P938" i="1"/>
  <c r="Q938" i="1" s="1"/>
  <c r="P238" i="1"/>
  <c r="P1128" i="1"/>
  <c r="P1019" i="1"/>
  <c r="P214" i="1"/>
  <c r="P476" i="1"/>
  <c r="P952" i="1"/>
  <c r="P512" i="1"/>
  <c r="P655" i="1"/>
  <c r="P926" i="1"/>
  <c r="P743" i="1"/>
  <c r="P1079" i="1"/>
  <c r="P670" i="1"/>
  <c r="P1034" i="1"/>
  <c r="Q1034" i="1" s="1"/>
  <c r="P769" i="1"/>
  <c r="P946" i="1"/>
  <c r="Q946" i="1" s="1"/>
  <c r="P559" i="1"/>
  <c r="P1117" i="1"/>
  <c r="Q1117" i="1" s="1"/>
  <c r="P811" i="1"/>
  <c r="P1140" i="1"/>
  <c r="P1071" i="1"/>
  <c r="P463" i="1"/>
  <c r="P458" i="1"/>
  <c r="Q458" i="1" s="1"/>
  <c r="P349" i="1"/>
  <c r="P206" i="1"/>
  <c r="P308" i="1"/>
  <c r="Q308" i="1" s="1"/>
  <c r="P119" i="1"/>
  <c r="P109" i="1"/>
  <c r="P1170" i="1"/>
  <c r="Q1170" i="1" s="1"/>
  <c r="P241" i="1"/>
  <c r="P532" i="1"/>
  <c r="P1130" i="1"/>
  <c r="Q1130" i="1" s="1"/>
  <c r="P170" i="1"/>
  <c r="P562" i="1"/>
  <c r="P736" i="1"/>
  <c r="P268" i="1"/>
  <c r="P985" i="1"/>
  <c r="Q985" i="1" s="1"/>
  <c r="P737" i="1"/>
  <c r="P1196" i="1"/>
  <c r="Q1196" i="1" s="1"/>
  <c r="P756" i="1"/>
  <c r="P1009" i="1"/>
  <c r="Q1009" i="1" s="1"/>
  <c r="P112" i="1"/>
  <c r="P803" i="1"/>
  <c r="P320" i="1"/>
  <c r="P994" i="1"/>
  <c r="Q994" i="1" s="1"/>
  <c r="P783" i="1"/>
  <c r="P660" i="1"/>
  <c r="Q660" i="1" s="1"/>
  <c r="P1099" i="1"/>
  <c r="Q1099" i="1" s="1"/>
  <c r="P156" i="1"/>
  <c r="P619" i="1"/>
  <c r="P682" i="1"/>
  <c r="P436" i="1"/>
  <c r="P158" i="1"/>
  <c r="P797" i="1"/>
  <c r="P301" i="1"/>
  <c r="P472" i="1"/>
  <c r="P488" i="1"/>
  <c r="P462" i="1"/>
  <c r="P515" i="1"/>
  <c r="P310" i="1"/>
  <c r="P276" i="1"/>
  <c r="P723" i="1"/>
  <c r="P338" i="1"/>
  <c r="P1105" i="1"/>
  <c r="Q1105" i="1" s="1"/>
  <c r="P1147" i="1"/>
  <c r="Q1147" i="1" s="1"/>
  <c r="P1182" i="1"/>
  <c r="Q1182" i="1" s="1"/>
  <c r="P978" i="1"/>
  <c r="P346" i="1"/>
  <c r="P692" i="1"/>
  <c r="Q692" i="1" s="1"/>
  <c r="P897" i="1"/>
  <c r="P662" i="1"/>
  <c r="P49" i="1"/>
  <c r="Q49" i="1" s="1"/>
  <c r="P166" i="1"/>
  <c r="P226" i="1"/>
  <c r="P388" i="1"/>
  <c r="P1102" i="1"/>
  <c r="P774" i="1"/>
  <c r="P197" i="1"/>
  <c r="P136" i="1"/>
  <c r="P688" i="1"/>
  <c r="P1195" i="1"/>
  <c r="Q1195" i="1" s="1"/>
  <c r="P305" i="1"/>
  <c r="P631" i="1"/>
  <c r="P1121" i="1"/>
  <c r="Q1121" i="1" s="1"/>
  <c r="P787" i="1"/>
  <c r="P862" i="1"/>
  <c r="P814" i="1"/>
  <c r="Q814" i="1" s="1"/>
  <c r="P896" i="1"/>
  <c r="P1030" i="1"/>
  <c r="P827" i="1"/>
  <c r="P416" i="1"/>
  <c r="P376" i="1"/>
  <c r="P239" i="1"/>
  <c r="P1098" i="1"/>
  <c r="Q1098" i="1" s="1"/>
  <c r="P94" i="1"/>
  <c r="P981" i="1"/>
  <c r="P794" i="1"/>
  <c r="P911" i="1"/>
  <c r="P437" i="1"/>
  <c r="P732" i="1"/>
  <c r="Q732" i="1" s="1"/>
  <c r="P227" i="1"/>
  <c r="Q227" i="1" s="1"/>
  <c r="P899" i="1"/>
  <c r="Q899" i="1" s="1"/>
  <c r="P1168" i="1"/>
  <c r="P461" i="1"/>
  <c r="P1008" i="1"/>
  <c r="P1197" i="1"/>
  <c r="Q1197" i="1" s="1"/>
  <c r="P155" i="1"/>
  <c r="P925" i="1"/>
  <c r="P285" i="1"/>
  <c r="P222" i="1"/>
  <c r="P634" i="1"/>
  <c r="P878" i="1"/>
  <c r="P371" i="1"/>
  <c r="Q371" i="1" s="1"/>
  <c r="P135" i="1"/>
  <c r="P747" i="1"/>
  <c r="P1200" i="1"/>
  <c r="P1138" i="1"/>
  <c r="Q1138" i="1" s="1"/>
  <c r="P474" i="1"/>
  <c r="Q474" i="1" s="1"/>
  <c r="P887" i="1"/>
  <c r="P613" i="1"/>
  <c r="P1073" i="1"/>
  <c r="Q1073" i="1" s="1"/>
  <c r="P744" i="1"/>
  <c r="Q744" i="1" s="1"/>
  <c r="P456" i="1"/>
  <c r="P164" i="1"/>
  <c r="Q164" i="1" s="1"/>
  <c r="P1163" i="1"/>
  <c r="Q1163" i="1" s="1"/>
  <c r="P795" i="1"/>
  <c r="P503" i="1"/>
  <c r="P1162" i="1"/>
  <c r="Q1162" i="1" s="1"/>
  <c r="P368" i="1"/>
  <c r="P852" i="1"/>
  <c r="P928" i="1"/>
  <c r="P309" i="1"/>
  <c r="P522" i="1"/>
  <c r="P292" i="1"/>
  <c r="Q292" i="1" s="1"/>
  <c r="P1064" i="1"/>
  <c r="P407" i="1"/>
  <c r="P1000" i="1"/>
  <c r="P344" i="1"/>
  <c r="P1134" i="1"/>
  <c r="P89" i="1"/>
  <c r="Q89" i="1" s="1"/>
  <c r="P438" i="1"/>
  <c r="P419" i="1"/>
  <c r="P36" i="1"/>
  <c r="P718" i="1"/>
  <c r="P1149" i="1"/>
  <c r="Q1149" i="1" s="1"/>
  <c r="P225" i="1"/>
  <c r="P703" i="1"/>
  <c r="P180" i="1"/>
  <c r="P323" i="1"/>
  <c r="P195" i="1"/>
  <c r="P1160" i="1"/>
  <c r="P366" i="1"/>
  <c r="P901" i="1"/>
  <c r="P62" i="1"/>
  <c r="P402" i="1"/>
  <c r="P330" i="1"/>
  <c r="Q330" i="1" s="1"/>
  <c r="P149" i="1"/>
  <c r="P565" i="1"/>
  <c r="P265" i="1"/>
  <c r="P806" i="1"/>
  <c r="P1144" i="1"/>
  <c r="P949" i="1"/>
  <c r="Q949" i="1" s="1"/>
  <c r="P733" i="1"/>
  <c r="P536" i="1"/>
  <c r="Q536" i="1" s="1"/>
  <c r="P1193" i="1"/>
  <c r="Q1193" i="1" s="1"/>
  <c r="P953" i="1"/>
  <c r="P303" i="1"/>
  <c r="P392" i="1"/>
  <c r="P873" i="1"/>
  <c r="P1111" i="1"/>
  <c r="P845" i="1"/>
  <c r="P798" i="1"/>
  <c r="P1092" i="1"/>
  <c r="Q1092" i="1" s="1"/>
  <c r="P1028" i="1"/>
  <c r="P779" i="1"/>
  <c r="P579" i="1"/>
  <c r="P427" i="1"/>
  <c r="P760" i="1"/>
  <c r="Q760" i="1" s="1"/>
  <c r="P805" i="1"/>
  <c r="P12" i="1"/>
  <c r="P329" i="1"/>
  <c r="P107" i="1"/>
  <c r="P379" i="1"/>
  <c r="P775" i="1"/>
  <c r="P1152" i="1"/>
  <c r="P190" i="1"/>
  <c r="P184" i="1"/>
  <c r="Q184" i="1" s="1"/>
  <c r="P826" i="1"/>
  <c r="Q826" i="1" s="1"/>
  <c r="P405" i="1"/>
  <c r="P812" i="1"/>
  <c r="P450" i="1"/>
  <c r="Q450" i="1" s="1"/>
  <c r="P984" i="1"/>
  <c r="P545" i="1"/>
  <c r="P162" i="1"/>
  <c r="P104" i="1"/>
  <c r="Q104" i="1" s="1"/>
  <c r="P400" i="1"/>
  <c r="P663" i="1"/>
  <c r="P80" i="1"/>
  <c r="P324" i="1"/>
  <c r="P581" i="1"/>
  <c r="P76" i="1"/>
  <c r="P575" i="1"/>
  <c r="P389" i="1"/>
  <c r="P792" i="1"/>
  <c r="Q792" i="1" s="1"/>
  <c r="P81" i="1"/>
  <c r="P103" i="1"/>
  <c r="P1023" i="1"/>
  <c r="P900" i="1"/>
  <c r="Q900" i="1" s="1"/>
  <c r="P992" i="1"/>
  <c r="P1035" i="1"/>
  <c r="Q1035" i="1" s="1"/>
  <c r="P48" i="1"/>
  <c r="P633" i="1"/>
  <c r="P1141" i="1"/>
  <c r="P865" i="1"/>
  <c r="P483" i="1"/>
  <c r="P99" i="1"/>
  <c r="P1029" i="1"/>
  <c r="Q1029" i="1" s="1"/>
  <c r="P898" i="1"/>
  <c r="Q898" i="1" s="1"/>
  <c r="P477" i="1"/>
  <c r="P314" i="1"/>
  <c r="P1052" i="1"/>
  <c r="P351" i="1"/>
  <c r="P622" i="1"/>
  <c r="P665" i="1"/>
  <c r="P790" i="1"/>
  <c r="P1124" i="1"/>
  <c r="Q1124" i="1" s="1"/>
  <c r="P707" i="1"/>
  <c r="P742" i="1"/>
  <c r="P620" i="1"/>
  <c r="P307" i="1"/>
  <c r="Q307" i="1" s="1"/>
  <c r="P621" i="1"/>
  <c r="P544" i="1"/>
  <c r="P235" i="1"/>
  <c r="P375" i="1"/>
  <c r="P778" i="1"/>
  <c r="P209" i="1"/>
  <c r="P1072" i="1"/>
  <c r="P1015" i="1"/>
  <c r="P552" i="1"/>
  <c r="P470" i="1"/>
  <c r="P675" i="1"/>
  <c r="P397" i="1"/>
  <c r="P844" i="1"/>
  <c r="Q844" i="1" s="1"/>
  <c r="P492" i="1"/>
  <c r="P644" i="1"/>
  <c r="P609" i="1"/>
  <c r="Q609" i="1" s="1"/>
  <c r="P608" i="1"/>
  <c r="Q608" i="1" s="1"/>
  <c r="P651" i="1"/>
  <c r="P1082" i="1"/>
  <c r="Q1082" i="1" s="1"/>
  <c r="P126" i="1"/>
  <c r="P1080" i="1"/>
  <c r="P41" i="1"/>
  <c r="P710" i="1"/>
  <c r="P434" i="1"/>
  <c r="Q434" i="1" s="1"/>
  <c r="P134" i="1"/>
  <c r="P85" i="1"/>
  <c r="P127" i="1"/>
  <c r="P1176" i="1"/>
  <c r="P1050" i="1"/>
  <c r="Q1050" i="1" s="1"/>
  <c r="P691" i="1"/>
  <c r="P316" i="1"/>
  <c r="A316" i="1"/>
  <c r="B316" i="1" a="1"/>
  <c r="B316" i="1" s="1"/>
  <c r="C316" i="1" s="1"/>
  <c r="A598" i="1"/>
  <c r="B598" i="1" a="1"/>
  <c r="B598" i="1" s="1"/>
  <c r="C598" i="1" s="1"/>
  <c r="A1025" i="1"/>
  <c r="B1025" i="1" a="1"/>
  <c r="B1025" i="1" s="1"/>
  <c r="C1025" i="1" s="1"/>
  <c r="A770" i="1"/>
  <c r="B770" i="1" a="1"/>
  <c r="B770" i="1" s="1"/>
  <c r="C770" i="1" s="1"/>
  <c r="A848" i="1"/>
  <c r="B848" i="1" a="1"/>
  <c r="B848" i="1" s="1"/>
  <c r="C848" i="1" s="1"/>
  <c r="A205" i="1"/>
  <c r="B205" i="1" a="1"/>
  <c r="B205" i="1" s="1"/>
  <c r="C205" i="1" s="1"/>
  <c r="A580" i="1"/>
  <c r="B580" i="1" a="1"/>
  <c r="B580" i="1" s="1"/>
  <c r="C580" i="1" s="1"/>
  <c r="A850" i="1"/>
  <c r="B850" i="1" a="1"/>
  <c r="B850" i="1" s="1"/>
  <c r="C850" i="1" s="1"/>
  <c r="A1146" i="1"/>
  <c r="B1146" i="1" a="1"/>
  <c r="B1146" i="1" s="1"/>
  <c r="C1146" i="1" s="1"/>
  <c r="A988" i="1"/>
  <c r="B988" i="1" a="1"/>
  <c r="B988" i="1" s="1"/>
  <c r="C988" i="1" s="1"/>
  <c r="A201" i="1"/>
  <c r="B201" i="1" a="1"/>
  <c r="B201" i="1" s="1"/>
  <c r="C201" i="1" s="1"/>
  <c r="A159" i="1"/>
  <c r="B159" i="1" a="1"/>
  <c r="B159" i="1" s="1"/>
  <c r="C159" i="1" s="1"/>
  <c r="A839" i="1"/>
  <c r="B839" i="1" a="1"/>
  <c r="B839" i="1" s="1"/>
  <c r="C839" i="1" s="1"/>
  <c r="A681" i="1"/>
  <c r="B681" i="1" a="1"/>
  <c r="B681" i="1" s="1"/>
  <c r="C681" i="1" s="1"/>
  <c r="A933" i="1"/>
  <c r="B933" i="1" a="1"/>
  <c r="B933" i="1" s="1"/>
  <c r="C933" i="1" s="1"/>
  <c r="A534" i="1"/>
  <c r="B534" i="1" a="1"/>
  <c r="B534" i="1" s="1"/>
  <c r="C534" i="1" s="1"/>
  <c r="A312" i="1"/>
  <c r="B312" i="1" a="1"/>
  <c r="B312" i="1" s="1"/>
  <c r="C312" i="1" s="1"/>
  <c r="A1110" i="1"/>
  <c r="B1110" i="1" a="1"/>
  <c r="B1110" i="1" s="1"/>
  <c r="C1110" i="1" s="1"/>
  <c r="A45" i="1"/>
  <c r="A262" i="1"/>
  <c r="A529" i="1"/>
  <c r="A152" i="1"/>
  <c r="A1186" i="1"/>
  <c r="A804" i="1"/>
  <c r="A711" i="1"/>
  <c r="A626" i="1"/>
  <c r="A751" i="1"/>
  <c r="A386" i="1"/>
  <c r="A1007" i="1"/>
  <c r="A129" i="1"/>
  <c r="A606" i="1"/>
  <c r="A995" i="1"/>
  <c r="A698" i="1"/>
  <c r="A1119" i="1"/>
  <c r="A242" i="1"/>
  <c r="A144" i="1"/>
  <c r="A65" i="1"/>
  <c r="A550" i="1"/>
  <c r="A348" i="1"/>
  <c r="A1075" i="1"/>
  <c r="A87" i="1"/>
  <c r="A401" i="1"/>
  <c r="A213" i="1"/>
  <c r="A215" i="1"/>
  <c r="A455" i="1"/>
  <c r="A443" i="1"/>
  <c r="A947" i="1"/>
  <c r="A977" i="1"/>
  <c r="A216" i="1"/>
  <c r="A597" i="1"/>
  <c r="A1174" i="1"/>
  <c r="A153" i="1"/>
  <c r="A230" i="1"/>
  <c r="A525" i="1"/>
  <c r="A51" i="1"/>
  <c r="A263" i="1"/>
  <c r="A951" i="1"/>
  <c r="A2" i="1"/>
  <c r="A293" i="1"/>
  <c r="A360" i="1"/>
  <c r="A13" i="1"/>
  <c r="A600" i="1"/>
  <c r="A1063" i="1"/>
  <c r="A1031" i="1"/>
  <c r="A1114" i="1"/>
  <c r="A281" i="1"/>
  <c r="A428" i="1"/>
  <c r="A879" i="1"/>
  <c r="A1201" i="1"/>
  <c r="A1017" i="1"/>
  <c r="A353" i="1"/>
  <c r="A771" i="1"/>
  <c r="A758" i="1"/>
  <c r="A539" i="1"/>
  <c r="A417" i="1"/>
  <c r="A345" i="1"/>
  <c r="A903" i="1"/>
  <c r="A7" i="1"/>
  <c r="A249" i="1"/>
  <c r="A853" i="1"/>
  <c r="A605" i="1"/>
  <c r="A1026" i="1"/>
  <c r="A895" i="1"/>
  <c r="A1016" i="1"/>
  <c r="A712" i="1"/>
  <c r="A171" i="1"/>
  <c r="A602" i="1"/>
  <c r="A674" i="1"/>
  <c r="A1044" i="1"/>
  <c r="A96" i="1"/>
  <c r="A516" i="1"/>
  <c r="A584" i="1"/>
  <c r="A439" i="1"/>
  <c r="A810" i="1"/>
  <c r="A623" i="1"/>
  <c r="A291" i="1"/>
  <c r="A181" i="1"/>
  <c r="A39" i="1"/>
  <c r="A1137" i="1"/>
  <c r="A1004" i="1"/>
  <c r="A592" i="1"/>
  <c r="A1090" i="1"/>
  <c r="A724" i="1"/>
  <c r="A196" i="1"/>
  <c r="A1045" i="1"/>
  <c r="A95" i="1"/>
  <c r="A259" i="1"/>
  <c r="A67" i="1"/>
  <c r="A535" i="1"/>
  <c r="A117" i="1"/>
  <c r="A1001" i="1"/>
  <c r="A564" i="1"/>
  <c r="A1010" i="1"/>
  <c r="A607" i="1"/>
  <c r="A18" i="1"/>
  <c r="A612" i="1"/>
  <c r="A1038" i="1"/>
  <c r="A618" i="1"/>
  <c r="A1027" i="1"/>
  <c r="A1123" i="1"/>
  <c r="A963" i="1"/>
  <c r="A1171" i="1"/>
  <c r="A641" i="1"/>
  <c r="A1065" i="1"/>
  <c r="A347" i="1"/>
  <c r="A648" i="1"/>
  <c r="A983" i="1"/>
  <c r="A891" i="1"/>
  <c r="A880" i="1"/>
  <c r="A100" i="1"/>
  <c r="A765" i="1"/>
  <c r="A145" i="1"/>
  <c r="A1199" i="1"/>
  <c r="A370" i="1"/>
  <c r="A971" i="1"/>
  <c r="A374" i="1"/>
  <c r="A123" i="1"/>
  <c r="A378" i="1"/>
  <c r="A514" i="1"/>
  <c r="A429" i="1"/>
  <c r="A395" i="1"/>
  <c r="A789" i="1"/>
  <c r="A821" i="1"/>
  <c r="A583" i="1"/>
  <c r="A551" i="1"/>
  <c r="A105" i="1"/>
  <c r="A424" i="1"/>
  <c r="A451" i="1"/>
  <c r="A815" i="1"/>
  <c r="A1078" i="1"/>
  <c r="A131" i="1"/>
  <c r="A253" i="1"/>
  <c r="A207" i="1"/>
  <c r="A411" i="1"/>
  <c r="A721" i="1"/>
  <c r="A517" i="1"/>
  <c r="A657" i="1"/>
  <c r="A990" i="1"/>
  <c r="A177" i="1"/>
  <c r="A858" i="1"/>
  <c r="A541" i="1"/>
  <c r="A473" i="1"/>
  <c r="A464" i="1"/>
  <c r="A138" i="1"/>
  <c r="A471" i="1"/>
  <c r="A1054" i="1"/>
  <c r="A1109" i="1"/>
  <c r="A818" i="1"/>
  <c r="A875" i="1"/>
  <c r="A38" i="1"/>
  <c r="A69" i="1"/>
  <c r="A255" i="1"/>
  <c r="A380" i="1"/>
  <c r="A157" i="1"/>
  <c r="A659" i="1"/>
  <c r="A957" i="1"/>
  <c r="A479" i="1"/>
  <c r="A842" i="1"/>
  <c r="A367" i="1"/>
  <c r="A497" i="1"/>
  <c r="A611" i="1"/>
  <c r="A1164" i="1"/>
  <c r="A286" i="1"/>
  <c r="A553" i="1"/>
  <c r="A813" i="1"/>
  <c r="A704" i="1"/>
  <c r="A187" i="1"/>
  <c r="A426" i="1"/>
  <c r="A781" i="1"/>
  <c r="A60" i="1"/>
  <c r="A1091" i="1"/>
  <c r="A914" i="1"/>
  <c r="A377" i="1"/>
  <c r="A766" i="1"/>
  <c r="A440" i="1"/>
  <c r="A88" i="1"/>
  <c r="A1113" i="1"/>
  <c r="A677" i="1"/>
  <c r="A175" i="1"/>
  <c r="A638" i="1"/>
  <c r="A1053" i="1"/>
  <c r="A200" i="1"/>
  <c r="A780" i="1"/>
  <c r="A414" i="1"/>
  <c r="A856" i="1"/>
  <c r="A1178" i="1"/>
  <c r="A1126" i="1"/>
  <c r="A387" i="1"/>
  <c r="A817" i="1"/>
  <c r="A1184" i="1"/>
  <c r="A538" i="1"/>
  <c r="A1020" i="1"/>
  <c r="A1097" i="1"/>
  <c r="A1148" i="1"/>
  <c r="A649" i="1"/>
  <c r="A854" i="1"/>
  <c r="A384" i="1"/>
  <c r="A883" i="1"/>
  <c r="A791" i="1"/>
  <c r="A188" i="1"/>
  <c r="A940" i="1"/>
  <c r="A141" i="1"/>
  <c r="A1175" i="1"/>
  <c r="A482" i="1"/>
  <c r="A886" i="1"/>
  <c r="A1172" i="1"/>
  <c r="A1089" i="1"/>
  <c r="A132" i="1"/>
  <c r="A114" i="1"/>
  <c r="A502" i="1"/>
  <c r="A1002" i="1"/>
  <c r="A362" i="1"/>
  <c r="A920" i="1"/>
  <c r="A78" i="1"/>
  <c r="A720" i="1"/>
  <c r="A705" i="1"/>
  <c r="A442" i="1"/>
  <c r="A486" i="1"/>
  <c r="A824" i="1"/>
  <c r="A185" i="1"/>
  <c r="A528" i="1"/>
  <c r="A521" i="1"/>
  <c r="A1115" i="1"/>
  <c r="A893" i="1"/>
  <c r="A569" i="1"/>
  <c r="A1056" i="1"/>
  <c r="A1179" i="1"/>
  <c r="A433" i="1"/>
  <c r="A321" i="1"/>
  <c r="A526" i="1"/>
  <c r="A399" i="1"/>
  <c r="A725" i="1"/>
  <c r="A729" i="1"/>
  <c r="A432" i="1"/>
  <c r="A785" i="1"/>
  <c r="A537" i="1"/>
  <c r="A863" i="1"/>
  <c r="A513" i="1"/>
  <c r="A481" i="1"/>
  <c r="A1190" i="1"/>
  <c r="A906" i="1"/>
  <c r="A793" i="1"/>
  <c r="A1181" i="1"/>
  <c r="A997" i="1"/>
  <c r="A735" i="1"/>
  <c r="A932" i="1"/>
  <c r="A910" i="1"/>
  <c r="A74" i="1"/>
  <c r="A563" i="1"/>
  <c r="A336" i="1"/>
  <c r="A1021" i="1"/>
  <c r="A247" i="1"/>
  <c r="A484" i="1"/>
  <c r="A1024" i="1"/>
  <c r="A302" i="1"/>
  <c r="A646" i="1"/>
  <c r="A927" i="1"/>
  <c r="A499" i="1"/>
  <c r="A17" i="1"/>
  <c r="A494" i="1"/>
  <c r="A603" i="1"/>
  <c r="A363" i="1"/>
  <c r="A960" i="1"/>
  <c r="A444" i="1"/>
  <c r="A122" i="1"/>
  <c r="A480" i="1"/>
  <c r="A970" i="1"/>
  <c r="A749" i="1"/>
  <c r="A836" i="1"/>
  <c r="A846" i="1"/>
  <c r="A1051" i="1"/>
  <c r="A1133" i="1"/>
  <c r="A520" i="1"/>
  <c r="A823" i="1"/>
  <c r="A124" i="1"/>
  <c r="A91" i="1"/>
  <c r="A469" i="1"/>
  <c r="A1068" i="1"/>
  <c r="A1187" i="1"/>
  <c r="A172" i="1"/>
  <c r="A313" i="1"/>
  <c r="A396" i="1"/>
  <c r="A524" i="1"/>
  <c r="A148" i="1"/>
  <c r="A315" i="1"/>
  <c r="A986" i="1"/>
  <c r="A66" i="1"/>
  <c r="A661" i="1"/>
  <c r="A1116" i="1"/>
  <c r="A833" i="1"/>
  <c r="A950" i="1"/>
  <c r="A391" i="1"/>
  <c r="A734" i="1"/>
  <c r="A71" i="1"/>
  <c r="A838" i="1"/>
  <c r="A998" i="1"/>
  <c r="A381" i="1"/>
  <c r="A1167" i="1"/>
  <c r="A1107" i="1"/>
  <c r="A519" i="1"/>
  <c r="A1094" i="1"/>
  <c r="A98" i="1"/>
  <c r="A955" i="1"/>
  <c r="A5" i="1"/>
  <c r="A154" i="1"/>
  <c r="A257" i="1"/>
  <c r="A393" i="1"/>
  <c r="A47" i="1"/>
  <c r="A807" i="1"/>
  <c r="A1136" i="1"/>
  <c r="A431" i="1"/>
  <c r="A919" i="1"/>
  <c r="A73" i="1"/>
  <c r="A29" i="1"/>
  <c r="A284" i="1"/>
  <c r="A1150" i="1"/>
  <c r="A859" i="1"/>
  <c r="A277" i="1"/>
  <c r="A772" i="1"/>
  <c r="A980" i="1"/>
  <c r="A1022" i="1"/>
  <c r="A454" i="1"/>
  <c r="A340" i="1"/>
  <c r="A654" i="1"/>
  <c r="A750" i="1"/>
  <c r="A403" i="1"/>
  <c r="A884" i="1"/>
  <c r="A979" i="1"/>
  <c r="A915" i="1"/>
  <c r="A800" i="1"/>
  <c r="A86" i="1"/>
  <c r="A546" i="1"/>
  <c r="A244" i="1"/>
  <c r="A543" i="1"/>
  <c r="A614" i="1"/>
  <c r="A120" i="1"/>
  <c r="A577" i="1"/>
  <c r="A125" i="1"/>
  <c r="A1076" i="1"/>
  <c r="A34" i="1"/>
  <c r="A394" i="1"/>
  <c r="A319" i="1"/>
  <c r="A467" i="1"/>
  <c r="A296" i="1"/>
  <c r="A934" i="1"/>
  <c r="A133" i="1"/>
  <c r="A493" i="1"/>
  <c r="A508" i="1"/>
  <c r="A506" i="1"/>
  <c r="A1061" i="1"/>
  <c r="A726" i="1"/>
  <c r="A964" i="1"/>
  <c r="A868" i="1"/>
  <c r="A1166" i="1"/>
  <c r="A146" i="1"/>
  <c r="A404" i="1"/>
  <c r="A937" i="1"/>
  <c r="A1194" i="1"/>
  <c r="A594" i="1"/>
  <c r="A19" i="1"/>
  <c r="A56" i="1"/>
  <c r="A740" i="1"/>
  <c r="A989" i="1"/>
  <c r="A495" i="1"/>
  <c r="A183" i="1"/>
  <c r="A352" i="1"/>
  <c r="A1131" i="1"/>
  <c r="A505" i="1"/>
  <c r="A189" i="1"/>
  <c r="A624" i="1"/>
  <c r="A576" i="1"/>
  <c r="A973" i="1"/>
  <c r="A496" i="1"/>
  <c r="A487" i="1"/>
  <c r="A16" i="1"/>
  <c r="A337" i="1"/>
  <c r="A820" i="1"/>
  <c r="A204" i="1"/>
  <c r="A924" i="1"/>
  <c r="A728" i="1"/>
  <c r="A179" i="1"/>
  <c r="A1062" i="1"/>
  <c r="A658" i="1"/>
  <c r="A318" i="1"/>
  <c r="A784" i="1"/>
  <c r="A667" i="1"/>
  <c r="A849" i="1"/>
  <c r="A1129" i="1"/>
  <c r="A264" i="1"/>
  <c r="A913" i="1"/>
  <c r="A52" i="1"/>
  <c r="A695" i="1"/>
  <c r="A697" i="1"/>
  <c r="A92" i="1"/>
  <c r="A1185" i="1"/>
  <c r="A867" i="1"/>
  <c r="A192" i="1"/>
  <c r="A354" i="1"/>
  <c r="A713" i="1"/>
  <c r="A358" i="1"/>
  <c r="A90" i="1"/>
  <c r="A527" i="1"/>
  <c r="A273" i="1"/>
  <c r="A753" i="1"/>
  <c r="A383" i="1"/>
  <c r="A447" i="1"/>
  <c r="A907" i="1"/>
  <c r="A150" i="1"/>
  <c r="A668" i="1"/>
  <c r="A343" i="1"/>
  <c r="A43" i="1"/>
  <c r="A511" i="1"/>
  <c r="A699" i="1"/>
  <c r="A1033" i="1"/>
  <c r="A1103" i="1"/>
  <c r="A421" i="1"/>
  <c r="A930" i="1"/>
  <c r="A294" i="1"/>
  <c r="A761" i="1"/>
  <c r="A510" i="1"/>
  <c r="A554" i="1"/>
  <c r="A822" i="1"/>
  <c r="A587" i="1"/>
  <c r="A398" i="1"/>
  <c r="A889" i="1"/>
  <c r="A843" i="1"/>
  <c r="A1180" i="1"/>
  <c r="A714" i="1"/>
  <c r="A295" i="1"/>
  <c r="A763" i="1"/>
  <c r="A121" i="1"/>
  <c r="A1104" i="1"/>
  <c r="A435" i="1"/>
  <c r="A922" i="1"/>
  <c r="A870" i="1"/>
  <c r="A342" i="1"/>
  <c r="A1046" i="1"/>
  <c r="A1135" i="1"/>
  <c r="A694" i="1"/>
  <c r="A31" i="1"/>
  <c r="A220" i="1"/>
  <c r="A866" i="1"/>
  <c r="A24" i="1"/>
  <c r="A819" i="1"/>
  <c r="A507" i="1"/>
  <c r="A788" i="1"/>
  <c r="A139" i="1"/>
  <c r="A236" i="1"/>
  <c r="A1177" i="1"/>
  <c r="A32" i="1"/>
  <c r="A101" i="1"/>
  <c r="A617" i="1"/>
  <c r="A754" i="1"/>
  <c r="A687" i="1"/>
  <c r="A355" i="1"/>
  <c r="A270" i="1"/>
  <c r="A335" i="1"/>
  <c r="A912" i="1"/>
  <c r="A786" i="1"/>
  <c r="A167" i="1"/>
  <c r="A118" i="1"/>
  <c r="A719" i="1"/>
  <c r="A44" i="1"/>
  <c r="A84" i="1"/>
  <c r="A382" i="1"/>
  <c r="A361" i="1"/>
  <c r="A642" i="1"/>
  <c r="A748" i="1"/>
  <c r="A518" i="1"/>
  <c r="A290" i="1"/>
  <c r="A680" i="1"/>
  <c r="A231" i="1"/>
  <c r="A556" i="1"/>
  <c r="A332" i="1"/>
  <c r="A643" i="1"/>
  <c r="A830" i="1"/>
  <c r="A198" i="1"/>
  <c r="A902" i="1"/>
  <c r="A317" i="1"/>
  <c r="A297" i="1"/>
  <c r="A143" i="1"/>
  <c r="A548" i="1"/>
  <c r="A83" i="1"/>
  <c r="A1125" i="1"/>
  <c r="A547" i="1"/>
  <c r="A847" i="1"/>
  <c r="A278" i="1"/>
  <c r="A832" i="1"/>
  <c r="A530" i="1"/>
  <c r="A425" i="1"/>
  <c r="A334" i="1"/>
  <c r="A1139" i="1"/>
  <c r="A961" i="1"/>
  <c r="A799" i="1"/>
  <c r="A441" i="1"/>
  <c r="A169" i="1"/>
  <c r="A881" i="1"/>
  <c r="A498" i="1"/>
  <c r="A357" i="1"/>
  <c r="A269" i="1"/>
  <c r="A876" i="1"/>
  <c r="A939" i="1"/>
  <c r="A199" i="1"/>
  <c r="A504" i="1"/>
  <c r="A1006" i="1"/>
  <c r="A1198" i="1"/>
  <c r="A221" i="1"/>
  <c r="A23" i="1"/>
  <c r="A333" i="1"/>
  <c r="A709" i="1"/>
  <c r="A306" i="1"/>
  <c r="A635" i="1"/>
  <c r="A908" i="1"/>
  <c r="A666" i="1"/>
  <c r="A739" i="1"/>
  <c r="A468" i="1"/>
  <c r="A299" i="1"/>
  <c r="A596" i="1"/>
  <c r="A252" i="1"/>
  <c r="A555" i="1"/>
  <c r="A586" i="1"/>
  <c r="A111" i="1"/>
  <c r="A491" i="1"/>
  <c r="A137" i="1"/>
  <c r="A689" i="1"/>
  <c r="A574" i="1"/>
  <c r="A1112" i="1"/>
  <c r="A762" i="1"/>
  <c r="A327" i="1"/>
  <c r="A272" i="1"/>
  <c r="A708" i="1"/>
  <c r="A1005" i="1"/>
  <c r="A75" i="1"/>
  <c r="A10" i="1"/>
  <c r="A283" i="1"/>
  <c r="A211" i="1"/>
  <c r="A459" i="1"/>
  <c r="A693" i="1"/>
  <c r="A892" i="1"/>
  <c r="A279" i="1"/>
  <c r="A917" i="1"/>
  <c r="A460" i="1"/>
  <c r="A835" i="1"/>
  <c r="A1040" i="1"/>
  <c r="A250" i="1"/>
  <c r="A610" i="1"/>
  <c r="A232" i="1"/>
  <c r="A369" i="1"/>
  <c r="A300" i="1"/>
  <c r="A941" i="1"/>
  <c r="A116" i="1"/>
  <c r="A1120" i="1"/>
  <c r="A764" i="1"/>
  <c r="A1041" i="1"/>
  <c r="A21" i="1"/>
  <c r="A745" i="1"/>
  <c r="A573" i="1"/>
  <c r="A453" i="1"/>
  <c r="A11" i="1"/>
  <c r="A905" i="1"/>
  <c r="A390" i="1"/>
  <c r="A1154" i="1"/>
  <c r="A160" i="1"/>
  <c r="A931" i="1"/>
  <c r="A874" i="1"/>
  <c r="A415" i="1"/>
  <c r="A1155" i="1"/>
  <c r="A1145" i="1"/>
  <c r="A968" i="1"/>
  <c r="A57" i="1"/>
  <c r="A311" i="1"/>
  <c r="A20" i="1"/>
  <c r="A885" i="1"/>
  <c r="A452" i="1"/>
  <c r="A218" i="1"/>
  <c r="A1161" i="1"/>
  <c r="A776" i="1"/>
  <c r="A956" i="1"/>
  <c r="A738" i="1"/>
  <c r="A63" i="1"/>
  <c r="A837" i="1"/>
  <c r="A54" i="1"/>
  <c r="A996" i="1"/>
  <c r="A639" i="1"/>
  <c r="A630" i="1"/>
  <c r="A673" i="1"/>
  <c r="A1192" i="1"/>
  <c r="A485" i="1"/>
  <c r="A969" i="1"/>
  <c r="A68" i="1"/>
  <c r="A894" i="1"/>
  <c r="A976" i="1"/>
  <c r="A890" i="1"/>
  <c r="A683" i="1"/>
  <c r="A212" i="1"/>
  <c r="A9" i="1"/>
  <c r="A690" i="1"/>
  <c r="A568" i="1"/>
  <c r="A70" i="1"/>
  <c r="A287" i="1"/>
  <c r="A82" i="1"/>
  <c r="A936" i="1"/>
  <c r="A567" i="1"/>
  <c r="A1106" i="1"/>
  <c r="A560" i="1"/>
  <c r="A1066" i="1"/>
  <c r="A945" i="1"/>
  <c r="A540" i="1"/>
  <c r="A1049" i="1"/>
  <c r="A871" i="1"/>
  <c r="A1011" i="1"/>
  <c r="A1057" i="1"/>
  <c r="A1169" i="1"/>
  <c r="A1077" i="1"/>
  <c r="A831" i="1"/>
  <c r="A147" i="1"/>
  <c r="A186" i="1"/>
  <c r="A557" i="1"/>
  <c r="A412" i="1"/>
  <c r="A251" i="1"/>
  <c r="A921" i="1"/>
  <c r="A420" i="1"/>
  <c r="A974" i="1"/>
  <c r="A42" i="1"/>
  <c r="A627" i="1"/>
  <c r="A25" i="1"/>
  <c r="A30" i="1"/>
  <c r="A972" i="1"/>
  <c r="A140" i="1"/>
  <c r="A1127" i="1"/>
  <c r="A246" i="1"/>
  <c r="A1043" i="1"/>
  <c r="A942" i="1"/>
  <c r="A14" i="1"/>
  <c r="A448" i="1"/>
  <c r="A1153" i="1"/>
  <c r="A808" i="1"/>
  <c r="A702" i="1"/>
  <c r="A237" i="1"/>
  <c r="A840" i="1"/>
  <c r="A328" i="1"/>
  <c r="A696" i="1"/>
  <c r="A716" i="1"/>
  <c r="A115" i="1"/>
  <c r="A248" i="1"/>
  <c r="A1039" i="1"/>
  <c r="A289" i="1"/>
  <c r="A656" i="1"/>
  <c r="A113" i="1"/>
  <c r="A219" i="1"/>
  <c r="A1074" i="1"/>
  <c r="A1003" i="1"/>
  <c r="A77" i="1"/>
  <c r="A326" i="1"/>
  <c r="A1173" i="1"/>
  <c r="A982" i="1"/>
  <c r="A585" i="1"/>
  <c r="A851" i="1"/>
  <c r="A916" i="1"/>
  <c r="A1158" i="1"/>
  <c r="A1100" i="1"/>
  <c r="A589" i="1"/>
  <c r="A161" i="1"/>
  <c r="A288" i="1"/>
  <c r="A929" i="1"/>
  <c r="A449" i="1"/>
  <c r="A755" i="1"/>
  <c r="A1048" i="1"/>
  <c r="A191" i="1"/>
  <c r="A841" i="1"/>
  <c r="A1165" i="1"/>
  <c r="A282" i="1"/>
  <c r="A356" i="1"/>
  <c r="A965" i="1"/>
  <c r="A33" i="1"/>
  <c r="A97" i="1"/>
  <c r="A999" i="1"/>
  <c r="A341" i="1"/>
  <c r="A500" i="1"/>
  <c r="A325" i="1"/>
  <c r="A954" i="1"/>
  <c r="A1156" i="1"/>
  <c r="A422" i="1"/>
  <c r="A1084" i="1"/>
  <c r="A636" i="1"/>
  <c r="A229" i="1"/>
  <c r="A15" i="1"/>
  <c r="A684" i="1"/>
  <c r="A1142" i="1"/>
  <c r="A701" i="1"/>
  <c r="A26" i="1"/>
  <c r="A590" i="1"/>
  <c r="A877" i="1"/>
  <c r="A418" i="1"/>
  <c r="A110" i="1"/>
  <c r="A834" i="1"/>
  <c r="A869" i="1"/>
  <c r="A46" i="1"/>
  <c r="A106" i="1"/>
  <c r="A1191" i="1"/>
  <c r="A864" i="1"/>
  <c r="A593" i="1"/>
  <c r="A22" i="1"/>
  <c r="A1059" i="1"/>
  <c r="A35" i="1"/>
  <c r="A1058" i="1"/>
  <c r="A331" i="1"/>
  <c r="A768" i="1"/>
  <c r="A1087" i="1"/>
  <c r="A752" i="1"/>
  <c r="A37" i="1"/>
  <c r="A446" i="1"/>
  <c r="A1183" i="1"/>
  <c r="A6" i="1"/>
  <c r="A825" i="1"/>
  <c r="A1083" i="1"/>
  <c r="A816" i="1"/>
  <c r="A686" i="1"/>
  <c r="A59" i="1"/>
  <c r="A645" i="1"/>
  <c r="A365" i="1"/>
  <c r="A1060" i="1"/>
  <c r="A588" i="1"/>
  <c r="A1055" i="1"/>
  <c r="A409" i="1"/>
  <c r="A271" i="1"/>
  <c r="A828" i="1"/>
  <c r="A767" i="1"/>
  <c r="A256" i="1"/>
  <c r="A637" i="1"/>
  <c r="A561" i="1"/>
  <c r="A245" i="1"/>
  <c r="A628" i="1"/>
  <c r="A233" i="1"/>
  <c r="A168" i="1"/>
  <c r="A1122" i="1"/>
  <c r="A178" i="1"/>
  <c r="A4" i="1"/>
  <c r="A676" i="1"/>
  <c r="A128" i="1"/>
  <c r="A228" i="1"/>
  <c r="A72" i="1"/>
  <c r="A533" i="1"/>
  <c r="A1067" i="1"/>
  <c r="A782" i="1"/>
  <c r="A1013" i="1"/>
  <c r="A802" i="1"/>
  <c r="A275" i="1"/>
  <c r="A722" i="1"/>
  <c r="A1088" i="1"/>
  <c r="A595" i="1"/>
  <c r="A27" i="1"/>
  <c r="A566" i="1"/>
  <c r="A1151" i="1"/>
  <c r="A193" i="1"/>
  <c r="A1143" i="1"/>
  <c r="A372" i="1"/>
  <c r="A1069" i="1"/>
  <c r="A872" i="1"/>
  <c r="A987" i="1"/>
  <c r="A260" i="1"/>
  <c r="A730" i="1"/>
  <c r="A28" i="1"/>
  <c r="A958" i="1"/>
  <c r="A991" i="1"/>
  <c r="A50" i="1"/>
  <c r="A466" i="1"/>
  <c r="A3" i="1"/>
  <c r="A64" i="1"/>
  <c r="A746" i="1"/>
  <c r="A1018" i="1"/>
  <c r="A489" i="1"/>
  <c r="A274" i="1"/>
  <c r="A208" i="1"/>
  <c r="A1159" i="1"/>
  <c r="A423" i="1"/>
  <c r="A261" i="1"/>
  <c r="A882" i="1"/>
  <c r="A1032" i="1"/>
  <c r="A616" i="1"/>
  <c r="A93" i="1"/>
  <c r="A280" i="1"/>
  <c r="A202" i="1"/>
  <c r="A1189" i="1"/>
  <c r="A304" i="1"/>
  <c r="A40" i="1"/>
  <c r="A888" i="1"/>
  <c r="A632" i="1"/>
  <c r="A1081" i="1"/>
  <c r="A1070" i="1"/>
  <c r="A715" i="1"/>
  <c r="A1188" i="1"/>
  <c r="A857" i="1"/>
  <c r="A339" i="1"/>
  <c r="A860" i="1"/>
  <c r="A706" i="1"/>
  <c r="A923" i="1"/>
  <c r="A773" i="1"/>
  <c r="A102" i="1"/>
  <c r="A604" i="1"/>
  <c r="A700" i="1"/>
  <c r="A523" i="1"/>
  <c r="A413" i="1"/>
  <c r="A266" i="1"/>
  <c r="A591" i="1"/>
  <c r="A1118" i="1"/>
  <c r="A8" i="1"/>
  <c r="A741" i="1"/>
  <c r="A165" i="1"/>
  <c r="A669" i="1"/>
  <c r="A717" i="1"/>
  <c r="A959" i="1"/>
  <c r="A1012" i="1"/>
  <c r="A629" i="1"/>
  <c r="A258" i="1"/>
  <c r="A1047" i="1"/>
  <c r="A1086" i="1"/>
  <c r="A672" i="1"/>
  <c r="A650" i="1"/>
  <c r="A61" i="1"/>
  <c r="A829" i="1"/>
  <c r="A542" i="1"/>
  <c r="A943" i="1"/>
  <c r="A918" i="1"/>
  <c r="A210" i="1"/>
  <c r="A385" i="1"/>
  <c r="A861" i="1"/>
  <c r="A79" i="1"/>
  <c r="A796" i="1"/>
  <c r="A809" i="1"/>
  <c r="A203" i="1"/>
  <c r="A130" i="1"/>
  <c r="A359" i="1"/>
  <c r="A685" i="1"/>
  <c r="A855" i="1"/>
  <c r="A731" i="1"/>
  <c r="A163" i="1"/>
  <c r="A1101" i="1"/>
  <c r="A966" i="1"/>
  <c r="A465" i="1"/>
  <c r="A615" i="1"/>
  <c r="A652" i="1"/>
  <c r="A475" i="1"/>
  <c r="A1095" i="1"/>
  <c r="A406" i="1"/>
  <c r="A509" i="1"/>
  <c r="A182" i="1"/>
  <c r="A173" i="1"/>
  <c r="A582" i="1"/>
  <c r="A151" i="1"/>
  <c r="A298" i="1"/>
  <c r="A904" i="1"/>
  <c r="A531" i="1"/>
  <c r="A549" i="1"/>
  <c r="A571" i="1"/>
  <c r="A640" i="1"/>
  <c r="A935" i="1"/>
  <c r="A142" i="1"/>
  <c r="A664" i="1"/>
  <c r="A224" i="1"/>
  <c r="A58" i="1"/>
  <c r="A430" i="1"/>
  <c r="A601" i="1"/>
  <c r="A993" i="1"/>
  <c r="A727" i="1"/>
  <c r="A944" i="1"/>
  <c r="A1096" i="1"/>
  <c r="A1036" i="1"/>
  <c r="A679" i="1"/>
  <c r="A671" i="1"/>
  <c r="A373" i="1"/>
  <c r="A223" i="1"/>
  <c r="A55" i="1"/>
  <c r="A176" i="1"/>
  <c r="A962" i="1"/>
  <c r="A240" i="1"/>
  <c r="A322" i="1"/>
  <c r="A578" i="1"/>
  <c r="A410" i="1"/>
  <c r="A1157" i="1"/>
  <c r="A350" i="1"/>
  <c r="A647" i="1"/>
  <c r="A909" i="1"/>
  <c r="A975" i="1"/>
  <c r="A570" i="1"/>
  <c r="A599" i="1"/>
  <c r="A194" i="1"/>
  <c r="A364" i="1"/>
  <c r="A653" i="1"/>
  <c r="A1037" i="1"/>
  <c r="A1093" i="1"/>
  <c r="A967" i="1"/>
  <c r="A757" i="1"/>
  <c r="A801" i="1"/>
  <c r="A759" i="1"/>
  <c r="A1014" i="1"/>
  <c r="A108" i="1"/>
  <c r="A408" i="1"/>
  <c r="A678" i="1"/>
  <c r="A1132" i="1"/>
  <c r="A558" i="1"/>
  <c r="A1042" i="1"/>
  <c r="A1108" i="1"/>
  <c r="A267" i="1"/>
  <c r="A53" i="1"/>
  <c r="A254" i="1"/>
  <c r="A1085" i="1"/>
  <c r="A174" i="1"/>
  <c r="A572" i="1"/>
  <c r="A777" i="1"/>
  <c r="A948" i="1"/>
  <c r="A625" i="1"/>
  <c r="A938" i="1"/>
  <c r="A238" i="1"/>
  <c r="A1128" i="1"/>
  <c r="A1019" i="1"/>
  <c r="A214" i="1"/>
  <c r="A476" i="1"/>
  <c r="A952" i="1"/>
  <c r="A512" i="1"/>
  <c r="A655" i="1"/>
  <c r="A926" i="1"/>
  <c r="A743" i="1"/>
  <c r="A1079" i="1"/>
  <c r="A670" i="1"/>
  <c r="A1034" i="1"/>
  <c r="A769" i="1"/>
  <c r="A946" i="1"/>
  <c r="A559" i="1"/>
  <c r="A1117" i="1"/>
  <c r="A811" i="1"/>
  <c r="A1140" i="1"/>
  <c r="A1071" i="1"/>
  <c r="A463" i="1"/>
  <c r="A458" i="1"/>
  <c r="A243" i="1"/>
  <c r="A349" i="1"/>
  <c r="A206" i="1"/>
  <c r="A308" i="1"/>
  <c r="A119" i="1"/>
  <c r="A109" i="1"/>
  <c r="A1170" i="1"/>
  <c r="A241" i="1"/>
  <c r="A532" i="1"/>
  <c r="A1130" i="1"/>
  <c r="A170" i="1"/>
  <c r="A562" i="1"/>
  <c r="A736" i="1"/>
  <c r="A268" i="1"/>
  <c r="A985" i="1"/>
  <c r="A737" i="1"/>
  <c r="A1196" i="1"/>
  <c r="A756" i="1"/>
  <c r="A1009" i="1"/>
  <c r="A112" i="1"/>
  <c r="A803" i="1"/>
  <c r="A320" i="1"/>
  <c r="A994" i="1"/>
  <c r="A783" i="1"/>
  <c r="A660" i="1"/>
  <c r="A1099" i="1"/>
  <c r="A156" i="1"/>
  <c r="A619" i="1"/>
  <c r="A682" i="1"/>
  <c r="A436" i="1"/>
  <c r="A158" i="1"/>
  <c r="A797" i="1"/>
  <c r="A301" i="1"/>
  <c r="A457" i="1"/>
  <c r="A472" i="1"/>
  <c r="A488" i="1"/>
  <c r="A462" i="1"/>
  <c r="A515" i="1"/>
  <c r="A310" i="1"/>
  <c r="A276" i="1"/>
  <c r="A723" i="1"/>
  <c r="A338" i="1"/>
  <c r="A1105" i="1"/>
  <c r="A1147" i="1"/>
  <c r="A1182" i="1"/>
  <c r="A978" i="1"/>
  <c r="A346" i="1"/>
  <c r="A692" i="1"/>
  <c r="A897" i="1"/>
  <c r="A662" i="1"/>
  <c r="A49" i="1"/>
  <c r="A166" i="1"/>
  <c r="A226" i="1"/>
  <c r="A388" i="1"/>
  <c r="A1102" i="1"/>
  <c r="A774" i="1"/>
  <c r="A197" i="1"/>
  <c r="A136" i="1"/>
  <c r="A688" i="1"/>
  <c r="A1195" i="1"/>
  <c r="A305" i="1"/>
  <c r="A631" i="1"/>
  <c r="A1121" i="1"/>
  <c r="A445" i="1"/>
  <c r="A787" i="1"/>
  <c r="A862" i="1"/>
  <c r="A814" i="1"/>
  <c r="A896" i="1"/>
  <c r="A1030" i="1"/>
  <c r="A827" i="1"/>
  <c r="A416" i="1"/>
  <c r="A376" i="1"/>
  <c r="A239" i="1"/>
  <c r="A1098" i="1"/>
  <c r="A94" i="1"/>
  <c r="A490" i="1"/>
  <c r="A981" i="1"/>
  <c r="A794" i="1"/>
  <c r="A911" i="1"/>
  <c r="A437" i="1"/>
  <c r="A732" i="1"/>
  <c r="A227" i="1"/>
  <c r="A899" i="1"/>
  <c r="A1168" i="1"/>
  <c r="A461" i="1"/>
  <c r="A1008" i="1"/>
  <c r="A1197" i="1"/>
  <c r="A234" i="1"/>
  <c r="A155" i="1"/>
  <c r="A925" i="1"/>
  <c r="A285" i="1"/>
  <c r="A222" i="1"/>
  <c r="A634" i="1"/>
  <c r="A878" i="1"/>
  <c r="A371" i="1"/>
  <c r="A135" i="1"/>
  <c r="A747" i="1"/>
  <c r="A1200" i="1"/>
  <c r="A1138" i="1"/>
  <c r="A474" i="1"/>
  <c r="A887" i="1"/>
  <c r="A613" i="1"/>
  <c r="A1073" i="1"/>
  <c r="A744" i="1"/>
  <c r="A456" i="1"/>
  <c r="A164" i="1"/>
  <c r="A1163" i="1"/>
  <c r="A795" i="1"/>
  <c r="A503" i="1"/>
  <c r="A1162" i="1"/>
  <c r="A368" i="1"/>
  <c r="A852" i="1"/>
  <c r="A928" i="1"/>
  <c r="A309" i="1"/>
  <c r="A522" i="1"/>
  <c r="A292" i="1"/>
  <c r="A1064" i="1"/>
  <c r="A407" i="1"/>
  <c r="A1000" i="1"/>
  <c r="A344" i="1"/>
  <c r="A1134" i="1"/>
  <c r="A89" i="1"/>
  <c r="A438" i="1"/>
  <c r="A419" i="1"/>
  <c r="A36" i="1"/>
  <c r="A718" i="1"/>
  <c r="A1149" i="1"/>
  <c r="A225" i="1"/>
  <c r="A703" i="1"/>
  <c r="A217" i="1"/>
  <c r="A180" i="1"/>
  <c r="A323" i="1"/>
  <c r="A195" i="1"/>
  <c r="A1160" i="1"/>
  <c r="A366" i="1"/>
  <c r="A901" i="1"/>
  <c r="A62" i="1"/>
  <c r="A402" i="1"/>
  <c r="A330" i="1"/>
  <c r="A149" i="1"/>
  <c r="A565" i="1"/>
  <c r="A265" i="1"/>
  <c r="A806" i="1"/>
  <c r="A1144" i="1"/>
  <c r="A949" i="1"/>
  <c r="A733" i="1"/>
  <c r="A536" i="1"/>
  <c r="A1193" i="1"/>
  <c r="A953" i="1"/>
  <c r="A303" i="1"/>
  <c r="A392" i="1"/>
  <c r="A873" i="1"/>
  <c r="A1111" i="1"/>
  <c r="A845" i="1"/>
  <c r="A798" i="1"/>
  <c r="A1092" i="1"/>
  <c r="A1028" i="1"/>
  <c r="A779" i="1"/>
  <c r="A579" i="1"/>
  <c r="A427" i="1"/>
  <c r="A760" i="1"/>
  <c r="A805" i="1"/>
  <c r="A12" i="1"/>
  <c r="A329" i="1"/>
  <c r="A107" i="1"/>
  <c r="A379" i="1"/>
  <c r="A775" i="1"/>
  <c r="A1152" i="1"/>
  <c r="A190" i="1"/>
  <c r="A184" i="1"/>
  <c r="A826" i="1"/>
  <c r="A501" i="1"/>
  <c r="A405" i="1"/>
  <c r="A812" i="1"/>
  <c r="A450" i="1"/>
  <c r="A984" i="1"/>
  <c r="A545" i="1"/>
  <c r="A162" i="1"/>
  <c r="A104" i="1"/>
  <c r="A400" i="1"/>
  <c r="A663" i="1"/>
  <c r="A80" i="1"/>
  <c r="A324" i="1"/>
  <c r="A581" i="1"/>
  <c r="A76" i="1"/>
  <c r="A575" i="1"/>
  <c r="A389" i="1"/>
  <c r="A792" i="1"/>
  <c r="A81" i="1"/>
  <c r="A103" i="1"/>
  <c r="A1023" i="1"/>
  <c r="A900" i="1"/>
  <c r="A992" i="1"/>
  <c r="A1035" i="1"/>
  <c r="A48" i="1"/>
  <c r="A478" i="1"/>
  <c r="A633" i="1"/>
  <c r="A1141" i="1"/>
  <c r="A865" i="1"/>
  <c r="A483" i="1"/>
  <c r="A99" i="1"/>
  <c r="A1029" i="1"/>
  <c r="A898" i="1"/>
  <c r="A477" i="1"/>
  <c r="A314" i="1"/>
  <c r="A1052" i="1"/>
  <c r="A351" i="1"/>
  <c r="A622" i="1"/>
  <c r="A665" i="1"/>
  <c r="A790" i="1"/>
  <c r="A1124" i="1"/>
  <c r="A707" i="1"/>
  <c r="A742" i="1"/>
  <c r="A620" i="1"/>
  <c r="A307" i="1"/>
  <c r="A621" i="1"/>
  <c r="A544" i="1"/>
  <c r="A235" i="1"/>
  <c r="A375" i="1"/>
  <c r="A778" i="1"/>
  <c r="A209" i="1"/>
  <c r="A1072" i="1"/>
  <c r="A1015" i="1"/>
  <c r="A552" i="1"/>
  <c r="A470" i="1"/>
  <c r="A675" i="1"/>
  <c r="A397" i="1"/>
  <c r="A844" i="1"/>
  <c r="A492" i="1"/>
  <c r="A644" i="1"/>
  <c r="A609" i="1"/>
  <c r="A608" i="1"/>
  <c r="A651" i="1"/>
  <c r="A1082" i="1"/>
  <c r="A126" i="1"/>
  <c r="A1080" i="1"/>
  <c r="A41" i="1"/>
  <c r="A710" i="1"/>
  <c r="A434" i="1"/>
  <c r="A134" i="1"/>
  <c r="A85" i="1"/>
  <c r="A127" i="1"/>
  <c r="A1176" i="1"/>
  <c r="A1050" i="1"/>
  <c r="A691" i="1"/>
  <c r="B45" i="1" a="1"/>
  <c r="B45" i="1" s="1"/>
  <c r="C45" i="1" s="1"/>
  <c r="B262" i="1" a="1"/>
  <c r="B262" i="1" s="1"/>
  <c r="C262" i="1" s="1"/>
  <c r="B529" i="1" a="1"/>
  <c r="B529" i="1"/>
  <c r="C529" i="1" s="1"/>
  <c r="B152" i="1" a="1"/>
  <c r="B152" i="1" s="1"/>
  <c r="C152" i="1" s="1"/>
  <c r="B1186" i="1" a="1"/>
  <c r="B1186" i="1" s="1"/>
  <c r="C1186" i="1" s="1"/>
  <c r="B804" i="1" a="1"/>
  <c r="B804" i="1" s="1"/>
  <c r="C804" i="1" s="1"/>
  <c r="B711" i="1" a="1"/>
  <c r="B711" i="1" s="1"/>
  <c r="C711" i="1" s="1"/>
  <c r="B626" i="1" a="1"/>
  <c r="B626" i="1" s="1"/>
  <c r="C626" i="1" s="1"/>
  <c r="B751" i="1" a="1"/>
  <c r="B751" i="1" s="1"/>
  <c r="C751" i="1" s="1"/>
  <c r="B386" i="1" a="1"/>
  <c r="B386" i="1" s="1"/>
  <c r="C386" i="1" s="1"/>
  <c r="B1007" i="1" a="1"/>
  <c r="B1007" i="1" s="1"/>
  <c r="C1007" i="1" s="1"/>
  <c r="B129" i="1" a="1"/>
  <c r="B129" i="1" s="1"/>
  <c r="C129" i="1" s="1"/>
  <c r="B606" i="1" a="1"/>
  <c r="B606" i="1" s="1"/>
  <c r="C606" i="1" s="1"/>
  <c r="B995" i="1" a="1"/>
  <c r="B995" i="1" s="1"/>
  <c r="C995" i="1" s="1"/>
  <c r="B698" i="1" a="1"/>
  <c r="B698" i="1" s="1"/>
  <c r="C698" i="1" s="1"/>
  <c r="B1119" i="1" a="1"/>
  <c r="B1119" i="1" s="1"/>
  <c r="C1119" i="1" s="1"/>
  <c r="B242" i="1" a="1"/>
  <c r="B242" i="1" s="1"/>
  <c r="C242" i="1" s="1"/>
  <c r="B144" i="1" a="1"/>
  <c r="B144" i="1" s="1"/>
  <c r="C144" i="1" s="1"/>
  <c r="B65" i="1" a="1"/>
  <c r="B65" i="1" s="1"/>
  <c r="C65" i="1" s="1"/>
  <c r="B550" i="1" a="1"/>
  <c r="B550" i="1" s="1"/>
  <c r="C550" i="1" s="1"/>
  <c r="B348" i="1" a="1"/>
  <c r="B348" i="1" s="1"/>
  <c r="C348" i="1" s="1"/>
  <c r="B1075" i="1" a="1"/>
  <c r="B1075" i="1" s="1"/>
  <c r="C1075" i="1" s="1"/>
  <c r="B87" i="1" a="1"/>
  <c r="B87" i="1" s="1"/>
  <c r="C87" i="1" s="1"/>
  <c r="B401" i="1" a="1"/>
  <c r="B401" i="1" s="1"/>
  <c r="C401" i="1" s="1"/>
  <c r="B213" i="1" a="1"/>
  <c r="B213" i="1" s="1"/>
  <c r="C213" i="1" s="1"/>
  <c r="B215" i="1" a="1"/>
  <c r="B215" i="1" s="1"/>
  <c r="C215" i="1" s="1"/>
  <c r="B455" i="1" a="1"/>
  <c r="B455" i="1" s="1"/>
  <c r="C455" i="1" s="1"/>
  <c r="B443" i="1" a="1"/>
  <c r="B443" i="1" s="1"/>
  <c r="C443" i="1" s="1"/>
  <c r="B947" i="1" a="1"/>
  <c r="B947" i="1" s="1"/>
  <c r="C947" i="1" s="1"/>
  <c r="B977" i="1" a="1"/>
  <c r="B977" i="1" s="1"/>
  <c r="C977" i="1" s="1"/>
  <c r="B216" i="1" a="1"/>
  <c r="B216" i="1" s="1"/>
  <c r="C216" i="1" s="1"/>
  <c r="B597" i="1" a="1"/>
  <c r="B597" i="1" s="1"/>
  <c r="C597" i="1" s="1"/>
  <c r="B1174" i="1" a="1"/>
  <c r="B1174" i="1" s="1"/>
  <c r="C1174" i="1" s="1"/>
  <c r="B153" i="1" a="1"/>
  <c r="B153" i="1" s="1"/>
  <c r="C153" i="1" s="1"/>
  <c r="B230" i="1" a="1"/>
  <c r="B230" i="1" s="1"/>
  <c r="C230" i="1" s="1"/>
  <c r="B525" i="1" a="1"/>
  <c r="B525" i="1" s="1"/>
  <c r="C525" i="1" s="1"/>
  <c r="B51" i="1" a="1"/>
  <c r="B51" i="1" s="1"/>
  <c r="C51" i="1" s="1"/>
  <c r="B263" i="1" a="1"/>
  <c r="B263" i="1" s="1"/>
  <c r="C263" i="1" s="1"/>
  <c r="B951" i="1" a="1"/>
  <c r="B951" i="1" s="1"/>
  <c r="C951" i="1" s="1"/>
  <c r="B2" i="1" a="1"/>
  <c r="B2" i="1" s="1"/>
  <c r="C2" i="1" s="1"/>
  <c r="B293" i="1" a="1"/>
  <c r="B293" i="1" s="1"/>
  <c r="C293" i="1" s="1"/>
  <c r="B360" i="1" a="1"/>
  <c r="B360" i="1" s="1"/>
  <c r="C360" i="1" s="1"/>
  <c r="B13" i="1" a="1"/>
  <c r="B13" i="1" s="1"/>
  <c r="C13" i="1" s="1"/>
  <c r="B600" i="1" a="1"/>
  <c r="B600" i="1" s="1"/>
  <c r="C600" i="1" s="1"/>
  <c r="B1063" i="1" a="1"/>
  <c r="B1063" i="1" s="1"/>
  <c r="C1063" i="1" s="1"/>
  <c r="B1031" i="1" a="1"/>
  <c r="B1031" i="1" s="1"/>
  <c r="C1031" i="1" s="1"/>
  <c r="B1114" i="1" a="1"/>
  <c r="B1114" i="1" s="1"/>
  <c r="C1114" i="1" s="1"/>
  <c r="B281" i="1" a="1"/>
  <c r="B281" i="1" s="1"/>
  <c r="C281" i="1" s="1"/>
  <c r="B428" i="1" a="1"/>
  <c r="B428" i="1" s="1"/>
  <c r="C428" i="1" s="1"/>
  <c r="B879" i="1" a="1"/>
  <c r="B879" i="1" s="1"/>
  <c r="C879" i="1" s="1"/>
  <c r="B1201" i="1" a="1"/>
  <c r="B1201" i="1" s="1"/>
  <c r="C1201" i="1" s="1"/>
  <c r="B1017" i="1" a="1"/>
  <c r="B1017" i="1" s="1"/>
  <c r="C1017" i="1" s="1"/>
  <c r="B353" i="1" a="1"/>
  <c r="B353" i="1" s="1"/>
  <c r="C353" i="1" s="1"/>
  <c r="B771" i="1" a="1"/>
  <c r="B771" i="1" s="1"/>
  <c r="C771" i="1" s="1"/>
  <c r="B758" i="1" a="1"/>
  <c r="B758" i="1" s="1"/>
  <c r="C758" i="1" s="1"/>
  <c r="B539" i="1" a="1"/>
  <c r="B539" i="1" s="1"/>
  <c r="C539" i="1" s="1"/>
  <c r="B417" i="1" a="1"/>
  <c r="B417" i="1" s="1"/>
  <c r="C417" i="1" s="1"/>
  <c r="B345" i="1" a="1"/>
  <c r="B345" i="1" s="1"/>
  <c r="C345" i="1" s="1"/>
  <c r="B903" i="1" a="1"/>
  <c r="B903" i="1" s="1"/>
  <c r="C903" i="1" s="1"/>
  <c r="B7" i="1" a="1"/>
  <c r="B7" i="1" s="1"/>
  <c r="C7" i="1" s="1"/>
  <c r="B249" i="1" a="1"/>
  <c r="B249" i="1" s="1"/>
  <c r="C249" i="1" s="1"/>
  <c r="B853" i="1" a="1"/>
  <c r="B853" i="1" s="1"/>
  <c r="C853" i="1" s="1"/>
  <c r="B605" i="1" a="1"/>
  <c r="B605" i="1" s="1"/>
  <c r="C605" i="1" s="1"/>
  <c r="B1026" i="1" a="1"/>
  <c r="B1026" i="1" s="1"/>
  <c r="C1026" i="1" s="1"/>
  <c r="B895" i="1" a="1"/>
  <c r="B895" i="1" s="1"/>
  <c r="C895" i="1" s="1"/>
  <c r="B1016" i="1" a="1"/>
  <c r="B1016" i="1" s="1"/>
  <c r="C1016" i="1" s="1"/>
  <c r="B712" i="1" a="1"/>
  <c r="B712" i="1" s="1"/>
  <c r="C712" i="1" s="1"/>
  <c r="B171" i="1" a="1"/>
  <c r="B171" i="1" s="1"/>
  <c r="C171" i="1" s="1"/>
  <c r="B602" i="1" a="1"/>
  <c r="B602" i="1"/>
  <c r="C602" i="1" s="1"/>
  <c r="B674" i="1" a="1"/>
  <c r="B674" i="1" s="1"/>
  <c r="C674" i="1" s="1"/>
  <c r="B1044" i="1" a="1"/>
  <c r="B1044" i="1" s="1"/>
  <c r="C1044" i="1" s="1"/>
  <c r="B96" i="1" a="1"/>
  <c r="B96" i="1" s="1"/>
  <c r="C96" i="1" s="1"/>
  <c r="B516" i="1" a="1"/>
  <c r="B516" i="1" s="1"/>
  <c r="C516" i="1" s="1"/>
  <c r="B584" i="1" a="1"/>
  <c r="B584" i="1" s="1"/>
  <c r="C584" i="1" s="1"/>
  <c r="B439" i="1" a="1"/>
  <c r="B439" i="1" s="1"/>
  <c r="C439" i="1" s="1"/>
  <c r="B810" i="1" a="1"/>
  <c r="B810" i="1" s="1"/>
  <c r="C810" i="1" s="1"/>
  <c r="B623" i="1" a="1"/>
  <c r="B623" i="1" s="1"/>
  <c r="C623" i="1" s="1"/>
  <c r="B291" i="1" a="1"/>
  <c r="B291" i="1" s="1"/>
  <c r="C291" i="1" s="1"/>
  <c r="B181" i="1" a="1"/>
  <c r="B181" i="1" s="1"/>
  <c r="C181" i="1" s="1"/>
  <c r="B39" i="1" a="1"/>
  <c r="B39" i="1" s="1"/>
  <c r="C39" i="1" s="1"/>
  <c r="B1137" i="1" a="1"/>
  <c r="B1137" i="1" s="1"/>
  <c r="C1137" i="1" s="1"/>
  <c r="B1004" i="1" a="1"/>
  <c r="B1004" i="1" s="1"/>
  <c r="C1004" i="1" s="1"/>
  <c r="B592" i="1" a="1"/>
  <c r="B592" i="1" s="1"/>
  <c r="C592" i="1" s="1"/>
  <c r="B1090" i="1" a="1"/>
  <c r="B1090" i="1" s="1"/>
  <c r="C1090" i="1" s="1"/>
  <c r="B724" i="1" a="1"/>
  <c r="B724" i="1" s="1"/>
  <c r="C724" i="1" s="1"/>
  <c r="B196" i="1" a="1"/>
  <c r="B196" i="1" s="1"/>
  <c r="C196" i="1" s="1"/>
  <c r="B1045" i="1" a="1"/>
  <c r="B1045" i="1" s="1"/>
  <c r="C1045" i="1" s="1"/>
  <c r="B95" i="1" a="1"/>
  <c r="B95" i="1" s="1"/>
  <c r="C95" i="1" s="1"/>
  <c r="B259" i="1" a="1"/>
  <c r="B259" i="1" s="1"/>
  <c r="C259" i="1" s="1"/>
  <c r="B67" i="1" a="1"/>
  <c r="B67" i="1" s="1"/>
  <c r="C67" i="1" s="1"/>
  <c r="B535" i="1" a="1"/>
  <c r="B535" i="1" s="1"/>
  <c r="C535" i="1" s="1"/>
  <c r="B117" i="1" a="1"/>
  <c r="B117" i="1" s="1"/>
  <c r="C117" i="1" s="1"/>
  <c r="B1001" i="1" a="1"/>
  <c r="B1001" i="1" s="1"/>
  <c r="C1001" i="1" s="1"/>
  <c r="B564" i="1" a="1"/>
  <c r="B564" i="1" s="1"/>
  <c r="C564" i="1" s="1"/>
  <c r="B1010" i="1" a="1"/>
  <c r="B1010" i="1" s="1"/>
  <c r="C1010" i="1" s="1"/>
  <c r="B607" i="1" a="1"/>
  <c r="B607" i="1" s="1"/>
  <c r="C607" i="1" s="1"/>
  <c r="B18" i="1" a="1"/>
  <c r="B18" i="1" s="1"/>
  <c r="C18" i="1" s="1"/>
  <c r="B612" i="1" a="1"/>
  <c r="B612" i="1" s="1"/>
  <c r="C612" i="1" s="1"/>
  <c r="B1038" i="1" a="1"/>
  <c r="B1038" i="1" s="1"/>
  <c r="C1038" i="1" s="1"/>
  <c r="B618" i="1" a="1"/>
  <c r="B618" i="1" s="1"/>
  <c r="C618" i="1" s="1"/>
  <c r="B1027" i="1" a="1"/>
  <c r="B1027" i="1" s="1"/>
  <c r="C1027" i="1" s="1"/>
  <c r="B1123" i="1" a="1"/>
  <c r="B1123" i="1" s="1"/>
  <c r="C1123" i="1" s="1"/>
  <c r="B963" i="1" a="1"/>
  <c r="B963" i="1" s="1"/>
  <c r="C963" i="1" s="1"/>
  <c r="B1171" i="1" a="1"/>
  <c r="B1171" i="1" s="1"/>
  <c r="C1171" i="1" s="1"/>
  <c r="B641" i="1" a="1"/>
  <c r="B641" i="1" s="1"/>
  <c r="C641" i="1" s="1"/>
  <c r="B1065" i="1" a="1"/>
  <c r="B1065" i="1" s="1"/>
  <c r="C1065" i="1" s="1"/>
  <c r="B347" i="1" a="1"/>
  <c r="B347" i="1" s="1"/>
  <c r="C347" i="1" s="1"/>
  <c r="B648" i="1" a="1"/>
  <c r="B648" i="1" s="1"/>
  <c r="C648" i="1" s="1"/>
  <c r="B983" i="1" a="1"/>
  <c r="B983" i="1" s="1"/>
  <c r="C983" i="1" s="1"/>
  <c r="B891" i="1" a="1"/>
  <c r="B891" i="1" s="1"/>
  <c r="C891" i="1" s="1"/>
  <c r="B880" i="1" a="1"/>
  <c r="B880" i="1" s="1"/>
  <c r="C880" i="1" s="1"/>
  <c r="B100" i="1" a="1"/>
  <c r="B100" i="1"/>
  <c r="C100" i="1" s="1"/>
  <c r="B765" i="1" a="1"/>
  <c r="B765" i="1" s="1"/>
  <c r="C765" i="1" s="1"/>
  <c r="B145" i="1" a="1"/>
  <c r="B145" i="1" s="1"/>
  <c r="C145" i="1" s="1"/>
  <c r="B1199" i="1" a="1"/>
  <c r="B1199" i="1" s="1"/>
  <c r="C1199" i="1" s="1"/>
  <c r="B370" i="1" a="1"/>
  <c r="B370" i="1" s="1"/>
  <c r="C370" i="1" s="1"/>
  <c r="B971" i="1" a="1"/>
  <c r="B971" i="1" s="1"/>
  <c r="C971" i="1" s="1"/>
  <c r="B374" i="1" a="1"/>
  <c r="B374" i="1" s="1"/>
  <c r="C374" i="1" s="1"/>
  <c r="B123" i="1" a="1"/>
  <c r="B123" i="1" s="1"/>
  <c r="C123" i="1" s="1"/>
  <c r="B378" i="1" a="1"/>
  <c r="B378" i="1" s="1"/>
  <c r="C378" i="1" s="1"/>
  <c r="B514" i="1" a="1"/>
  <c r="B514" i="1" s="1"/>
  <c r="C514" i="1" s="1"/>
  <c r="B429" i="1" a="1"/>
  <c r="B429" i="1" s="1"/>
  <c r="C429" i="1" s="1"/>
  <c r="B395" i="1" a="1"/>
  <c r="B395" i="1" s="1"/>
  <c r="C395" i="1" s="1"/>
  <c r="B789" i="1" a="1"/>
  <c r="B789" i="1" s="1"/>
  <c r="C789" i="1" s="1"/>
  <c r="B821" i="1" a="1"/>
  <c r="B821" i="1" s="1"/>
  <c r="C821" i="1" s="1"/>
  <c r="B583" i="1" a="1"/>
  <c r="B583" i="1" s="1"/>
  <c r="C583" i="1" s="1"/>
  <c r="B551" i="1" a="1"/>
  <c r="B551" i="1" s="1"/>
  <c r="C551" i="1" s="1"/>
  <c r="B105" i="1" a="1"/>
  <c r="B105" i="1" s="1"/>
  <c r="C105" i="1" s="1"/>
  <c r="B424" i="1" a="1"/>
  <c r="B424" i="1" s="1"/>
  <c r="C424" i="1" s="1"/>
  <c r="B451" i="1" a="1"/>
  <c r="B451" i="1" s="1"/>
  <c r="C451" i="1" s="1"/>
  <c r="B815" i="1" a="1"/>
  <c r="B815" i="1" s="1"/>
  <c r="C815" i="1" s="1"/>
  <c r="B1078" i="1" a="1"/>
  <c r="B1078" i="1" s="1"/>
  <c r="C1078" i="1" s="1"/>
  <c r="B131" i="1" a="1"/>
  <c r="B131" i="1" s="1"/>
  <c r="C131" i="1" s="1"/>
  <c r="B253" i="1" a="1"/>
  <c r="B253" i="1" s="1"/>
  <c r="C253" i="1" s="1"/>
  <c r="B207" i="1" a="1"/>
  <c r="B207" i="1" s="1"/>
  <c r="C207" i="1" s="1"/>
  <c r="B411" i="1" a="1"/>
  <c r="B411" i="1" s="1"/>
  <c r="C411" i="1" s="1"/>
  <c r="B721" i="1" a="1"/>
  <c r="B721" i="1" s="1"/>
  <c r="C721" i="1" s="1"/>
  <c r="B517" i="1" a="1"/>
  <c r="B517" i="1" s="1"/>
  <c r="C517" i="1" s="1"/>
  <c r="B657" i="1" a="1"/>
  <c r="B657" i="1" s="1"/>
  <c r="C657" i="1" s="1"/>
  <c r="B990" i="1" a="1"/>
  <c r="B990" i="1" s="1"/>
  <c r="C990" i="1" s="1"/>
  <c r="B177" i="1" a="1"/>
  <c r="B177" i="1" s="1"/>
  <c r="C177" i="1" s="1"/>
  <c r="B858" i="1" a="1"/>
  <c r="B858" i="1" s="1"/>
  <c r="C858" i="1" s="1"/>
  <c r="B541" i="1" a="1"/>
  <c r="B541" i="1" s="1"/>
  <c r="C541" i="1" s="1"/>
  <c r="B473" i="1" a="1"/>
  <c r="B473" i="1"/>
  <c r="C473" i="1" s="1"/>
  <c r="B464" i="1" a="1"/>
  <c r="B464" i="1" s="1"/>
  <c r="C464" i="1" s="1"/>
  <c r="B138" i="1" a="1"/>
  <c r="B138" i="1" s="1"/>
  <c r="C138" i="1" s="1"/>
  <c r="B471" i="1" a="1"/>
  <c r="B471" i="1" s="1"/>
  <c r="C471" i="1" s="1"/>
  <c r="B1054" i="1" a="1"/>
  <c r="B1054" i="1" s="1"/>
  <c r="C1054" i="1" s="1"/>
  <c r="B1109" i="1" a="1"/>
  <c r="B1109" i="1" s="1"/>
  <c r="C1109" i="1" s="1"/>
  <c r="B818" i="1" a="1"/>
  <c r="B818" i="1" s="1"/>
  <c r="C818" i="1" s="1"/>
  <c r="B875" i="1" a="1"/>
  <c r="B875" i="1" s="1"/>
  <c r="C875" i="1" s="1"/>
  <c r="B38" i="1" a="1"/>
  <c r="B38" i="1" s="1"/>
  <c r="C38" i="1" s="1"/>
  <c r="B69" i="1" a="1"/>
  <c r="B69" i="1" s="1"/>
  <c r="C69" i="1" s="1"/>
  <c r="B255" i="1" a="1"/>
  <c r="B255" i="1" s="1"/>
  <c r="C255" i="1" s="1"/>
  <c r="B380" i="1" a="1"/>
  <c r="B380" i="1" s="1"/>
  <c r="C380" i="1" s="1"/>
  <c r="B157" i="1" a="1"/>
  <c r="B157" i="1" s="1"/>
  <c r="C157" i="1" s="1"/>
  <c r="B659" i="1" a="1"/>
  <c r="B659" i="1" s="1"/>
  <c r="C659" i="1" s="1"/>
  <c r="B957" i="1" a="1"/>
  <c r="B957" i="1" s="1"/>
  <c r="C957" i="1" s="1"/>
  <c r="B479" i="1" a="1"/>
  <c r="B479" i="1" s="1"/>
  <c r="C479" i="1" s="1"/>
  <c r="B842" i="1" a="1"/>
  <c r="B842" i="1" s="1"/>
  <c r="C842" i="1" s="1"/>
  <c r="B367" i="1" a="1"/>
  <c r="B367" i="1" s="1"/>
  <c r="C367" i="1" s="1"/>
  <c r="B497" i="1" a="1"/>
  <c r="B497" i="1" s="1"/>
  <c r="C497" i="1" s="1"/>
  <c r="B611" i="1" a="1"/>
  <c r="B611" i="1" s="1"/>
  <c r="C611" i="1" s="1"/>
  <c r="B1164" i="1" a="1"/>
  <c r="B1164" i="1" s="1"/>
  <c r="C1164" i="1" s="1"/>
  <c r="B286" i="1" a="1"/>
  <c r="B286" i="1" s="1"/>
  <c r="C286" i="1" s="1"/>
  <c r="B553" i="1" a="1"/>
  <c r="B553" i="1" s="1"/>
  <c r="C553" i="1" s="1"/>
  <c r="B813" i="1" a="1"/>
  <c r="B813" i="1" s="1"/>
  <c r="C813" i="1" s="1"/>
  <c r="B704" i="1" a="1"/>
  <c r="B704" i="1" s="1"/>
  <c r="C704" i="1" s="1"/>
  <c r="B187" i="1" a="1"/>
  <c r="B187" i="1"/>
  <c r="C187" i="1" s="1"/>
  <c r="B426" i="1" a="1"/>
  <c r="B426" i="1" s="1"/>
  <c r="C426" i="1" s="1"/>
  <c r="B781" i="1" a="1"/>
  <c r="B781" i="1" s="1"/>
  <c r="C781" i="1" s="1"/>
  <c r="B60" i="1" a="1"/>
  <c r="B60" i="1" s="1"/>
  <c r="C60" i="1" s="1"/>
  <c r="B1091" i="1" a="1"/>
  <c r="B1091" i="1" s="1"/>
  <c r="C1091" i="1" s="1"/>
  <c r="B914" i="1" a="1"/>
  <c r="B914" i="1" s="1"/>
  <c r="C914" i="1" s="1"/>
  <c r="B377" i="1" a="1"/>
  <c r="B377" i="1"/>
  <c r="C377" i="1" s="1"/>
  <c r="B766" i="1" a="1"/>
  <c r="B766" i="1" s="1"/>
  <c r="C766" i="1" s="1"/>
  <c r="B440" i="1" a="1"/>
  <c r="B440" i="1"/>
  <c r="C440" i="1" s="1"/>
  <c r="B88" i="1" a="1"/>
  <c r="B88" i="1" s="1"/>
  <c r="C88" i="1" s="1"/>
  <c r="B1113" i="1" a="1"/>
  <c r="B1113" i="1" s="1"/>
  <c r="C1113" i="1" s="1"/>
  <c r="B677" i="1" a="1"/>
  <c r="B677" i="1"/>
  <c r="C677" i="1" s="1"/>
  <c r="B175" i="1" a="1"/>
  <c r="B175" i="1" s="1"/>
  <c r="C175" i="1" s="1"/>
  <c r="B638" i="1" a="1"/>
  <c r="B638" i="1" s="1"/>
  <c r="C638" i="1" s="1"/>
  <c r="B1053" i="1" a="1"/>
  <c r="B1053" i="1" s="1"/>
  <c r="C1053" i="1" s="1"/>
  <c r="B200" i="1" a="1"/>
  <c r="B200" i="1" s="1"/>
  <c r="C200" i="1" s="1"/>
  <c r="B780" i="1" a="1"/>
  <c r="B780" i="1" s="1"/>
  <c r="C780" i="1" s="1"/>
  <c r="B414" i="1" a="1"/>
  <c r="B414" i="1" s="1"/>
  <c r="C414" i="1" s="1"/>
  <c r="B856" i="1" a="1"/>
  <c r="B856" i="1" s="1"/>
  <c r="C856" i="1" s="1"/>
  <c r="B1178" i="1" a="1"/>
  <c r="B1178" i="1" s="1"/>
  <c r="C1178" i="1" s="1"/>
  <c r="B1126" i="1" a="1"/>
  <c r="B1126" i="1" s="1"/>
  <c r="C1126" i="1" s="1"/>
  <c r="B387" i="1" a="1"/>
  <c r="B387" i="1" s="1"/>
  <c r="C387" i="1" s="1"/>
  <c r="B817" i="1" a="1"/>
  <c r="B817" i="1" s="1"/>
  <c r="C817" i="1" s="1"/>
  <c r="B1184" i="1" a="1"/>
  <c r="B1184" i="1" s="1"/>
  <c r="C1184" i="1" s="1"/>
  <c r="B538" i="1" a="1"/>
  <c r="B538" i="1" s="1"/>
  <c r="C538" i="1" s="1"/>
  <c r="B1020" i="1" a="1"/>
  <c r="B1020" i="1" s="1"/>
  <c r="C1020" i="1" s="1"/>
  <c r="B1097" i="1" a="1"/>
  <c r="B1097" i="1" s="1"/>
  <c r="C1097" i="1" s="1"/>
  <c r="B1148" i="1" a="1"/>
  <c r="B1148" i="1" s="1"/>
  <c r="C1148" i="1" s="1"/>
  <c r="B649" i="1" a="1"/>
  <c r="B649" i="1" s="1"/>
  <c r="C649" i="1" s="1"/>
  <c r="B854" i="1" a="1"/>
  <c r="B854" i="1" s="1"/>
  <c r="C854" i="1" s="1"/>
  <c r="B384" i="1" a="1"/>
  <c r="B384" i="1" s="1"/>
  <c r="C384" i="1" s="1"/>
  <c r="B883" i="1" a="1"/>
  <c r="B883" i="1" s="1"/>
  <c r="C883" i="1" s="1"/>
  <c r="B791" i="1" a="1"/>
  <c r="B791" i="1" s="1"/>
  <c r="C791" i="1" s="1"/>
  <c r="B188" i="1" a="1"/>
  <c r="B188" i="1" s="1"/>
  <c r="C188" i="1" s="1"/>
  <c r="B940" i="1" a="1"/>
  <c r="B940" i="1" s="1"/>
  <c r="C940" i="1" s="1"/>
  <c r="B141" i="1" a="1"/>
  <c r="B141" i="1" s="1"/>
  <c r="C141" i="1" s="1"/>
  <c r="B1175" i="1" a="1"/>
  <c r="B1175" i="1" s="1"/>
  <c r="C1175" i="1" s="1"/>
  <c r="B482" i="1" a="1"/>
  <c r="B482" i="1" s="1"/>
  <c r="C482" i="1" s="1"/>
  <c r="B886" i="1" a="1"/>
  <c r="B886" i="1" s="1"/>
  <c r="C886" i="1" s="1"/>
  <c r="B1172" i="1" a="1"/>
  <c r="B1172" i="1" s="1"/>
  <c r="C1172" i="1" s="1"/>
  <c r="B1089" i="1" a="1"/>
  <c r="B1089" i="1" s="1"/>
  <c r="C1089" i="1" s="1"/>
  <c r="B132" i="1" a="1"/>
  <c r="B132" i="1" s="1"/>
  <c r="C132" i="1" s="1"/>
  <c r="B114" i="1" a="1"/>
  <c r="B114" i="1" s="1"/>
  <c r="C114" i="1" s="1"/>
  <c r="B502" i="1" a="1"/>
  <c r="B502" i="1" s="1"/>
  <c r="C502" i="1" s="1"/>
  <c r="B1002" i="1" a="1"/>
  <c r="B1002" i="1" s="1"/>
  <c r="C1002" i="1" s="1"/>
  <c r="B362" i="1" a="1"/>
  <c r="B362" i="1" s="1"/>
  <c r="C362" i="1" s="1"/>
  <c r="B920" i="1" a="1"/>
  <c r="B920" i="1" s="1"/>
  <c r="C920" i="1" s="1"/>
  <c r="B78" i="1" a="1"/>
  <c r="B78" i="1" s="1"/>
  <c r="C78" i="1" s="1"/>
  <c r="B720" i="1" a="1"/>
  <c r="B720" i="1" s="1"/>
  <c r="C720" i="1" s="1"/>
  <c r="B705" i="1" a="1"/>
  <c r="B705" i="1"/>
  <c r="C705" i="1" s="1"/>
  <c r="B442" i="1" a="1"/>
  <c r="B442" i="1" s="1"/>
  <c r="C442" i="1" s="1"/>
  <c r="B486" i="1" a="1"/>
  <c r="B486" i="1" s="1"/>
  <c r="C486" i="1" s="1"/>
  <c r="B824" i="1" a="1"/>
  <c r="B824" i="1" s="1"/>
  <c r="C824" i="1" s="1"/>
  <c r="B185" i="1" a="1"/>
  <c r="B185" i="1" s="1"/>
  <c r="C185" i="1" s="1"/>
  <c r="B528" i="1" a="1"/>
  <c r="B528" i="1" s="1"/>
  <c r="C528" i="1" s="1"/>
  <c r="B521" i="1" a="1"/>
  <c r="B521" i="1" s="1"/>
  <c r="C521" i="1" s="1"/>
  <c r="B1115" i="1" a="1"/>
  <c r="B1115" i="1" s="1"/>
  <c r="C1115" i="1" s="1"/>
  <c r="B893" i="1" a="1"/>
  <c r="B893" i="1" s="1"/>
  <c r="C893" i="1" s="1"/>
  <c r="B569" i="1" a="1"/>
  <c r="B569" i="1" s="1"/>
  <c r="C569" i="1" s="1"/>
  <c r="B1056" i="1" a="1"/>
  <c r="B1056" i="1" s="1"/>
  <c r="C1056" i="1" s="1"/>
  <c r="B1179" i="1" a="1"/>
  <c r="B1179" i="1" s="1"/>
  <c r="C1179" i="1" s="1"/>
  <c r="B433" i="1" a="1"/>
  <c r="B433" i="1" s="1"/>
  <c r="C433" i="1" s="1"/>
  <c r="B321" i="1" a="1"/>
  <c r="B321" i="1" s="1"/>
  <c r="C321" i="1" s="1"/>
  <c r="B526" i="1" a="1"/>
  <c r="B526" i="1" s="1"/>
  <c r="C526" i="1" s="1"/>
  <c r="B399" i="1" a="1"/>
  <c r="B399" i="1" s="1"/>
  <c r="C399" i="1" s="1"/>
  <c r="B725" i="1" a="1"/>
  <c r="B725" i="1" s="1"/>
  <c r="C725" i="1" s="1"/>
  <c r="B729" i="1" a="1"/>
  <c r="B729" i="1" s="1"/>
  <c r="C729" i="1" s="1"/>
  <c r="B432" i="1" a="1"/>
  <c r="B432" i="1" s="1"/>
  <c r="C432" i="1" s="1"/>
  <c r="B785" i="1" a="1"/>
  <c r="B785" i="1" s="1"/>
  <c r="C785" i="1" s="1"/>
  <c r="B537" i="1" a="1"/>
  <c r="B537" i="1" s="1"/>
  <c r="C537" i="1" s="1"/>
  <c r="B863" i="1" a="1"/>
  <c r="B863" i="1" s="1"/>
  <c r="C863" i="1" s="1"/>
  <c r="B513" i="1" a="1"/>
  <c r="B513" i="1" s="1"/>
  <c r="C513" i="1" s="1"/>
  <c r="B481" i="1" a="1"/>
  <c r="B481" i="1" s="1"/>
  <c r="C481" i="1" s="1"/>
  <c r="B1190" i="1" a="1"/>
  <c r="B1190" i="1" s="1"/>
  <c r="C1190" i="1" s="1"/>
  <c r="B906" i="1" a="1"/>
  <c r="B906" i="1" s="1"/>
  <c r="C906" i="1" s="1"/>
  <c r="B793" i="1" a="1"/>
  <c r="B793" i="1" s="1"/>
  <c r="C793" i="1" s="1"/>
  <c r="B1181" i="1" a="1"/>
  <c r="B1181" i="1" s="1"/>
  <c r="C1181" i="1" s="1"/>
  <c r="B997" i="1" a="1"/>
  <c r="B997" i="1" s="1"/>
  <c r="C997" i="1" s="1"/>
  <c r="B735" i="1" a="1"/>
  <c r="B735" i="1" s="1"/>
  <c r="C735" i="1" s="1"/>
  <c r="B932" i="1" a="1"/>
  <c r="B932" i="1" s="1"/>
  <c r="C932" i="1" s="1"/>
  <c r="B910" i="1" a="1"/>
  <c r="B910" i="1" s="1"/>
  <c r="C910" i="1" s="1"/>
  <c r="B74" i="1" a="1"/>
  <c r="B74" i="1" s="1"/>
  <c r="C74" i="1" s="1"/>
  <c r="B563" i="1" a="1"/>
  <c r="B563" i="1" s="1"/>
  <c r="C563" i="1" s="1"/>
  <c r="B336" i="1" a="1"/>
  <c r="B336" i="1" s="1"/>
  <c r="C336" i="1" s="1"/>
  <c r="B1021" i="1" a="1"/>
  <c r="B1021" i="1" s="1"/>
  <c r="C1021" i="1" s="1"/>
  <c r="B247" i="1" a="1"/>
  <c r="B247" i="1" s="1"/>
  <c r="C247" i="1" s="1"/>
  <c r="B484" i="1" a="1"/>
  <c r="B484" i="1" s="1"/>
  <c r="C484" i="1" s="1"/>
  <c r="B1024" i="1" a="1"/>
  <c r="B1024" i="1" s="1"/>
  <c r="C1024" i="1" s="1"/>
  <c r="B302" i="1" a="1"/>
  <c r="B302" i="1" s="1"/>
  <c r="C302" i="1" s="1"/>
  <c r="B646" i="1" a="1"/>
  <c r="B646" i="1" s="1"/>
  <c r="C646" i="1" s="1"/>
  <c r="B927" i="1" a="1"/>
  <c r="B927" i="1" s="1"/>
  <c r="C927" i="1" s="1"/>
  <c r="B499" i="1" a="1"/>
  <c r="B499" i="1" s="1"/>
  <c r="C499" i="1" s="1"/>
  <c r="B17" i="1" a="1"/>
  <c r="B17" i="1" s="1"/>
  <c r="C17" i="1" s="1"/>
  <c r="B494" i="1" a="1"/>
  <c r="B494" i="1" s="1"/>
  <c r="C494" i="1" s="1"/>
  <c r="B603" i="1" a="1"/>
  <c r="B603" i="1" s="1"/>
  <c r="C603" i="1" s="1"/>
  <c r="B363" i="1" a="1"/>
  <c r="B363" i="1" s="1"/>
  <c r="C363" i="1" s="1"/>
  <c r="B960" i="1" a="1"/>
  <c r="B960" i="1" s="1"/>
  <c r="C960" i="1" s="1"/>
  <c r="B444" i="1" a="1"/>
  <c r="B444" i="1" s="1"/>
  <c r="C444" i="1" s="1"/>
  <c r="B122" i="1" a="1"/>
  <c r="B122" i="1" s="1"/>
  <c r="C122" i="1" s="1"/>
  <c r="B480" i="1" a="1"/>
  <c r="B480" i="1" s="1"/>
  <c r="C480" i="1" s="1"/>
  <c r="B970" i="1" a="1"/>
  <c r="B970" i="1" s="1"/>
  <c r="C970" i="1" s="1"/>
  <c r="B749" i="1" a="1"/>
  <c r="B749" i="1" s="1"/>
  <c r="C749" i="1" s="1"/>
  <c r="B836" i="1" a="1"/>
  <c r="B836" i="1" s="1"/>
  <c r="C836" i="1" s="1"/>
  <c r="B846" i="1" a="1"/>
  <c r="B846" i="1" s="1"/>
  <c r="C846" i="1" s="1"/>
  <c r="B1051" i="1" a="1"/>
  <c r="B1051" i="1" s="1"/>
  <c r="C1051" i="1" s="1"/>
  <c r="B1133" i="1" a="1"/>
  <c r="B1133" i="1" s="1"/>
  <c r="C1133" i="1" s="1"/>
  <c r="B520" i="1" a="1"/>
  <c r="B520" i="1" s="1"/>
  <c r="C520" i="1" s="1"/>
  <c r="B823" i="1" a="1"/>
  <c r="B823" i="1" s="1"/>
  <c r="C823" i="1" s="1"/>
  <c r="B124" i="1" a="1"/>
  <c r="B124" i="1" s="1"/>
  <c r="C124" i="1" s="1"/>
  <c r="B91" i="1" a="1"/>
  <c r="B91" i="1" s="1"/>
  <c r="C91" i="1" s="1"/>
  <c r="B469" i="1" a="1"/>
  <c r="B469" i="1" s="1"/>
  <c r="C469" i="1" s="1"/>
  <c r="B1068" i="1" a="1"/>
  <c r="B1068" i="1" s="1"/>
  <c r="C1068" i="1" s="1"/>
  <c r="B1187" i="1" a="1"/>
  <c r="B1187" i="1" s="1"/>
  <c r="C1187" i="1" s="1"/>
  <c r="B172" i="1" a="1"/>
  <c r="B172" i="1" s="1"/>
  <c r="C172" i="1" s="1"/>
  <c r="B313" i="1" a="1"/>
  <c r="B313" i="1" s="1"/>
  <c r="C313" i="1" s="1"/>
  <c r="B396" i="1" a="1"/>
  <c r="B396" i="1" s="1"/>
  <c r="C396" i="1" s="1"/>
  <c r="B524" i="1" a="1"/>
  <c r="B524" i="1" s="1"/>
  <c r="C524" i="1" s="1"/>
  <c r="B148" i="1" a="1"/>
  <c r="B148" i="1" s="1"/>
  <c r="C148" i="1" s="1"/>
  <c r="B315" i="1" a="1"/>
  <c r="B315" i="1" s="1"/>
  <c r="C315" i="1" s="1"/>
  <c r="B986" i="1" a="1"/>
  <c r="B986" i="1" s="1"/>
  <c r="C986" i="1" s="1"/>
  <c r="B66" i="1" a="1"/>
  <c r="B66" i="1" s="1"/>
  <c r="C66" i="1" s="1"/>
  <c r="B661" i="1" a="1"/>
  <c r="B661" i="1" s="1"/>
  <c r="C661" i="1" s="1"/>
  <c r="B1116" i="1" a="1"/>
  <c r="B1116" i="1" s="1"/>
  <c r="C1116" i="1" s="1"/>
  <c r="B833" i="1" a="1"/>
  <c r="B833" i="1" s="1"/>
  <c r="C833" i="1" s="1"/>
  <c r="B950" i="1" a="1"/>
  <c r="B950" i="1" s="1"/>
  <c r="C950" i="1" s="1"/>
  <c r="B391" i="1" a="1"/>
  <c r="B391" i="1" s="1"/>
  <c r="C391" i="1" s="1"/>
  <c r="B734" i="1" a="1"/>
  <c r="B734" i="1" s="1"/>
  <c r="C734" i="1" s="1"/>
  <c r="B71" i="1" a="1"/>
  <c r="B71" i="1" s="1"/>
  <c r="C71" i="1" s="1"/>
  <c r="B838" i="1" a="1"/>
  <c r="B838" i="1" s="1"/>
  <c r="C838" i="1" s="1"/>
  <c r="B998" i="1" a="1"/>
  <c r="B998" i="1" s="1"/>
  <c r="C998" i="1" s="1"/>
  <c r="B381" i="1" a="1"/>
  <c r="B381" i="1" s="1"/>
  <c r="C381" i="1" s="1"/>
  <c r="B1167" i="1" a="1"/>
  <c r="B1167" i="1" s="1"/>
  <c r="C1167" i="1" s="1"/>
  <c r="B1107" i="1" a="1"/>
  <c r="B1107" i="1" s="1"/>
  <c r="C1107" i="1" s="1"/>
  <c r="B519" i="1" a="1"/>
  <c r="B519" i="1" s="1"/>
  <c r="C519" i="1" s="1"/>
  <c r="B1094" i="1" a="1"/>
  <c r="B1094" i="1" s="1"/>
  <c r="C1094" i="1" s="1"/>
  <c r="B98" i="1" a="1"/>
  <c r="B98" i="1" s="1"/>
  <c r="C98" i="1" s="1"/>
  <c r="B955" i="1" a="1"/>
  <c r="B955" i="1" s="1"/>
  <c r="C955" i="1" s="1"/>
  <c r="B5" i="1" a="1"/>
  <c r="B5" i="1" s="1"/>
  <c r="C5" i="1" s="1"/>
  <c r="B154" i="1" a="1"/>
  <c r="B154" i="1" s="1"/>
  <c r="C154" i="1" s="1"/>
  <c r="B257" i="1" a="1"/>
  <c r="B257" i="1" s="1"/>
  <c r="C257" i="1" s="1"/>
  <c r="B393" i="1" a="1"/>
  <c r="B393" i="1" s="1"/>
  <c r="C393" i="1" s="1"/>
  <c r="B47" i="1" a="1"/>
  <c r="B47" i="1" s="1"/>
  <c r="C47" i="1" s="1"/>
  <c r="B807" i="1" a="1"/>
  <c r="B807" i="1" s="1"/>
  <c r="C807" i="1" s="1"/>
  <c r="B1136" i="1" a="1"/>
  <c r="B1136" i="1" s="1"/>
  <c r="C1136" i="1" s="1"/>
  <c r="B431" i="1" a="1"/>
  <c r="B431" i="1" s="1"/>
  <c r="C431" i="1" s="1"/>
  <c r="B919" i="1" a="1"/>
  <c r="B919" i="1" s="1"/>
  <c r="C919" i="1" s="1"/>
  <c r="B73" i="1" a="1"/>
  <c r="B73" i="1" s="1"/>
  <c r="C73" i="1" s="1"/>
  <c r="B29" i="1" a="1"/>
  <c r="B29" i="1" s="1"/>
  <c r="C29" i="1" s="1"/>
  <c r="B284" i="1" a="1"/>
  <c r="B284" i="1" s="1"/>
  <c r="C284" i="1" s="1"/>
  <c r="B1150" i="1" a="1"/>
  <c r="B1150" i="1" s="1"/>
  <c r="C1150" i="1" s="1"/>
  <c r="B859" i="1" a="1"/>
  <c r="B859" i="1" s="1"/>
  <c r="C859" i="1" s="1"/>
  <c r="B277" i="1" a="1"/>
  <c r="B277" i="1" s="1"/>
  <c r="C277" i="1" s="1"/>
  <c r="B772" i="1" a="1"/>
  <c r="B772" i="1" s="1"/>
  <c r="C772" i="1" s="1"/>
  <c r="B980" i="1" a="1"/>
  <c r="B980" i="1" s="1"/>
  <c r="C980" i="1" s="1"/>
  <c r="B1022" i="1" a="1"/>
  <c r="B1022" i="1" s="1"/>
  <c r="C1022" i="1" s="1"/>
  <c r="B454" i="1" a="1"/>
  <c r="B454" i="1" s="1"/>
  <c r="C454" i="1" s="1"/>
  <c r="B340" i="1" a="1"/>
  <c r="B340" i="1" s="1"/>
  <c r="C340" i="1" s="1"/>
  <c r="B654" i="1" a="1"/>
  <c r="B654" i="1" s="1"/>
  <c r="C654" i="1" s="1"/>
  <c r="B750" i="1" a="1"/>
  <c r="B750" i="1" s="1"/>
  <c r="C750" i="1" s="1"/>
  <c r="B403" i="1" a="1"/>
  <c r="B403" i="1" s="1"/>
  <c r="C403" i="1" s="1"/>
  <c r="B884" i="1" a="1"/>
  <c r="B884" i="1" s="1"/>
  <c r="C884" i="1" s="1"/>
  <c r="B979" i="1" a="1"/>
  <c r="B979" i="1" s="1"/>
  <c r="C979" i="1" s="1"/>
  <c r="B915" i="1" a="1"/>
  <c r="B915" i="1" s="1"/>
  <c r="C915" i="1" s="1"/>
  <c r="B800" i="1" a="1"/>
  <c r="B800" i="1" s="1"/>
  <c r="C800" i="1" s="1"/>
  <c r="B86" i="1" a="1"/>
  <c r="B86" i="1" s="1"/>
  <c r="C86" i="1" s="1"/>
  <c r="B546" i="1" a="1"/>
  <c r="B546" i="1" s="1"/>
  <c r="C546" i="1" s="1"/>
  <c r="B244" i="1" a="1"/>
  <c r="B244" i="1" s="1"/>
  <c r="C244" i="1" s="1"/>
  <c r="B543" i="1" a="1"/>
  <c r="B543" i="1" s="1"/>
  <c r="C543" i="1" s="1"/>
  <c r="B614" i="1" a="1"/>
  <c r="B614" i="1" s="1"/>
  <c r="C614" i="1" s="1"/>
  <c r="B120" i="1" a="1"/>
  <c r="B120" i="1" s="1"/>
  <c r="C120" i="1" s="1"/>
  <c r="B577" i="1" a="1"/>
  <c r="B577" i="1" s="1"/>
  <c r="C577" i="1" s="1"/>
  <c r="B125" i="1" a="1"/>
  <c r="B125" i="1" s="1"/>
  <c r="C125" i="1" s="1"/>
  <c r="B1076" i="1" a="1"/>
  <c r="B1076" i="1" s="1"/>
  <c r="C1076" i="1" s="1"/>
  <c r="B34" i="1" a="1"/>
  <c r="B34" i="1" s="1"/>
  <c r="C34" i="1" s="1"/>
  <c r="B394" i="1" a="1"/>
  <c r="B394" i="1" s="1"/>
  <c r="C394" i="1" s="1"/>
  <c r="B319" i="1" a="1"/>
  <c r="B319" i="1" s="1"/>
  <c r="C319" i="1" s="1"/>
  <c r="B467" i="1" a="1"/>
  <c r="B467" i="1" s="1"/>
  <c r="C467" i="1" s="1"/>
  <c r="B296" i="1" a="1"/>
  <c r="B296" i="1" s="1"/>
  <c r="C296" i="1" s="1"/>
  <c r="B934" i="1" a="1"/>
  <c r="B934" i="1" s="1"/>
  <c r="C934" i="1" s="1"/>
  <c r="B133" i="1" a="1"/>
  <c r="B133" i="1" s="1"/>
  <c r="C133" i="1" s="1"/>
  <c r="B493" i="1" a="1"/>
  <c r="B493" i="1" s="1"/>
  <c r="C493" i="1" s="1"/>
  <c r="B508" i="1" a="1"/>
  <c r="B508" i="1" s="1"/>
  <c r="C508" i="1" s="1"/>
  <c r="B506" i="1" a="1"/>
  <c r="B506" i="1" s="1"/>
  <c r="C506" i="1" s="1"/>
  <c r="B1061" i="1" a="1"/>
  <c r="B1061" i="1" s="1"/>
  <c r="C1061" i="1" s="1"/>
  <c r="B726" i="1" a="1"/>
  <c r="B726" i="1" s="1"/>
  <c r="C726" i="1" s="1"/>
  <c r="B964" i="1" a="1"/>
  <c r="B964" i="1" s="1"/>
  <c r="C964" i="1" s="1"/>
  <c r="B868" i="1" a="1"/>
  <c r="B868" i="1" s="1"/>
  <c r="C868" i="1"/>
  <c r="B1166" i="1" a="1"/>
  <c r="B1166" i="1" s="1"/>
  <c r="C1166" i="1" s="1"/>
  <c r="B146" i="1" a="1"/>
  <c r="B146" i="1" s="1"/>
  <c r="C146" i="1" s="1"/>
  <c r="B404" i="1" a="1"/>
  <c r="B404" i="1" s="1"/>
  <c r="C404" i="1" s="1"/>
  <c r="B937" i="1" a="1"/>
  <c r="B937" i="1" s="1"/>
  <c r="C937" i="1" s="1"/>
  <c r="B1194" i="1" a="1"/>
  <c r="B1194" i="1" s="1"/>
  <c r="C1194" i="1" s="1"/>
  <c r="B594" i="1" a="1"/>
  <c r="B594" i="1" s="1"/>
  <c r="C594" i="1" s="1"/>
  <c r="B19" i="1" a="1"/>
  <c r="B19" i="1" s="1"/>
  <c r="C19" i="1" s="1"/>
  <c r="B56" i="1" a="1"/>
  <c r="B56" i="1" s="1"/>
  <c r="C56" i="1" s="1"/>
  <c r="B740" i="1" a="1"/>
  <c r="B740" i="1" s="1"/>
  <c r="C740" i="1" s="1"/>
  <c r="B989" i="1" a="1"/>
  <c r="B989" i="1" s="1"/>
  <c r="C989" i="1" s="1"/>
  <c r="B495" i="1" a="1"/>
  <c r="B495" i="1" s="1"/>
  <c r="C495" i="1" s="1"/>
  <c r="B183" i="1" a="1"/>
  <c r="B183" i="1" s="1"/>
  <c r="C183" i="1" s="1"/>
  <c r="B352" i="1" a="1"/>
  <c r="B352" i="1" s="1"/>
  <c r="C352" i="1" s="1"/>
  <c r="B1131" i="1" a="1"/>
  <c r="B1131" i="1" s="1"/>
  <c r="C1131" i="1" s="1"/>
  <c r="B505" i="1" a="1"/>
  <c r="B505" i="1" s="1"/>
  <c r="C505" i="1" s="1"/>
  <c r="B189" i="1" a="1"/>
  <c r="B189" i="1" s="1"/>
  <c r="C189" i="1" s="1"/>
  <c r="B624" i="1" a="1"/>
  <c r="B624" i="1" s="1"/>
  <c r="C624" i="1" s="1"/>
  <c r="B576" i="1" a="1"/>
  <c r="B576" i="1" s="1"/>
  <c r="C576" i="1" s="1"/>
  <c r="B973" i="1" a="1"/>
  <c r="B973" i="1" s="1"/>
  <c r="C973" i="1" s="1"/>
  <c r="B496" i="1" a="1"/>
  <c r="B496" i="1" s="1"/>
  <c r="C496" i="1" s="1"/>
  <c r="B487" i="1" a="1"/>
  <c r="B487" i="1" s="1"/>
  <c r="C487" i="1" s="1"/>
  <c r="B16" i="1" a="1"/>
  <c r="B16" i="1" s="1"/>
  <c r="C16" i="1" s="1"/>
  <c r="B337" i="1" a="1"/>
  <c r="B337" i="1" s="1"/>
  <c r="C337" i="1" s="1"/>
  <c r="B820" i="1" a="1"/>
  <c r="B820" i="1" s="1"/>
  <c r="C820" i="1" s="1"/>
  <c r="B204" i="1" a="1"/>
  <c r="B204" i="1" s="1"/>
  <c r="C204" i="1" s="1"/>
  <c r="B924" i="1" a="1"/>
  <c r="B924" i="1" s="1"/>
  <c r="C924" i="1" s="1"/>
  <c r="B728" i="1" a="1"/>
  <c r="B728" i="1" s="1"/>
  <c r="C728" i="1" s="1"/>
  <c r="B179" i="1" a="1"/>
  <c r="B179" i="1" s="1"/>
  <c r="C179" i="1" s="1"/>
  <c r="B1062" i="1" a="1"/>
  <c r="B1062" i="1" s="1"/>
  <c r="C1062" i="1" s="1"/>
  <c r="B658" i="1" a="1"/>
  <c r="B658" i="1" s="1"/>
  <c r="C658" i="1" s="1"/>
  <c r="B318" i="1" a="1"/>
  <c r="B318" i="1" s="1"/>
  <c r="C318" i="1" s="1"/>
  <c r="B784" i="1" a="1"/>
  <c r="B784" i="1" s="1"/>
  <c r="C784" i="1" s="1"/>
  <c r="B667" i="1" a="1"/>
  <c r="B667" i="1" s="1"/>
  <c r="C667" i="1" s="1"/>
  <c r="B849" i="1" a="1"/>
  <c r="B849" i="1" s="1"/>
  <c r="C849" i="1" s="1"/>
  <c r="B1129" i="1" a="1"/>
  <c r="B1129" i="1" s="1"/>
  <c r="C1129" i="1" s="1"/>
  <c r="B264" i="1" a="1"/>
  <c r="B264" i="1" s="1"/>
  <c r="C264" i="1" s="1"/>
  <c r="B913" i="1" a="1"/>
  <c r="B913" i="1" s="1"/>
  <c r="C913" i="1" s="1"/>
  <c r="B52" i="1" a="1"/>
  <c r="B52" i="1" s="1"/>
  <c r="C52" i="1" s="1"/>
  <c r="B695" i="1" a="1"/>
  <c r="B695" i="1" s="1"/>
  <c r="C695" i="1" s="1"/>
  <c r="B697" i="1" a="1"/>
  <c r="B697" i="1" s="1"/>
  <c r="C697" i="1" s="1"/>
  <c r="B92" i="1" a="1"/>
  <c r="B92" i="1" s="1"/>
  <c r="C92" i="1" s="1"/>
  <c r="B1185" i="1" a="1"/>
  <c r="B1185" i="1" s="1"/>
  <c r="C1185" i="1" s="1"/>
  <c r="B867" i="1" a="1"/>
  <c r="B867" i="1" s="1"/>
  <c r="C867" i="1" s="1"/>
  <c r="B192" i="1" a="1"/>
  <c r="B192" i="1" s="1"/>
  <c r="C192" i="1" s="1"/>
  <c r="B354" i="1" a="1"/>
  <c r="B354" i="1" s="1"/>
  <c r="C354" i="1" s="1"/>
  <c r="B713" i="1" a="1"/>
  <c r="B713" i="1" s="1"/>
  <c r="C713" i="1" s="1"/>
  <c r="B358" i="1" a="1"/>
  <c r="B358" i="1" s="1"/>
  <c r="C358" i="1" s="1"/>
  <c r="B90" i="1" a="1"/>
  <c r="B90" i="1" s="1"/>
  <c r="C90" i="1" s="1"/>
  <c r="B527" i="1" a="1"/>
  <c r="B527" i="1" s="1"/>
  <c r="C527" i="1" s="1"/>
  <c r="B273" i="1" a="1"/>
  <c r="B273" i="1" s="1"/>
  <c r="C273" i="1" s="1"/>
  <c r="B753" i="1" a="1"/>
  <c r="B753" i="1" s="1"/>
  <c r="C753" i="1" s="1"/>
  <c r="B383" i="1" a="1"/>
  <c r="B383" i="1" s="1"/>
  <c r="C383" i="1" s="1"/>
  <c r="B447" i="1" a="1"/>
  <c r="B447" i="1" s="1"/>
  <c r="C447" i="1" s="1"/>
  <c r="B907" i="1" a="1"/>
  <c r="B907" i="1" s="1"/>
  <c r="C907" i="1" s="1"/>
  <c r="B150" i="1" a="1"/>
  <c r="B150" i="1" s="1"/>
  <c r="C150" i="1" s="1"/>
  <c r="B668" i="1" a="1"/>
  <c r="B668" i="1" s="1"/>
  <c r="C668" i="1" s="1"/>
  <c r="B343" i="1" a="1"/>
  <c r="B343" i="1" s="1"/>
  <c r="C343" i="1" s="1"/>
  <c r="B43" i="1" a="1"/>
  <c r="B43" i="1" s="1"/>
  <c r="C43" i="1" s="1"/>
  <c r="B511" i="1" a="1"/>
  <c r="B511" i="1" s="1"/>
  <c r="C511" i="1" s="1"/>
  <c r="B699" i="1" a="1"/>
  <c r="B699" i="1" s="1"/>
  <c r="C699" i="1" s="1"/>
  <c r="B1033" i="1" a="1"/>
  <c r="B1033" i="1" s="1"/>
  <c r="C1033" i="1" s="1"/>
  <c r="B1103" i="1" a="1"/>
  <c r="B1103" i="1" s="1"/>
  <c r="C1103" i="1" s="1"/>
  <c r="B421" i="1" a="1"/>
  <c r="B421" i="1" s="1"/>
  <c r="C421" i="1" s="1"/>
  <c r="B930" i="1" a="1"/>
  <c r="B930" i="1" s="1"/>
  <c r="C930" i="1" s="1"/>
  <c r="B294" i="1" a="1"/>
  <c r="B294" i="1" s="1"/>
  <c r="C294" i="1" s="1"/>
  <c r="B761" i="1" a="1"/>
  <c r="B761" i="1" s="1"/>
  <c r="C761" i="1" s="1"/>
  <c r="B510" i="1" a="1"/>
  <c r="B510" i="1" s="1"/>
  <c r="C510" i="1" s="1"/>
  <c r="B554" i="1" a="1"/>
  <c r="B554" i="1" s="1"/>
  <c r="C554" i="1" s="1"/>
  <c r="B822" i="1" a="1"/>
  <c r="B822" i="1" s="1"/>
  <c r="C822" i="1" s="1"/>
  <c r="B587" i="1" a="1"/>
  <c r="B587" i="1" s="1"/>
  <c r="C587" i="1" s="1"/>
  <c r="B398" i="1" a="1"/>
  <c r="B398" i="1" s="1"/>
  <c r="C398" i="1" s="1"/>
  <c r="B889" i="1" a="1"/>
  <c r="B889" i="1" s="1"/>
  <c r="C889" i="1" s="1"/>
  <c r="B843" i="1" a="1"/>
  <c r="B843" i="1" s="1"/>
  <c r="C843" i="1" s="1"/>
  <c r="B1180" i="1" a="1"/>
  <c r="B1180" i="1" s="1"/>
  <c r="C1180" i="1" s="1"/>
  <c r="B714" i="1" a="1"/>
  <c r="B714" i="1" s="1"/>
  <c r="C714" i="1" s="1"/>
  <c r="B295" i="1" a="1"/>
  <c r="B295" i="1" s="1"/>
  <c r="C295" i="1" s="1"/>
  <c r="B763" i="1" a="1"/>
  <c r="B763" i="1" s="1"/>
  <c r="C763" i="1" s="1"/>
  <c r="B121" i="1" a="1"/>
  <c r="B121" i="1" s="1"/>
  <c r="C121" i="1" s="1"/>
  <c r="B1104" i="1" a="1"/>
  <c r="B1104" i="1" s="1"/>
  <c r="C1104" i="1" s="1"/>
  <c r="B435" i="1" a="1"/>
  <c r="B435" i="1" s="1"/>
  <c r="C435" i="1" s="1"/>
  <c r="B922" i="1" a="1"/>
  <c r="B922" i="1" s="1"/>
  <c r="C922" i="1" s="1"/>
  <c r="B870" i="1" a="1"/>
  <c r="B870" i="1"/>
  <c r="C870" i="1" s="1"/>
  <c r="B342" i="1" a="1"/>
  <c r="B342" i="1" s="1"/>
  <c r="C342" i="1" s="1"/>
  <c r="B1046" i="1" a="1"/>
  <c r="B1046" i="1" s="1"/>
  <c r="C1046" i="1" s="1"/>
  <c r="B1135" i="1" a="1"/>
  <c r="B1135" i="1" s="1"/>
  <c r="C1135" i="1" s="1"/>
  <c r="B694" i="1" a="1"/>
  <c r="B694" i="1" s="1"/>
  <c r="C694" i="1" s="1"/>
  <c r="B31" i="1" a="1"/>
  <c r="B31" i="1" s="1"/>
  <c r="C31" i="1" s="1"/>
  <c r="B220" i="1" a="1"/>
  <c r="B220" i="1" s="1"/>
  <c r="C220" i="1" s="1"/>
  <c r="B866" i="1" a="1"/>
  <c r="B866" i="1" s="1"/>
  <c r="C866" i="1" s="1"/>
  <c r="B24" i="1" a="1"/>
  <c r="B24" i="1" s="1"/>
  <c r="C24" i="1" s="1"/>
  <c r="B819" i="1" a="1"/>
  <c r="B819" i="1" s="1"/>
  <c r="C819" i="1" s="1"/>
  <c r="B507" i="1" a="1"/>
  <c r="B507" i="1" s="1"/>
  <c r="C507" i="1" s="1"/>
  <c r="B788" i="1" a="1"/>
  <c r="B788" i="1" s="1"/>
  <c r="C788" i="1" s="1"/>
  <c r="B139" i="1" a="1"/>
  <c r="B139" i="1" s="1"/>
  <c r="C139" i="1" s="1"/>
  <c r="B236" i="1" a="1"/>
  <c r="B236" i="1" s="1"/>
  <c r="C236" i="1" s="1"/>
  <c r="B1177" i="1" a="1"/>
  <c r="B1177" i="1" s="1"/>
  <c r="C1177" i="1" s="1"/>
  <c r="B32" i="1" a="1"/>
  <c r="B32" i="1" s="1"/>
  <c r="C32" i="1" s="1"/>
  <c r="B101" i="1" a="1"/>
  <c r="B101" i="1" s="1"/>
  <c r="C101" i="1" s="1"/>
  <c r="B617" i="1" a="1"/>
  <c r="B617" i="1" s="1"/>
  <c r="C617" i="1" s="1"/>
  <c r="B754" i="1" a="1"/>
  <c r="B754" i="1" s="1"/>
  <c r="C754" i="1" s="1"/>
  <c r="B687" i="1" a="1"/>
  <c r="B687" i="1" s="1"/>
  <c r="C687" i="1" s="1"/>
  <c r="B355" i="1" a="1"/>
  <c r="B355" i="1" s="1"/>
  <c r="C355" i="1" s="1"/>
  <c r="B270" i="1" a="1"/>
  <c r="B270" i="1" s="1"/>
  <c r="C270" i="1" s="1"/>
  <c r="B335" i="1" a="1"/>
  <c r="B335" i="1" s="1"/>
  <c r="C335" i="1"/>
  <c r="B912" i="1" a="1"/>
  <c r="B912" i="1" s="1"/>
  <c r="C912" i="1" s="1"/>
  <c r="B786" i="1" a="1"/>
  <c r="B786" i="1" s="1"/>
  <c r="C786" i="1" s="1"/>
  <c r="B167" i="1" a="1"/>
  <c r="B167" i="1" s="1"/>
  <c r="C167" i="1" s="1"/>
  <c r="B118" i="1" a="1"/>
  <c r="B118" i="1" s="1"/>
  <c r="C118" i="1" s="1"/>
  <c r="B719" i="1" a="1"/>
  <c r="B719" i="1" s="1"/>
  <c r="C719" i="1" s="1"/>
  <c r="B44" i="1" a="1"/>
  <c r="B44" i="1" s="1"/>
  <c r="C44" i="1" s="1"/>
  <c r="B84" i="1" a="1"/>
  <c r="B84" i="1" s="1"/>
  <c r="C84" i="1" s="1"/>
  <c r="B382" i="1" a="1"/>
  <c r="B382" i="1" s="1"/>
  <c r="C382" i="1" s="1"/>
  <c r="B361" i="1" a="1"/>
  <c r="B361" i="1" s="1"/>
  <c r="C361" i="1" s="1"/>
  <c r="B642" i="1" a="1"/>
  <c r="B642" i="1" s="1"/>
  <c r="C642" i="1" s="1"/>
  <c r="B748" i="1" a="1"/>
  <c r="B748" i="1" s="1"/>
  <c r="C748" i="1" s="1"/>
  <c r="B518" i="1" a="1"/>
  <c r="B518" i="1" s="1"/>
  <c r="C518" i="1" s="1"/>
  <c r="B290" i="1" a="1"/>
  <c r="B290" i="1" s="1"/>
  <c r="C290" i="1" s="1"/>
  <c r="B680" i="1" a="1"/>
  <c r="B680" i="1" s="1"/>
  <c r="C680" i="1" s="1"/>
  <c r="B231" i="1" a="1"/>
  <c r="B231" i="1" s="1"/>
  <c r="C231" i="1" s="1"/>
  <c r="B556" i="1" a="1"/>
  <c r="B556" i="1" s="1"/>
  <c r="C556" i="1" s="1"/>
  <c r="B332" i="1" a="1"/>
  <c r="B332" i="1" s="1"/>
  <c r="C332" i="1" s="1"/>
  <c r="B643" i="1" a="1"/>
  <c r="B643" i="1" s="1"/>
  <c r="C643" i="1" s="1"/>
  <c r="B830" i="1" a="1"/>
  <c r="B830" i="1" s="1"/>
  <c r="C830" i="1" s="1"/>
  <c r="B198" i="1" a="1"/>
  <c r="B198" i="1" s="1"/>
  <c r="C198" i="1" s="1"/>
  <c r="B902" i="1" a="1"/>
  <c r="B902" i="1" s="1"/>
  <c r="C902" i="1" s="1"/>
  <c r="B317" i="1" a="1"/>
  <c r="B317" i="1" s="1"/>
  <c r="C317" i="1" s="1"/>
  <c r="B297" i="1" a="1"/>
  <c r="B297" i="1" s="1"/>
  <c r="C297" i="1" s="1"/>
  <c r="B143" i="1" a="1"/>
  <c r="B143" i="1" s="1"/>
  <c r="C143" i="1" s="1"/>
  <c r="B548" i="1" a="1"/>
  <c r="B548" i="1" s="1"/>
  <c r="C548" i="1" s="1"/>
  <c r="B83" i="1" a="1"/>
  <c r="B83" i="1" s="1"/>
  <c r="C83" i="1" s="1"/>
  <c r="B1125" i="1" a="1"/>
  <c r="B1125" i="1" s="1"/>
  <c r="C1125" i="1" s="1"/>
  <c r="B547" i="1" a="1"/>
  <c r="B547" i="1" s="1"/>
  <c r="C547" i="1" s="1"/>
  <c r="B847" i="1" a="1"/>
  <c r="B847" i="1" s="1"/>
  <c r="C847" i="1" s="1"/>
  <c r="B278" i="1" a="1"/>
  <c r="B278" i="1" s="1"/>
  <c r="C278" i="1" s="1"/>
  <c r="B832" i="1" a="1"/>
  <c r="B832" i="1" s="1"/>
  <c r="C832" i="1" s="1"/>
  <c r="B530" i="1" a="1"/>
  <c r="B530" i="1"/>
  <c r="C530" i="1" s="1"/>
  <c r="B425" i="1" a="1"/>
  <c r="B425" i="1" s="1"/>
  <c r="C425" i="1" s="1"/>
  <c r="B334" i="1" a="1"/>
  <c r="B334" i="1" s="1"/>
  <c r="C334" i="1" s="1"/>
  <c r="B1139" i="1" a="1"/>
  <c r="B1139" i="1" s="1"/>
  <c r="C1139" i="1" s="1"/>
  <c r="B961" i="1" a="1"/>
  <c r="B961" i="1" s="1"/>
  <c r="C961" i="1" s="1"/>
  <c r="B799" i="1" a="1"/>
  <c r="B799" i="1" s="1"/>
  <c r="C799" i="1" s="1"/>
  <c r="B441" i="1" a="1"/>
  <c r="B441" i="1" s="1"/>
  <c r="C441" i="1" s="1"/>
  <c r="B169" i="1" a="1"/>
  <c r="B169" i="1" s="1"/>
  <c r="C169" i="1" s="1"/>
  <c r="B881" i="1" a="1"/>
  <c r="B881" i="1" s="1"/>
  <c r="C881" i="1" s="1"/>
  <c r="B498" i="1" a="1"/>
  <c r="B498" i="1" s="1"/>
  <c r="C498" i="1" s="1"/>
  <c r="B357" i="1" a="1"/>
  <c r="B357" i="1" s="1"/>
  <c r="C357" i="1" s="1"/>
  <c r="B269" i="1" a="1"/>
  <c r="B269" i="1" s="1"/>
  <c r="C269" i="1" s="1"/>
  <c r="B876" i="1" a="1"/>
  <c r="B876" i="1" s="1"/>
  <c r="C876" i="1" s="1"/>
  <c r="B939" i="1" a="1"/>
  <c r="B939" i="1" s="1"/>
  <c r="C939" i="1" s="1"/>
  <c r="B199" i="1" a="1"/>
  <c r="B199" i="1" s="1"/>
  <c r="C199" i="1" s="1"/>
  <c r="B504" i="1" a="1"/>
  <c r="B504" i="1" s="1"/>
  <c r="C504" i="1" s="1"/>
  <c r="B1006" i="1" a="1"/>
  <c r="B1006" i="1" s="1"/>
  <c r="C1006" i="1" s="1"/>
  <c r="B1198" i="1" a="1"/>
  <c r="B1198" i="1" s="1"/>
  <c r="C1198" i="1" s="1"/>
  <c r="B221" i="1" a="1"/>
  <c r="B221" i="1" s="1"/>
  <c r="C221" i="1" s="1"/>
  <c r="B23" i="1" a="1"/>
  <c r="B23" i="1" s="1"/>
  <c r="C23" i="1" s="1"/>
  <c r="B333" i="1" a="1"/>
  <c r="B333" i="1" s="1"/>
  <c r="C333" i="1" s="1"/>
  <c r="B709" i="1" a="1"/>
  <c r="B709" i="1" s="1"/>
  <c r="C709" i="1" s="1"/>
  <c r="B306" i="1" a="1"/>
  <c r="B306" i="1" s="1"/>
  <c r="C306" i="1" s="1"/>
  <c r="B635" i="1" a="1"/>
  <c r="B635" i="1" s="1"/>
  <c r="C635" i="1" s="1"/>
  <c r="B908" i="1" a="1"/>
  <c r="B908" i="1" s="1"/>
  <c r="C908" i="1" s="1"/>
  <c r="B666" i="1" a="1"/>
  <c r="B666" i="1" s="1"/>
  <c r="C666" i="1" s="1"/>
  <c r="B739" i="1" a="1"/>
  <c r="B739" i="1" s="1"/>
  <c r="C739" i="1" s="1"/>
  <c r="B468" i="1" a="1"/>
  <c r="B468" i="1" s="1"/>
  <c r="C468" i="1" s="1"/>
  <c r="B299" i="1" a="1"/>
  <c r="B299" i="1" s="1"/>
  <c r="C299" i="1" s="1"/>
  <c r="B596" i="1" a="1"/>
  <c r="B596" i="1" s="1"/>
  <c r="C596" i="1" s="1"/>
  <c r="B252" i="1" a="1"/>
  <c r="B252" i="1" s="1"/>
  <c r="C252" i="1" s="1"/>
  <c r="B555" i="1" a="1"/>
  <c r="B555" i="1" s="1"/>
  <c r="C555" i="1" s="1"/>
  <c r="B586" i="1" a="1"/>
  <c r="B586" i="1" s="1"/>
  <c r="C586" i="1" s="1"/>
  <c r="B111" i="1" a="1"/>
  <c r="B111" i="1" s="1"/>
  <c r="C111" i="1" s="1"/>
  <c r="B491" i="1" a="1"/>
  <c r="B491" i="1" s="1"/>
  <c r="C491" i="1" s="1"/>
  <c r="B137" i="1" a="1"/>
  <c r="B137" i="1" s="1"/>
  <c r="C137" i="1" s="1"/>
  <c r="B689" i="1" a="1"/>
  <c r="B689" i="1" s="1"/>
  <c r="C689" i="1" s="1"/>
  <c r="B574" i="1" a="1"/>
  <c r="B574" i="1" s="1"/>
  <c r="C574" i="1" s="1"/>
  <c r="B1112" i="1" a="1"/>
  <c r="B1112" i="1" s="1"/>
  <c r="C1112" i="1" s="1"/>
  <c r="B762" i="1" a="1"/>
  <c r="B762" i="1" s="1"/>
  <c r="C762" i="1" s="1"/>
  <c r="B327" i="1" a="1"/>
  <c r="B327" i="1" s="1"/>
  <c r="C327" i="1" s="1"/>
  <c r="B272" i="1" a="1"/>
  <c r="B272" i="1" s="1"/>
  <c r="C272" i="1" s="1"/>
  <c r="B708" i="1" a="1"/>
  <c r="B708" i="1" s="1"/>
  <c r="C708" i="1" s="1"/>
  <c r="B1005" i="1" a="1"/>
  <c r="B1005" i="1" s="1"/>
  <c r="C1005" i="1" s="1"/>
  <c r="B75" i="1" a="1"/>
  <c r="B75" i="1" s="1"/>
  <c r="C75" i="1" s="1"/>
  <c r="B10" i="1" a="1"/>
  <c r="B10" i="1" s="1"/>
  <c r="C10" i="1" s="1"/>
  <c r="B283" i="1" a="1"/>
  <c r="B283" i="1" s="1"/>
  <c r="C283" i="1" s="1"/>
  <c r="B211" i="1" a="1"/>
  <c r="B211" i="1" s="1"/>
  <c r="C211" i="1" s="1"/>
  <c r="B459" i="1" a="1"/>
  <c r="B459" i="1" s="1"/>
  <c r="C459" i="1" s="1"/>
  <c r="B693" i="1" a="1"/>
  <c r="B693" i="1" s="1"/>
  <c r="C693" i="1" s="1"/>
  <c r="B892" i="1" a="1"/>
  <c r="B892" i="1" s="1"/>
  <c r="C892" i="1" s="1"/>
  <c r="B279" i="1" a="1"/>
  <c r="B279" i="1" s="1"/>
  <c r="C279" i="1" s="1"/>
  <c r="B917" i="1" a="1"/>
  <c r="B917" i="1" s="1"/>
  <c r="C917" i="1" s="1"/>
  <c r="B460" i="1" a="1"/>
  <c r="B460" i="1" s="1"/>
  <c r="C460" i="1" s="1"/>
  <c r="B835" i="1" a="1"/>
  <c r="B835" i="1" s="1"/>
  <c r="C835" i="1" s="1"/>
  <c r="B1040" i="1" a="1"/>
  <c r="B1040" i="1" s="1"/>
  <c r="C1040" i="1" s="1"/>
  <c r="B250" i="1" a="1"/>
  <c r="B250" i="1" s="1"/>
  <c r="C250" i="1" s="1"/>
  <c r="B610" i="1" a="1"/>
  <c r="B610" i="1" s="1"/>
  <c r="C610" i="1" s="1"/>
  <c r="B232" i="1" a="1"/>
  <c r="B232" i="1" s="1"/>
  <c r="C232" i="1" s="1"/>
  <c r="B369" i="1" a="1"/>
  <c r="B369" i="1" s="1"/>
  <c r="C369" i="1" s="1"/>
  <c r="B300" i="1" a="1"/>
  <c r="B300" i="1" s="1"/>
  <c r="C300" i="1" s="1"/>
  <c r="B941" i="1" a="1"/>
  <c r="B941" i="1" s="1"/>
  <c r="C941" i="1" s="1"/>
  <c r="B116" i="1" a="1"/>
  <c r="B116" i="1" s="1"/>
  <c r="C116" i="1" s="1"/>
  <c r="B1120" i="1" a="1"/>
  <c r="B1120" i="1" s="1"/>
  <c r="C1120" i="1" s="1"/>
  <c r="B764" i="1" a="1"/>
  <c r="B764" i="1" s="1"/>
  <c r="C764" i="1" s="1"/>
  <c r="B1041" i="1" a="1"/>
  <c r="B1041" i="1" s="1"/>
  <c r="C1041" i="1" s="1"/>
  <c r="B21" i="1" a="1"/>
  <c r="B21" i="1" s="1"/>
  <c r="C21" i="1" s="1"/>
  <c r="B745" i="1" a="1"/>
  <c r="B745" i="1" s="1"/>
  <c r="C745" i="1" s="1"/>
  <c r="B573" i="1" a="1"/>
  <c r="B573" i="1" s="1"/>
  <c r="C573" i="1" s="1"/>
  <c r="B453" i="1" a="1"/>
  <c r="B453" i="1" s="1"/>
  <c r="C453" i="1" s="1"/>
  <c r="B11" i="1" a="1"/>
  <c r="B11" i="1" s="1"/>
  <c r="C11" i="1" s="1"/>
  <c r="B905" i="1" a="1"/>
  <c r="B905" i="1" s="1"/>
  <c r="C905" i="1" s="1"/>
  <c r="B390" i="1" a="1"/>
  <c r="B390" i="1" s="1"/>
  <c r="C390" i="1" s="1"/>
  <c r="B1154" i="1" a="1"/>
  <c r="B1154" i="1" s="1"/>
  <c r="C1154" i="1" s="1"/>
  <c r="B160" i="1" a="1"/>
  <c r="B160" i="1" s="1"/>
  <c r="C160" i="1" s="1"/>
  <c r="B931" i="1" a="1"/>
  <c r="B931" i="1" s="1"/>
  <c r="C931" i="1" s="1"/>
  <c r="B874" i="1" a="1"/>
  <c r="B874" i="1" s="1"/>
  <c r="C874" i="1" s="1"/>
  <c r="B415" i="1" a="1"/>
  <c r="B415" i="1" s="1"/>
  <c r="C415" i="1" s="1"/>
  <c r="B1155" i="1" a="1"/>
  <c r="B1155" i="1" s="1"/>
  <c r="C1155" i="1" s="1"/>
  <c r="B1145" i="1" a="1"/>
  <c r="B1145" i="1" s="1"/>
  <c r="C1145" i="1" s="1"/>
  <c r="B968" i="1" a="1"/>
  <c r="B968" i="1" s="1"/>
  <c r="C968" i="1" s="1"/>
  <c r="B57" i="1" a="1"/>
  <c r="B57" i="1" s="1"/>
  <c r="C57" i="1" s="1"/>
  <c r="B311" i="1" a="1"/>
  <c r="B311" i="1" s="1"/>
  <c r="C311" i="1" s="1"/>
  <c r="B20" i="1" a="1"/>
  <c r="B20" i="1" s="1"/>
  <c r="C20" i="1" s="1"/>
  <c r="B885" i="1" a="1"/>
  <c r="B885" i="1" s="1"/>
  <c r="C885" i="1" s="1"/>
  <c r="B452" i="1" a="1"/>
  <c r="B452" i="1" s="1"/>
  <c r="C452" i="1" s="1"/>
  <c r="B218" i="1" a="1"/>
  <c r="B218" i="1" s="1"/>
  <c r="C218" i="1" s="1"/>
  <c r="B1161" i="1" a="1"/>
  <c r="B1161" i="1" s="1"/>
  <c r="C1161" i="1" s="1"/>
  <c r="B776" i="1" a="1"/>
  <c r="B776" i="1" s="1"/>
  <c r="C776" i="1" s="1"/>
  <c r="B956" i="1" a="1"/>
  <c r="B956" i="1" s="1"/>
  <c r="C956" i="1" s="1"/>
  <c r="B738" i="1" a="1"/>
  <c r="B738" i="1" s="1"/>
  <c r="C738" i="1" s="1"/>
  <c r="B63" i="1" a="1"/>
  <c r="B63" i="1" s="1"/>
  <c r="C63" i="1" s="1"/>
  <c r="B837" i="1" a="1"/>
  <c r="B837" i="1" s="1"/>
  <c r="C837" i="1" s="1"/>
  <c r="B54" i="1" a="1"/>
  <c r="B54" i="1" s="1"/>
  <c r="C54" i="1" s="1"/>
  <c r="B996" i="1" a="1"/>
  <c r="B996" i="1" s="1"/>
  <c r="C996" i="1" s="1"/>
  <c r="B639" i="1" a="1"/>
  <c r="B639" i="1" s="1"/>
  <c r="C639" i="1" s="1"/>
  <c r="B630" i="1" a="1"/>
  <c r="B630" i="1" s="1"/>
  <c r="C630" i="1" s="1"/>
  <c r="B673" i="1" a="1"/>
  <c r="B673" i="1" s="1"/>
  <c r="C673" i="1" s="1"/>
  <c r="B1192" i="1" a="1"/>
  <c r="B1192" i="1" s="1"/>
  <c r="C1192" i="1" s="1"/>
  <c r="B485" i="1" a="1"/>
  <c r="B485" i="1" s="1"/>
  <c r="C485" i="1" s="1"/>
  <c r="B969" i="1" a="1"/>
  <c r="B969" i="1" s="1"/>
  <c r="C969" i="1" s="1"/>
  <c r="B68" i="1" a="1"/>
  <c r="B68" i="1" s="1"/>
  <c r="C68" i="1" s="1"/>
  <c r="B894" i="1" a="1"/>
  <c r="B894" i="1" s="1"/>
  <c r="C894" i="1" s="1"/>
  <c r="B976" i="1" a="1"/>
  <c r="B976" i="1" s="1"/>
  <c r="C976" i="1" s="1"/>
  <c r="B890" i="1" a="1"/>
  <c r="B890" i="1" s="1"/>
  <c r="C890" i="1" s="1"/>
  <c r="B683" i="1" a="1"/>
  <c r="B683" i="1" s="1"/>
  <c r="C683" i="1" s="1"/>
  <c r="B212" i="1" a="1"/>
  <c r="B212" i="1" s="1"/>
  <c r="C212" i="1" s="1"/>
  <c r="B9" i="1" a="1"/>
  <c r="B9" i="1" s="1"/>
  <c r="C9" i="1" s="1"/>
  <c r="B690" i="1" a="1"/>
  <c r="B690" i="1" s="1"/>
  <c r="C690" i="1" s="1"/>
  <c r="B568" i="1" a="1"/>
  <c r="B568" i="1" s="1"/>
  <c r="C568" i="1" s="1"/>
  <c r="B70" i="1" a="1"/>
  <c r="B70" i="1" s="1"/>
  <c r="C70" i="1" s="1"/>
  <c r="B287" i="1" a="1"/>
  <c r="B287" i="1" s="1"/>
  <c r="C287" i="1" s="1"/>
  <c r="B82" i="1" a="1"/>
  <c r="B82" i="1" s="1"/>
  <c r="C82" i="1" s="1"/>
  <c r="B936" i="1" a="1"/>
  <c r="B936" i="1" s="1"/>
  <c r="C936" i="1" s="1"/>
  <c r="B567" i="1" a="1"/>
  <c r="B567" i="1" s="1"/>
  <c r="C567" i="1" s="1"/>
  <c r="B1106" i="1" a="1"/>
  <c r="B1106" i="1" s="1"/>
  <c r="C1106" i="1" s="1"/>
  <c r="B560" i="1" a="1"/>
  <c r="B560" i="1" s="1"/>
  <c r="C560" i="1" s="1"/>
  <c r="B1066" i="1" a="1"/>
  <c r="B1066" i="1" s="1"/>
  <c r="C1066" i="1" s="1"/>
  <c r="B945" i="1" a="1"/>
  <c r="B945" i="1" s="1"/>
  <c r="C945" i="1" s="1"/>
  <c r="B540" i="1" a="1"/>
  <c r="B540" i="1" s="1"/>
  <c r="C540" i="1" s="1"/>
  <c r="B1049" i="1" a="1"/>
  <c r="B1049" i="1" s="1"/>
  <c r="C1049" i="1" s="1"/>
  <c r="B871" i="1" a="1"/>
  <c r="B871" i="1" s="1"/>
  <c r="C871" i="1" s="1"/>
  <c r="B1011" i="1" a="1"/>
  <c r="B1011" i="1" s="1"/>
  <c r="C1011" i="1" s="1"/>
  <c r="B1057" i="1" a="1"/>
  <c r="B1057" i="1" s="1"/>
  <c r="C1057" i="1" s="1"/>
  <c r="B1169" i="1" a="1"/>
  <c r="B1169" i="1" s="1"/>
  <c r="C1169" i="1" s="1"/>
  <c r="B1077" i="1" a="1"/>
  <c r="B1077" i="1" s="1"/>
  <c r="C1077" i="1" s="1"/>
  <c r="B831" i="1" a="1"/>
  <c r="B831" i="1" s="1"/>
  <c r="C831" i="1" s="1"/>
  <c r="B147" i="1" a="1"/>
  <c r="B147" i="1" s="1"/>
  <c r="C147" i="1" s="1"/>
  <c r="B186" i="1" a="1"/>
  <c r="B186" i="1" s="1"/>
  <c r="C186" i="1" s="1"/>
  <c r="B557" i="1" a="1"/>
  <c r="B557" i="1" s="1"/>
  <c r="C557" i="1" s="1"/>
  <c r="B412" i="1" a="1"/>
  <c r="B412" i="1" s="1"/>
  <c r="C412" i="1" s="1"/>
  <c r="B251" i="1" a="1"/>
  <c r="B251" i="1" s="1"/>
  <c r="C251" i="1" s="1"/>
  <c r="B921" i="1" a="1"/>
  <c r="B921" i="1" s="1"/>
  <c r="C921" i="1" s="1"/>
  <c r="B420" i="1" a="1"/>
  <c r="B420" i="1" s="1"/>
  <c r="C420" i="1" s="1"/>
  <c r="B974" i="1" a="1"/>
  <c r="B974" i="1" s="1"/>
  <c r="C974" i="1" s="1"/>
  <c r="B42" i="1" a="1"/>
  <c r="B42" i="1" s="1"/>
  <c r="C42" i="1" s="1"/>
  <c r="B627" i="1" a="1"/>
  <c r="B627" i="1" s="1"/>
  <c r="C627" i="1" s="1"/>
  <c r="B25" i="1" a="1"/>
  <c r="B25" i="1" s="1"/>
  <c r="C25" i="1" s="1"/>
  <c r="B30" i="1" a="1"/>
  <c r="B30" i="1" s="1"/>
  <c r="C30" i="1" s="1"/>
  <c r="B972" i="1" a="1"/>
  <c r="B972" i="1" s="1"/>
  <c r="C972" i="1" s="1"/>
  <c r="B140" i="1" a="1"/>
  <c r="B140" i="1" s="1"/>
  <c r="C140" i="1" s="1"/>
  <c r="B1127" i="1" a="1"/>
  <c r="B1127" i="1" s="1"/>
  <c r="C1127" i="1" s="1"/>
  <c r="B246" i="1" a="1"/>
  <c r="B246" i="1" s="1"/>
  <c r="C246" i="1" s="1"/>
  <c r="B1043" i="1" a="1"/>
  <c r="B1043" i="1" s="1"/>
  <c r="C1043" i="1" s="1"/>
  <c r="B942" i="1" a="1"/>
  <c r="B942" i="1" s="1"/>
  <c r="C942" i="1" s="1"/>
  <c r="B14" i="1" a="1"/>
  <c r="B14" i="1" s="1"/>
  <c r="C14" i="1" s="1"/>
  <c r="B448" i="1" a="1"/>
  <c r="B448" i="1" s="1"/>
  <c r="C448" i="1" s="1"/>
  <c r="B1153" i="1" a="1"/>
  <c r="B1153" i="1" s="1"/>
  <c r="C1153" i="1" s="1"/>
  <c r="B808" i="1" a="1"/>
  <c r="B808" i="1" s="1"/>
  <c r="C808" i="1" s="1"/>
  <c r="B702" i="1" a="1"/>
  <c r="B702" i="1" s="1"/>
  <c r="C702" i="1" s="1"/>
  <c r="B237" i="1" a="1"/>
  <c r="B237" i="1" s="1"/>
  <c r="C237" i="1" s="1"/>
  <c r="B840" i="1" a="1"/>
  <c r="B840" i="1" s="1"/>
  <c r="C840" i="1" s="1"/>
  <c r="B328" i="1" a="1"/>
  <c r="B328" i="1" s="1"/>
  <c r="C328" i="1" s="1"/>
  <c r="B696" i="1" a="1"/>
  <c r="B696" i="1" s="1"/>
  <c r="C696" i="1" s="1"/>
  <c r="B716" i="1" a="1"/>
  <c r="B716" i="1" s="1"/>
  <c r="C716" i="1" s="1"/>
  <c r="B115" i="1" a="1"/>
  <c r="B115" i="1" s="1"/>
  <c r="C115" i="1" s="1"/>
  <c r="B248" i="1" a="1"/>
  <c r="B248" i="1" s="1"/>
  <c r="C248" i="1" s="1"/>
  <c r="B1039" i="1" a="1"/>
  <c r="B1039" i="1" s="1"/>
  <c r="C1039" i="1" s="1"/>
  <c r="B289" i="1" a="1"/>
  <c r="B289" i="1" s="1"/>
  <c r="C289" i="1" s="1"/>
  <c r="B656" i="1" a="1"/>
  <c r="B656" i="1" s="1"/>
  <c r="C656" i="1" s="1"/>
  <c r="B113" i="1" a="1"/>
  <c r="B113" i="1" s="1"/>
  <c r="C113" i="1" s="1"/>
  <c r="B219" i="1" a="1"/>
  <c r="B219" i="1" s="1"/>
  <c r="C219" i="1" s="1"/>
  <c r="B1074" i="1" a="1"/>
  <c r="B1074" i="1" s="1"/>
  <c r="C1074" i="1" s="1"/>
  <c r="B1003" i="1" a="1"/>
  <c r="B1003" i="1" s="1"/>
  <c r="C1003" i="1" s="1"/>
  <c r="B77" i="1" a="1"/>
  <c r="B77" i="1" s="1"/>
  <c r="C77" i="1" s="1"/>
  <c r="B326" i="1" a="1"/>
  <c r="B326" i="1" s="1"/>
  <c r="C326" i="1" s="1"/>
  <c r="B1173" i="1" a="1"/>
  <c r="B1173" i="1" s="1"/>
  <c r="C1173" i="1" s="1"/>
  <c r="B982" i="1" a="1"/>
  <c r="B982" i="1" s="1"/>
  <c r="C982" i="1" s="1"/>
  <c r="B585" i="1" a="1"/>
  <c r="B585" i="1" s="1"/>
  <c r="C585" i="1" s="1"/>
  <c r="B851" i="1" a="1"/>
  <c r="B851" i="1" s="1"/>
  <c r="C851" i="1" s="1"/>
  <c r="B916" i="1" a="1"/>
  <c r="B916" i="1" s="1"/>
  <c r="C916" i="1"/>
  <c r="B1158" i="1" a="1"/>
  <c r="B1158" i="1" s="1"/>
  <c r="C1158" i="1" s="1"/>
  <c r="B1100" i="1" a="1"/>
  <c r="B1100" i="1" s="1"/>
  <c r="C1100" i="1" s="1"/>
  <c r="B589" i="1" a="1"/>
  <c r="B589" i="1" s="1"/>
  <c r="C589" i="1" s="1"/>
  <c r="B161" i="1" a="1"/>
  <c r="B161" i="1" s="1"/>
  <c r="C161" i="1" s="1"/>
  <c r="B288" i="1" a="1"/>
  <c r="B288" i="1" s="1"/>
  <c r="C288" i="1" s="1"/>
  <c r="B929" i="1" a="1"/>
  <c r="B929" i="1" s="1"/>
  <c r="C929" i="1" s="1"/>
  <c r="B449" i="1" a="1"/>
  <c r="B449" i="1" s="1"/>
  <c r="C449" i="1" s="1"/>
  <c r="B755" i="1" a="1"/>
  <c r="B755" i="1" s="1"/>
  <c r="C755" i="1" s="1"/>
  <c r="B1048" i="1" a="1"/>
  <c r="B1048" i="1" s="1"/>
  <c r="C1048" i="1" s="1"/>
  <c r="B191" i="1" a="1"/>
  <c r="B191" i="1" s="1"/>
  <c r="C191" i="1" s="1"/>
  <c r="B841" i="1" a="1"/>
  <c r="B841" i="1" s="1"/>
  <c r="C841" i="1" s="1"/>
  <c r="B1165" i="1" a="1"/>
  <c r="B1165" i="1" s="1"/>
  <c r="C1165" i="1" s="1"/>
  <c r="B282" i="1" a="1"/>
  <c r="B282" i="1" s="1"/>
  <c r="C282" i="1" s="1"/>
  <c r="B356" i="1" a="1"/>
  <c r="B356" i="1" s="1"/>
  <c r="C356" i="1" s="1"/>
  <c r="B965" i="1" a="1"/>
  <c r="B965" i="1" s="1"/>
  <c r="C965" i="1" s="1"/>
  <c r="B33" i="1" a="1"/>
  <c r="B33" i="1"/>
  <c r="C33" i="1" s="1"/>
  <c r="B97" i="1" a="1"/>
  <c r="B97" i="1" s="1"/>
  <c r="C97" i="1" s="1"/>
  <c r="B999" i="1" a="1"/>
  <c r="B999" i="1" s="1"/>
  <c r="C999" i="1" s="1"/>
  <c r="B341" i="1" a="1"/>
  <c r="B341" i="1" s="1"/>
  <c r="C341" i="1" s="1"/>
  <c r="B500" i="1" a="1"/>
  <c r="B500" i="1" s="1"/>
  <c r="C500" i="1" s="1"/>
  <c r="B325" i="1" a="1"/>
  <c r="B325" i="1" s="1"/>
  <c r="C325" i="1" s="1"/>
  <c r="B954" i="1" a="1"/>
  <c r="B954" i="1" s="1"/>
  <c r="C954" i="1" s="1"/>
  <c r="B1156" i="1" a="1"/>
  <c r="B1156" i="1" s="1"/>
  <c r="C1156" i="1" s="1"/>
  <c r="B422" i="1" a="1"/>
  <c r="B422" i="1"/>
  <c r="C422" i="1" s="1"/>
  <c r="B1084" i="1" a="1"/>
  <c r="B1084" i="1" s="1"/>
  <c r="C1084" i="1" s="1"/>
  <c r="B636" i="1" a="1"/>
  <c r="B636" i="1" s="1"/>
  <c r="C636" i="1" s="1"/>
  <c r="B229" i="1" a="1"/>
  <c r="B229" i="1" s="1"/>
  <c r="C229" i="1" s="1"/>
  <c r="B15" i="1" a="1"/>
  <c r="B15" i="1" s="1"/>
  <c r="C15" i="1" s="1"/>
  <c r="B684" i="1" a="1"/>
  <c r="B684" i="1" s="1"/>
  <c r="C684" i="1" s="1"/>
  <c r="B1142" i="1" a="1"/>
  <c r="B1142" i="1" s="1"/>
  <c r="C1142" i="1" s="1"/>
  <c r="B701" i="1" a="1"/>
  <c r="B701" i="1"/>
  <c r="C701" i="1" s="1"/>
  <c r="B26" i="1" a="1"/>
  <c r="B26" i="1" s="1"/>
  <c r="C26" i="1" s="1"/>
  <c r="B590" i="1" a="1"/>
  <c r="B590" i="1" s="1"/>
  <c r="C590" i="1" s="1"/>
  <c r="B877" i="1" a="1"/>
  <c r="B877" i="1" s="1"/>
  <c r="C877" i="1" s="1"/>
  <c r="B418" i="1" a="1"/>
  <c r="B418" i="1" s="1"/>
  <c r="C418" i="1" s="1"/>
  <c r="B110" i="1" a="1"/>
  <c r="B110" i="1" s="1"/>
  <c r="C110" i="1" s="1"/>
  <c r="B834" i="1" a="1"/>
  <c r="B834" i="1" s="1"/>
  <c r="C834" i="1" s="1"/>
  <c r="B869" i="1" a="1"/>
  <c r="B869" i="1" s="1"/>
  <c r="C869" i="1" s="1"/>
  <c r="B46" i="1" a="1"/>
  <c r="B46" i="1" s="1"/>
  <c r="C46" i="1" s="1"/>
  <c r="B106" i="1" a="1"/>
  <c r="B106" i="1" s="1"/>
  <c r="C106" i="1" s="1"/>
  <c r="B1191" i="1" a="1"/>
  <c r="B1191" i="1" s="1"/>
  <c r="C1191" i="1" s="1"/>
  <c r="B864" i="1" a="1"/>
  <c r="B864" i="1" s="1"/>
  <c r="C864" i="1" s="1"/>
  <c r="B593" i="1" a="1"/>
  <c r="B593" i="1" s="1"/>
  <c r="C593" i="1" s="1"/>
  <c r="B22" i="1" a="1"/>
  <c r="B22" i="1" s="1"/>
  <c r="C22" i="1" s="1"/>
  <c r="B1059" i="1" a="1"/>
  <c r="B1059" i="1" s="1"/>
  <c r="C1059" i="1" s="1"/>
  <c r="B35" i="1" a="1"/>
  <c r="B35" i="1" s="1"/>
  <c r="C35" i="1" s="1"/>
  <c r="B1058" i="1" a="1"/>
  <c r="B1058" i="1" s="1"/>
  <c r="C1058" i="1" s="1"/>
  <c r="B331" i="1" a="1"/>
  <c r="B331" i="1" s="1"/>
  <c r="C331" i="1" s="1"/>
  <c r="B768" i="1" a="1"/>
  <c r="B768" i="1" s="1"/>
  <c r="C768" i="1" s="1"/>
  <c r="B1087" i="1" a="1"/>
  <c r="B1087" i="1" s="1"/>
  <c r="C1087" i="1" s="1"/>
  <c r="B752" i="1" a="1"/>
  <c r="B752" i="1" s="1"/>
  <c r="C752" i="1" s="1"/>
  <c r="B37" i="1" a="1"/>
  <c r="B37" i="1" s="1"/>
  <c r="C37" i="1" s="1"/>
  <c r="B446" i="1" a="1"/>
  <c r="B446" i="1" s="1"/>
  <c r="C446" i="1" s="1"/>
  <c r="B1183" i="1" a="1"/>
  <c r="B1183" i="1" s="1"/>
  <c r="C1183" i="1" s="1"/>
  <c r="B6" i="1" a="1"/>
  <c r="B6" i="1" s="1"/>
  <c r="C6" i="1" s="1"/>
  <c r="B825" i="1" a="1"/>
  <c r="B825" i="1" s="1"/>
  <c r="C825" i="1" s="1"/>
  <c r="B1083" i="1" a="1"/>
  <c r="B1083" i="1" s="1"/>
  <c r="C1083" i="1" s="1"/>
  <c r="B816" i="1" a="1"/>
  <c r="B816" i="1" s="1"/>
  <c r="C816" i="1" s="1"/>
  <c r="B686" i="1" a="1"/>
  <c r="B686" i="1" s="1"/>
  <c r="C686" i="1" s="1"/>
  <c r="B59" i="1" a="1"/>
  <c r="B59" i="1" s="1"/>
  <c r="C59" i="1" s="1"/>
  <c r="B645" i="1" a="1"/>
  <c r="B645" i="1" s="1"/>
  <c r="C645" i="1" s="1"/>
  <c r="B365" i="1" a="1"/>
  <c r="B365" i="1" s="1"/>
  <c r="C365" i="1" s="1"/>
  <c r="B1060" i="1" a="1"/>
  <c r="B1060" i="1" s="1"/>
  <c r="C1060" i="1" s="1"/>
  <c r="B588" i="1" a="1"/>
  <c r="B588" i="1" s="1"/>
  <c r="C588" i="1" s="1"/>
  <c r="B1055" i="1" a="1"/>
  <c r="B1055" i="1" s="1"/>
  <c r="C1055" i="1" s="1"/>
  <c r="B409" i="1" a="1"/>
  <c r="B409" i="1" s="1"/>
  <c r="C409" i="1" s="1"/>
  <c r="B271" i="1" a="1"/>
  <c r="B271" i="1" s="1"/>
  <c r="C271" i="1" s="1"/>
  <c r="B828" i="1" a="1"/>
  <c r="B828" i="1" s="1"/>
  <c r="C828" i="1" s="1"/>
  <c r="B767" i="1" a="1"/>
  <c r="B767" i="1" s="1"/>
  <c r="C767" i="1" s="1"/>
  <c r="B256" i="1" a="1"/>
  <c r="B256" i="1" s="1"/>
  <c r="C256" i="1" s="1"/>
  <c r="B637" i="1" a="1"/>
  <c r="B637" i="1" s="1"/>
  <c r="C637" i="1" s="1"/>
  <c r="B561" i="1" a="1"/>
  <c r="B561" i="1" s="1"/>
  <c r="C561" i="1" s="1"/>
  <c r="B245" i="1" a="1"/>
  <c r="B245" i="1" s="1"/>
  <c r="C245" i="1" s="1"/>
  <c r="B628" i="1" a="1"/>
  <c r="B628" i="1" s="1"/>
  <c r="C628" i="1" s="1"/>
  <c r="B233" i="1" a="1"/>
  <c r="B233" i="1" s="1"/>
  <c r="C233" i="1" s="1"/>
  <c r="B168" i="1" a="1"/>
  <c r="B168" i="1" s="1"/>
  <c r="C168" i="1"/>
  <c r="B1122" i="1" a="1"/>
  <c r="B1122" i="1" s="1"/>
  <c r="C1122" i="1" s="1"/>
  <c r="B178" i="1" a="1"/>
  <c r="B178" i="1" s="1"/>
  <c r="C178" i="1" s="1"/>
  <c r="B4" i="1" a="1"/>
  <c r="B4" i="1" s="1"/>
  <c r="C4" i="1" s="1"/>
  <c r="B676" i="1" a="1"/>
  <c r="B676" i="1" s="1"/>
  <c r="C676" i="1" s="1"/>
  <c r="B128" i="1" a="1"/>
  <c r="B128" i="1" s="1"/>
  <c r="C128" i="1" s="1"/>
  <c r="B228" i="1" a="1"/>
  <c r="B228" i="1" s="1"/>
  <c r="C228" i="1" s="1"/>
  <c r="B72" i="1" a="1"/>
  <c r="B72" i="1" s="1"/>
  <c r="C72" i="1" s="1"/>
  <c r="B533" i="1" a="1"/>
  <c r="B533" i="1" s="1"/>
  <c r="C533" i="1" s="1"/>
  <c r="B1067" i="1" a="1"/>
  <c r="B1067" i="1" s="1"/>
  <c r="C1067" i="1" s="1"/>
  <c r="B782" i="1" a="1"/>
  <c r="B782" i="1" s="1"/>
  <c r="C782" i="1" s="1"/>
  <c r="B1013" i="1" a="1"/>
  <c r="B1013" i="1" s="1"/>
  <c r="C1013" i="1" s="1"/>
  <c r="B802" i="1" a="1"/>
  <c r="B802" i="1" s="1"/>
  <c r="C802" i="1" s="1"/>
  <c r="B275" i="1" a="1"/>
  <c r="B275" i="1" s="1"/>
  <c r="C275" i="1" s="1"/>
  <c r="B722" i="1" a="1"/>
  <c r="B722" i="1"/>
  <c r="C722" i="1" s="1"/>
  <c r="B1088" i="1" a="1"/>
  <c r="B1088" i="1" s="1"/>
  <c r="C1088" i="1" s="1"/>
  <c r="B595" i="1" a="1"/>
  <c r="B595" i="1" s="1"/>
  <c r="C595" i="1" s="1"/>
  <c r="B27" i="1" a="1"/>
  <c r="B27" i="1" s="1"/>
  <c r="C27" i="1" s="1"/>
  <c r="B566" i="1" a="1"/>
  <c r="B566" i="1" s="1"/>
  <c r="C566" i="1" s="1"/>
  <c r="B1151" i="1" a="1"/>
  <c r="B1151" i="1" s="1"/>
  <c r="C1151" i="1" s="1"/>
  <c r="B193" i="1" a="1"/>
  <c r="B193" i="1" s="1"/>
  <c r="C193" i="1" s="1"/>
  <c r="B1143" i="1" a="1"/>
  <c r="B1143" i="1" s="1"/>
  <c r="C1143" i="1" s="1"/>
  <c r="B372" i="1" a="1"/>
  <c r="B372" i="1" s="1"/>
  <c r="C372" i="1" s="1"/>
  <c r="B1069" i="1" a="1"/>
  <c r="B1069" i="1" s="1"/>
  <c r="C1069" i="1" s="1"/>
  <c r="B872" i="1" a="1"/>
  <c r="B872" i="1" s="1"/>
  <c r="C872" i="1" s="1"/>
  <c r="B987" i="1" a="1"/>
  <c r="B987" i="1" s="1"/>
  <c r="C987" i="1" s="1"/>
  <c r="B260" i="1" a="1"/>
  <c r="B260" i="1" s="1"/>
  <c r="C260" i="1" s="1"/>
  <c r="B730" i="1" a="1"/>
  <c r="B730" i="1" s="1"/>
  <c r="C730" i="1" s="1"/>
  <c r="B28" i="1" a="1"/>
  <c r="B28" i="1" s="1"/>
  <c r="C28" i="1" s="1"/>
  <c r="B958" i="1" a="1"/>
  <c r="B958" i="1" s="1"/>
  <c r="C958" i="1" s="1"/>
  <c r="B991" i="1" a="1"/>
  <c r="B991" i="1" s="1"/>
  <c r="C991" i="1" s="1"/>
  <c r="B50" i="1" a="1"/>
  <c r="B50" i="1" s="1"/>
  <c r="C50" i="1" s="1"/>
  <c r="B466" i="1" a="1"/>
  <c r="B466" i="1" s="1"/>
  <c r="C466" i="1" s="1"/>
  <c r="B3" i="1" a="1"/>
  <c r="B3" i="1" s="1"/>
  <c r="C3" i="1" s="1"/>
  <c r="B64" i="1" a="1"/>
  <c r="B64" i="1" s="1"/>
  <c r="C64" i="1" s="1"/>
  <c r="B746" i="1" a="1"/>
  <c r="B746" i="1" s="1"/>
  <c r="C746" i="1" s="1"/>
  <c r="B1018" i="1" a="1"/>
  <c r="B1018" i="1" s="1"/>
  <c r="C1018" i="1" s="1"/>
  <c r="B489" i="1" a="1"/>
  <c r="B489" i="1" s="1"/>
  <c r="C489" i="1" s="1"/>
  <c r="B274" i="1" a="1"/>
  <c r="B274" i="1" s="1"/>
  <c r="C274" i="1" s="1"/>
  <c r="B208" i="1" a="1"/>
  <c r="B208" i="1" s="1"/>
  <c r="C208" i="1" s="1"/>
  <c r="B1159" i="1" a="1"/>
  <c r="B1159" i="1" s="1"/>
  <c r="C1159" i="1" s="1"/>
  <c r="B423" i="1" a="1"/>
  <c r="B423" i="1" s="1"/>
  <c r="C423" i="1" s="1"/>
  <c r="B261" i="1" a="1"/>
  <c r="B261" i="1" s="1"/>
  <c r="C261" i="1" s="1"/>
  <c r="B882" i="1" a="1"/>
  <c r="B882" i="1" s="1"/>
  <c r="C882" i="1" s="1"/>
  <c r="B1032" i="1" a="1"/>
  <c r="B1032" i="1" s="1"/>
  <c r="C1032" i="1" s="1"/>
  <c r="B616" i="1" a="1"/>
  <c r="B616" i="1" s="1"/>
  <c r="C616" i="1" s="1"/>
  <c r="B93" i="1" a="1"/>
  <c r="B93" i="1" s="1"/>
  <c r="C93" i="1" s="1"/>
  <c r="B280" i="1" a="1"/>
  <c r="B280" i="1" s="1"/>
  <c r="C280" i="1" s="1"/>
  <c r="B202" i="1" a="1"/>
  <c r="B202" i="1" s="1"/>
  <c r="C202" i="1" s="1"/>
  <c r="B1189" i="1" a="1"/>
  <c r="B1189" i="1" s="1"/>
  <c r="C1189" i="1" s="1"/>
  <c r="B304" i="1" a="1"/>
  <c r="B304" i="1" s="1"/>
  <c r="C304" i="1" s="1"/>
  <c r="B40" i="1" a="1"/>
  <c r="B40" i="1" s="1"/>
  <c r="C40" i="1" s="1"/>
  <c r="B888" i="1" a="1"/>
  <c r="B888" i="1"/>
  <c r="C888" i="1" s="1"/>
  <c r="B632" i="1" a="1"/>
  <c r="B632" i="1" s="1"/>
  <c r="C632" i="1" s="1"/>
  <c r="B1081" i="1" a="1"/>
  <c r="B1081" i="1" s="1"/>
  <c r="C1081" i="1" s="1"/>
  <c r="B1070" i="1" a="1"/>
  <c r="B1070" i="1" s="1"/>
  <c r="C1070" i="1" s="1"/>
  <c r="B715" i="1" a="1"/>
  <c r="B715" i="1" s="1"/>
  <c r="C715" i="1" s="1"/>
  <c r="B1188" i="1" a="1"/>
  <c r="B1188" i="1" s="1"/>
  <c r="C1188" i="1" s="1"/>
  <c r="B857" i="1" a="1"/>
  <c r="B857" i="1" s="1"/>
  <c r="C857" i="1" s="1"/>
  <c r="B339" i="1" a="1"/>
  <c r="B339" i="1" s="1"/>
  <c r="C339" i="1" s="1"/>
  <c r="B860" i="1" a="1"/>
  <c r="B860" i="1" s="1"/>
  <c r="C860" i="1" s="1"/>
  <c r="B706" i="1" a="1"/>
  <c r="B706" i="1" s="1"/>
  <c r="C706" i="1" s="1"/>
  <c r="B923" i="1" a="1"/>
  <c r="B923" i="1" s="1"/>
  <c r="C923" i="1" s="1"/>
  <c r="B773" i="1" a="1"/>
  <c r="B773" i="1" s="1"/>
  <c r="C773" i="1" s="1"/>
  <c r="B102" i="1" a="1"/>
  <c r="B102" i="1" s="1"/>
  <c r="C102" i="1" s="1"/>
  <c r="B604" i="1" a="1"/>
  <c r="B604" i="1" s="1"/>
  <c r="C604" i="1" s="1"/>
  <c r="B700" i="1" a="1"/>
  <c r="B700" i="1" s="1"/>
  <c r="C700" i="1" s="1"/>
  <c r="B523" i="1" a="1"/>
  <c r="B523" i="1" s="1"/>
  <c r="C523" i="1" s="1"/>
  <c r="B413" i="1" a="1"/>
  <c r="B413" i="1" s="1"/>
  <c r="C413" i="1" s="1"/>
  <c r="B266" i="1" a="1"/>
  <c r="B266" i="1" s="1"/>
  <c r="C266" i="1" s="1"/>
  <c r="B591" i="1" a="1"/>
  <c r="B591" i="1" s="1"/>
  <c r="C591" i="1" s="1"/>
  <c r="B1118" i="1" a="1"/>
  <c r="B1118" i="1" s="1"/>
  <c r="C1118" i="1" s="1"/>
  <c r="B8" i="1" a="1"/>
  <c r="B8" i="1" s="1"/>
  <c r="C8" i="1" s="1"/>
  <c r="B741" i="1" a="1"/>
  <c r="B741" i="1" s="1"/>
  <c r="C741" i="1" s="1"/>
  <c r="B165" i="1" a="1"/>
  <c r="B165" i="1" s="1"/>
  <c r="C165" i="1" s="1"/>
  <c r="B669" i="1" a="1"/>
  <c r="B669" i="1" s="1"/>
  <c r="C669" i="1" s="1"/>
  <c r="B717" i="1" a="1"/>
  <c r="B717" i="1" s="1"/>
  <c r="C717" i="1" s="1"/>
  <c r="B959" i="1" a="1"/>
  <c r="B959" i="1" s="1"/>
  <c r="C959" i="1" s="1"/>
  <c r="B1012" i="1" a="1"/>
  <c r="B1012" i="1" s="1"/>
  <c r="C1012" i="1" s="1"/>
  <c r="B629" i="1" a="1"/>
  <c r="B629" i="1" s="1"/>
  <c r="C629" i="1" s="1"/>
  <c r="B258" i="1" a="1"/>
  <c r="B258" i="1" s="1"/>
  <c r="C258" i="1" s="1"/>
  <c r="B1047" i="1" a="1"/>
  <c r="B1047" i="1" s="1"/>
  <c r="C1047" i="1" s="1"/>
  <c r="B1086" i="1" a="1"/>
  <c r="B1086" i="1" s="1"/>
  <c r="C1086" i="1" s="1"/>
  <c r="B672" i="1" a="1"/>
  <c r="B672" i="1" s="1"/>
  <c r="C672" i="1" s="1"/>
  <c r="B650" i="1" a="1"/>
  <c r="B650" i="1" s="1"/>
  <c r="C650" i="1" s="1"/>
  <c r="B61" i="1" a="1"/>
  <c r="B61" i="1" s="1"/>
  <c r="C61" i="1" s="1"/>
  <c r="B829" i="1" a="1"/>
  <c r="B829" i="1" s="1"/>
  <c r="C829" i="1" s="1"/>
  <c r="B542" i="1" a="1"/>
  <c r="B542" i="1" s="1"/>
  <c r="C542" i="1" s="1"/>
  <c r="B943" i="1" a="1"/>
  <c r="B943" i="1" s="1"/>
  <c r="C943" i="1" s="1"/>
  <c r="B918" i="1" a="1"/>
  <c r="B918" i="1" s="1"/>
  <c r="C918" i="1" s="1"/>
  <c r="B210" i="1" a="1"/>
  <c r="B210" i="1" s="1"/>
  <c r="C210" i="1" s="1"/>
  <c r="B385" i="1" a="1"/>
  <c r="B385" i="1" s="1"/>
  <c r="C385" i="1" s="1"/>
  <c r="B861" i="1" a="1"/>
  <c r="B861" i="1" s="1"/>
  <c r="C861" i="1" s="1"/>
  <c r="B79" i="1" a="1"/>
  <c r="B79" i="1" s="1"/>
  <c r="C79" i="1" s="1"/>
  <c r="B796" i="1" a="1"/>
  <c r="B796" i="1" s="1"/>
  <c r="C796" i="1" s="1"/>
  <c r="B809" i="1" a="1"/>
  <c r="B809" i="1" s="1"/>
  <c r="C809" i="1" s="1"/>
  <c r="B203" i="1" a="1"/>
  <c r="B203" i="1" s="1"/>
  <c r="C203" i="1" s="1"/>
  <c r="B130" i="1" a="1"/>
  <c r="B130" i="1" s="1"/>
  <c r="C130" i="1" s="1"/>
  <c r="B359" i="1" a="1"/>
  <c r="B359" i="1" s="1"/>
  <c r="C359" i="1" s="1"/>
  <c r="B685" i="1" a="1"/>
  <c r="B685" i="1" s="1"/>
  <c r="C685" i="1" s="1"/>
  <c r="B855" i="1" a="1"/>
  <c r="B855" i="1" s="1"/>
  <c r="C855" i="1" s="1"/>
  <c r="B731" i="1" a="1"/>
  <c r="B731" i="1" s="1"/>
  <c r="C731" i="1" s="1"/>
  <c r="B163" i="1" a="1"/>
  <c r="B163" i="1" s="1"/>
  <c r="C163" i="1" s="1"/>
  <c r="B1101" i="1" a="1"/>
  <c r="B1101" i="1" s="1"/>
  <c r="C1101" i="1" s="1"/>
  <c r="B966" i="1" a="1"/>
  <c r="B966" i="1" s="1"/>
  <c r="C966" i="1" s="1"/>
  <c r="B465" i="1" a="1"/>
  <c r="B465" i="1" s="1"/>
  <c r="C465" i="1" s="1"/>
  <c r="B615" i="1" a="1"/>
  <c r="B615" i="1" s="1"/>
  <c r="C615" i="1" s="1"/>
  <c r="B652" i="1" a="1"/>
  <c r="B652" i="1" s="1"/>
  <c r="C652" i="1" s="1"/>
  <c r="B475" i="1" a="1"/>
  <c r="B475" i="1" s="1"/>
  <c r="C475" i="1" s="1"/>
  <c r="B1095" i="1" a="1"/>
  <c r="B1095" i="1" s="1"/>
  <c r="C1095" i="1" s="1"/>
  <c r="B406" i="1" a="1"/>
  <c r="B406" i="1" s="1"/>
  <c r="C406" i="1" s="1"/>
  <c r="B509" i="1" a="1"/>
  <c r="B509" i="1" s="1"/>
  <c r="C509" i="1" s="1"/>
  <c r="B182" i="1" a="1"/>
  <c r="B182" i="1" s="1"/>
  <c r="C182" i="1" s="1"/>
  <c r="B173" i="1" a="1"/>
  <c r="B173" i="1" s="1"/>
  <c r="C173" i="1" s="1"/>
  <c r="B582" i="1" a="1"/>
  <c r="B582" i="1" s="1"/>
  <c r="C582" i="1" s="1"/>
  <c r="B151" i="1" a="1"/>
  <c r="B151" i="1" s="1"/>
  <c r="C151" i="1" s="1"/>
  <c r="B298" i="1" a="1"/>
  <c r="B298" i="1" s="1"/>
  <c r="C298" i="1" s="1"/>
  <c r="B904" i="1" a="1"/>
  <c r="B904" i="1" s="1"/>
  <c r="C904" i="1" s="1"/>
  <c r="B531" i="1" a="1"/>
  <c r="B531" i="1" s="1"/>
  <c r="C531" i="1" s="1"/>
  <c r="B549" i="1" a="1"/>
  <c r="B549" i="1" s="1"/>
  <c r="C549" i="1" s="1"/>
  <c r="B571" i="1" a="1"/>
  <c r="B571" i="1" s="1"/>
  <c r="C571" i="1" s="1"/>
  <c r="B640" i="1" a="1"/>
  <c r="B640" i="1" s="1"/>
  <c r="C640" i="1" s="1"/>
  <c r="B935" i="1" a="1"/>
  <c r="B935" i="1" s="1"/>
  <c r="C935" i="1" s="1"/>
  <c r="B142" i="1" a="1"/>
  <c r="B142" i="1" s="1"/>
  <c r="C142" i="1" s="1"/>
  <c r="B664" i="1" a="1"/>
  <c r="B664" i="1" s="1"/>
  <c r="C664" i="1" s="1"/>
  <c r="B224" i="1" a="1"/>
  <c r="B224" i="1" s="1"/>
  <c r="C224" i="1" s="1"/>
  <c r="B58" i="1" a="1"/>
  <c r="B58" i="1" s="1"/>
  <c r="C58" i="1" s="1"/>
  <c r="B430" i="1" a="1"/>
  <c r="B430" i="1" s="1"/>
  <c r="C430" i="1" s="1"/>
  <c r="B601" i="1" a="1"/>
  <c r="B601" i="1" s="1"/>
  <c r="C601" i="1" s="1"/>
  <c r="B993" i="1" a="1"/>
  <c r="B993" i="1" s="1"/>
  <c r="C993" i="1" s="1"/>
  <c r="B727" i="1" a="1"/>
  <c r="B727" i="1" s="1"/>
  <c r="C727" i="1" s="1"/>
  <c r="B944" i="1" a="1"/>
  <c r="B944" i="1" s="1"/>
  <c r="C944" i="1" s="1"/>
  <c r="B1096" i="1" a="1"/>
  <c r="B1096" i="1" s="1"/>
  <c r="C1096" i="1" s="1"/>
  <c r="B1036" i="1" a="1"/>
  <c r="B1036" i="1" s="1"/>
  <c r="C1036" i="1" s="1"/>
  <c r="B679" i="1" a="1"/>
  <c r="B679" i="1"/>
  <c r="C679" i="1" s="1"/>
  <c r="B671" i="1" a="1"/>
  <c r="B671" i="1" s="1"/>
  <c r="C671" i="1" s="1"/>
  <c r="B373" i="1" a="1"/>
  <c r="B373" i="1" s="1"/>
  <c r="C373" i="1" s="1"/>
  <c r="B223" i="1" a="1"/>
  <c r="B223" i="1" s="1"/>
  <c r="C223" i="1" s="1"/>
  <c r="B55" i="1" a="1"/>
  <c r="B55" i="1" s="1"/>
  <c r="C55" i="1" s="1"/>
  <c r="B176" i="1" a="1"/>
  <c r="B176" i="1" s="1"/>
  <c r="C176" i="1" s="1"/>
  <c r="B962" i="1" a="1"/>
  <c r="B962" i="1" s="1"/>
  <c r="C962" i="1" s="1"/>
  <c r="B240" i="1" a="1"/>
  <c r="B240" i="1" s="1"/>
  <c r="C240" i="1" s="1"/>
  <c r="B322" i="1" a="1"/>
  <c r="B322" i="1" s="1"/>
  <c r="C322" i="1" s="1"/>
  <c r="B578" i="1" a="1"/>
  <c r="B578" i="1" s="1"/>
  <c r="C578" i="1" s="1"/>
  <c r="B410" i="1" a="1"/>
  <c r="B410" i="1" s="1"/>
  <c r="C410" i="1" s="1"/>
  <c r="B1157" i="1" a="1"/>
  <c r="B1157" i="1" s="1"/>
  <c r="C1157" i="1" s="1"/>
  <c r="B350" i="1" a="1"/>
  <c r="B350" i="1" s="1"/>
  <c r="C350" i="1" s="1"/>
  <c r="B647" i="1" a="1"/>
  <c r="B647" i="1" s="1"/>
  <c r="C647" i="1" s="1"/>
  <c r="B909" i="1" a="1"/>
  <c r="B909" i="1" s="1"/>
  <c r="C909" i="1" s="1"/>
  <c r="B975" i="1" a="1"/>
  <c r="B975" i="1" s="1"/>
  <c r="C975" i="1" s="1"/>
  <c r="B570" i="1" a="1"/>
  <c r="B570" i="1" s="1"/>
  <c r="C570" i="1" s="1"/>
  <c r="B599" i="1" a="1"/>
  <c r="B599" i="1" s="1"/>
  <c r="C599" i="1" s="1"/>
  <c r="B194" i="1" a="1"/>
  <c r="B194" i="1" s="1"/>
  <c r="C194" i="1" s="1"/>
  <c r="B364" i="1" a="1"/>
  <c r="B364" i="1" s="1"/>
  <c r="C364" i="1" s="1"/>
  <c r="B653" i="1" a="1"/>
  <c r="B653" i="1" s="1"/>
  <c r="C653" i="1" s="1"/>
  <c r="B1037" i="1" a="1"/>
  <c r="B1037" i="1" s="1"/>
  <c r="C1037" i="1" s="1"/>
  <c r="B1093" i="1" a="1"/>
  <c r="B1093" i="1" s="1"/>
  <c r="C1093" i="1" s="1"/>
  <c r="B967" i="1" a="1"/>
  <c r="B967" i="1" s="1"/>
  <c r="C967" i="1" s="1"/>
  <c r="B757" i="1" a="1"/>
  <c r="B757" i="1" s="1"/>
  <c r="C757" i="1" s="1"/>
  <c r="B801" i="1" a="1"/>
  <c r="B801" i="1" s="1"/>
  <c r="C801" i="1" s="1"/>
  <c r="B759" i="1" a="1"/>
  <c r="B759" i="1" s="1"/>
  <c r="C759" i="1" s="1"/>
  <c r="B1014" i="1" a="1"/>
  <c r="B1014" i="1" s="1"/>
  <c r="C1014" i="1" s="1"/>
  <c r="B108" i="1" a="1"/>
  <c r="B108" i="1" s="1"/>
  <c r="C108" i="1" s="1"/>
  <c r="B408" i="1" a="1"/>
  <c r="B408" i="1" s="1"/>
  <c r="C408" i="1" s="1"/>
  <c r="B678" i="1" a="1"/>
  <c r="B678" i="1" s="1"/>
  <c r="C678" i="1" s="1"/>
  <c r="B1132" i="1" a="1"/>
  <c r="B1132" i="1" s="1"/>
  <c r="C1132" i="1" s="1"/>
  <c r="B558" i="1" a="1"/>
  <c r="B558" i="1" s="1"/>
  <c r="C558" i="1" s="1"/>
  <c r="B1042" i="1" a="1"/>
  <c r="B1042" i="1" s="1"/>
  <c r="C1042" i="1" s="1"/>
  <c r="B1108" i="1" a="1"/>
  <c r="B1108" i="1" s="1"/>
  <c r="C1108" i="1" s="1"/>
  <c r="B267" i="1" a="1"/>
  <c r="B267" i="1" s="1"/>
  <c r="C267" i="1" s="1"/>
  <c r="B53" i="1" a="1"/>
  <c r="B53" i="1" s="1"/>
  <c r="C53" i="1" s="1"/>
  <c r="B254" i="1" a="1"/>
  <c r="B254" i="1" s="1"/>
  <c r="C254" i="1" s="1"/>
  <c r="B1085" i="1" a="1"/>
  <c r="B1085" i="1" s="1"/>
  <c r="C1085" i="1" s="1"/>
  <c r="B174" i="1" a="1"/>
  <c r="B174" i="1" s="1"/>
  <c r="C174" i="1" s="1"/>
  <c r="B572" i="1" a="1"/>
  <c r="B572" i="1" s="1"/>
  <c r="C572" i="1" s="1"/>
  <c r="B777" i="1" a="1"/>
  <c r="B777" i="1" s="1"/>
  <c r="C777" i="1" s="1"/>
  <c r="B948" i="1" a="1"/>
  <c r="B948" i="1" s="1"/>
  <c r="C948" i="1" s="1"/>
  <c r="B625" i="1" a="1"/>
  <c r="B625" i="1" s="1"/>
  <c r="C625" i="1" s="1"/>
  <c r="B938" i="1" a="1"/>
  <c r="B938" i="1" s="1"/>
  <c r="C938" i="1" s="1"/>
  <c r="B238" i="1" a="1"/>
  <c r="B238" i="1" s="1"/>
  <c r="C238" i="1" s="1"/>
  <c r="B1128" i="1" a="1"/>
  <c r="B1128" i="1" s="1"/>
  <c r="C1128" i="1" s="1"/>
  <c r="B1019" i="1" a="1"/>
  <c r="B1019" i="1" s="1"/>
  <c r="C1019" i="1" s="1"/>
  <c r="B214" i="1" a="1"/>
  <c r="B214" i="1" s="1"/>
  <c r="C214" i="1" s="1"/>
  <c r="B476" i="1" a="1"/>
  <c r="B476" i="1" s="1"/>
  <c r="C476" i="1" s="1"/>
  <c r="B952" i="1" a="1"/>
  <c r="B952" i="1" s="1"/>
  <c r="C952" i="1" s="1"/>
  <c r="B512" i="1" a="1"/>
  <c r="B512" i="1" s="1"/>
  <c r="C512" i="1" s="1"/>
  <c r="B655" i="1" a="1"/>
  <c r="B655" i="1" s="1"/>
  <c r="C655" i="1" s="1"/>
  <c r="B926" i="1" a="1"/>
  <c r="B926" i="1" s="1"/>
  <c r="C926" i="1" s="1"/>
  <c r="B743" i="1" a="1"/>
  <c r="B743" i="1" s="1"/>
  <c r="C743" i="1" s="1"/>
  <c r="B1079" i="1" a="1"/>
  <c r="B1079" i="1" s="1"/>
  <c r="C1079" i="1" s="1"/>
  <c r="B670" i="1" a="1"/>
  <c r="B670" i="1" s="1"/>
  <c r="C670" i="1" s="1"/>
  <c r="B1034" i="1" a="1"/>
  <c r="B1034" i="1" s="1"/>
  <c r="C1034" i="1" s="1"/>
  <c r="B769" i="1" a="1"/>
  <c r="B769" i="1" s="1"/>
  <c r="C769" i="1" s="1"/>
  <c r="B946" i="1" a="1"/>
  <c r="B946" i="1" s="1"/>
  <c r="C946" i="1" s="1"/>
  <c r="B559" i="1" a="1"/>
  <c r="B559" i="1" s="1"/>
  <c r="C559" i="1" s="1"/>
  <c r="B1117" i="1" a="1"/>
  <c r="B1117" i="1" s="1"/>
  <c r="C1117" i="1" s="1"/>
  <c r="B811" i="1" a="1"/>
  <c r="B811" i="1" s="1"/>
  <c r="C811" i="1" s="1"/>
  <c r="B1140" i="1" a="1"/>
  <c r="B1140" i="1" s="1"/>
  <c r="C1140" i="1" s="1"/>
  <c r="B1071" i="1" a="1"/>
  <c r="B1071" i="1" s="1"/>
  <c r="C1071" i="1" s="1"/>
  <c r="B463" i="1" a="1"/>
  <c r="B463" i="1" s="1"/>
  <c r="C463" i="1" s="1"/>
  <c r="B458" i="1" a="1"/>
  <c r="B458" i="1" s="1"/>
  <c r="C458" i="1" s="1"/>
  <c r="B243" i="1" a="1"/>
  <c r="B243" i="1" s="1"/>
  <c r="C243" i="1" s="1"/>
  <c r="B349" i="1" a="1"/>
  <c r="B349" i="1" s="1"/>
  <c r="C349" i="1" s="1"/>
  <c r="B206" i="1" a="1"/>
  <c r="B206" i="1" s="1"/>
  <c r="C206" i="1" s="1"/>
  <c r="B308" i="1" a="1"/>
  <c r="B308" i="1" s="1"/>
  <c r="C308" i="1" s="1"/>
  <c r="B119" i="1" a="1"/>
  <c r="B119" i="1" s="1"/>
  <c r="C119" i="1" s="1"/>
  <c r="B109" i="1" a="1"/>
  <c r="B109" i="1" s="1"/>
  <c r="C109" i="1" s="1"/>
  <c r="B1170" i="1" a="1"/>
  <c r="B1170" i="1" s="1"/>
  <c r="C1170" i="1" s="1"/>
  <c r="B241" i="1" a="1"/>
  <c r="B241" i="1" s="1"/>
  <c r="C241" i="1" s="1"/>
  <c r="B532" i="1" a="1"/>
  <c r="B532" i="1" s="1"/>
  <c r="C532" i="1" s="1"/>
  <c r="B1130" i="1" a="1"/>
  <c r="B1130" i="1" s="1"/>
  <c r="C1130" i="1" s="1"/>
  <c r="B170" i="1" a="1"/>
  <c r="B170" i="1" s="1"/>
  <c r="C170" i="1" s="1"/>
  <c r="B562" i="1" a="1"/>
  <c r="B562" i="1" s="1"/>
  <c r="C562" i="1" s="1"/>
  <c r="B736" i="1" a="1"/>
  <c r="B736" i="1" s="1"/>
  <c r="C736" i="1" s="1"/>
  <c r="B268" i="1" a="1"/>
  <c r="B268" i="1" s="1"/>
  <c r="C268" i="1" s="1"/>
  <c r="B985" i="1" a="1"/>
  <c r="B985" i="1" s="1"/>
  <c r="C985" i="1" s="1"/>
  <c r="B737" i="1" a="1"/>
  <c r="B737" i="1" s="1"/>
  <c r="C737" i="1" s="1"/>
  <c r="B1196" i="1" a="1"/>
  <c r="B1196" i="1" s="1"/>
  <c r="C1196" i="1" s="1"/>
  <c r="B756" i="1" a="1"/>
  <c r="B756" i="1" s="1"/>
  <c r="C756" i="1" s="1"/>
  <c r="B1009" i="1" a="1"/>
  <c r="B1009" i="1" s="1"/>
  <c r="C1009" i="1" s="1"/>
  <c r="B112" i="1" a="1"/>
  <c r="B112" i="1" s="1"/>
  <c r="C112" i="1" s="1"/>
  <c r="B803" i="1" a="1"/>
  <c r="B803" i="1" s="1"/>
  <c r="C803" i="1" s="1"/>
  <c r="B320" i="1" a="1"/>
  <c r="B320" i="1" s="1"/>
  <c r="C320" i="1" s="1"/>
  <c r="B994" i="1" a="1"/>
  <c r="B994" i="1" s="1"/>
  <c r="C994" i="1" s="1"/>
  <c r="B783" i="1" a="1"/>
  <c r="B783" i="1" s="1"/>
  <c r="C783" i="1" s="1"/>
  <c r="B660" i="1" a="1"/>
  <c r="B660" i="1" s="1"/>
  <c r="C660" i="1" s="1"/>
  <c r="B1099" i="1" a="1"/>
  <c r="B1099" i="1" s="1"/>
  <c r="C1099" i="1" s="1"/>
  <c r="B156" i="1" a="1"/>
  <c r="B156" i="1" s="1"/>
  <c r="C156" i="1" s="1"/>
  <c r="B619" i="1" a="1"/>
  <c r="B619" i="1" s="1"/>
  <c r="C619" i="1" s="1"/>
  <c r="B682" i="1" a="1"/>
  <c r="B682" i="1" s="1"/>
  <c r="C682" i="1" s="1"/>
  <c r="B436" i="1" a="1"/>
  <c r="B436" i="1" s="1"/>
  <c r="C436" i="1" s="1"/>
  <c r="B158" i="1" a="1"/>
  <c r="B158" i="1" s="1"/>
  <c r="C158" i="1" s="1"/>
  <c r="B797" i="1" a="1"/>
  <c r="B797" i="1" s="1"/>
  <c r="C797" i="1" s="1"/>
  <c r="B301" i="1" a="1"/>
  <c r="B301" i="1" s="1"/>
  <c r="C301" i="1" s="1"/>
  <c r="B457" i="1" a="1"/>
  <c r="B457" i="1" s="1"/>
  <c r="C457" i="1" s="1"/>
  <c r="B472" i="1" a="1"/>
  <c r="B472" i="1" s="1"/>
  <c r="C472" i="1" s="1"/>
  <c r="B488" i="1" a="1"/>
  <c r="B488" i="1" s="1"/>
  <c r="C488" i="1" s="1"/>
  <c r="B462" i="1" a="1"/>
  <c r="B462" i="1" s="1"/>
  <c r="C462" i="1" s="1"/>
  <c r="B515" i="1" a="1"/>
  <c r="B515" i="1" s="1"/>
  <c r="C515" i="1" s="1"/>
  <c r="B310" i="1" a="1"/>
  <c r="B310" i="1" s="1"/>
  <c r="C310" i="1" s="1"/>
  <c r="B276" i="1" a="1"/>
  <c r="B276" i="1" s="1"/>
  <c r="C276" i="1" s="1"/>
  <c r="B723" i="1" a="1"/>
  <c r="B723" i="1" s="1"/>
  <c r="C723" i="1" s="1"/>
  <c r="B338" i="1" a="1"/>
  <c r="B338" i="1" s="1"/>
  <c r="C338" i="1" s="1"/>
  <c r="B1105" i="1" a="1"/>
  <c r="B1105" i="1" s="1"/>
  <c r="C1105" i="1" s="1"/>
  <c r="B1147" i="1" a="1"/>
  <c r="B1147" i="1" s="1"/>
  <c r="C1147" i="1" s="1"/>
  <c r="B1182" i="1" a="1"/>
  <c r="B1182" i="1" s="1"/>
  <c r="C1182" i="1" s="1"/>
  <c r="B978" i="1" a="1"/>
  <c r="B978" i="1" s="1"/>
  <c r="C978" i="1" s="1"/>
  <c r="B346" i="1" a="1"/>
  <c r="B346" i="1" s="1"/>
  <c r="C346" i="1" s="1"/>
  <c r="B692" i="1" a="1"/>
  <c r="B692" i="1" s="1"/>
  <c r="C692" i="1" s="1"/>
  <c r="B897" i="1" a="1"/>
  <c r="B897" i="1" s="1"/>
  <c r="C897" i="1" s="1"/>
  <c r="B662" i="1" a="1"/>
  <c r="B662" i="1" s="1"/>
  <c r="C662" i="1" s="1"/>
  <c r="B49" i="1" a="1"/>
  <c r="B49" i="1" s="1"/>
  <c r="C49" i="1" s="1"/>
  <c r="B166" i="1" a="1"/>
  <c r="B166" i="1" s="1"/>
  <c r="C166" i="1" s="1"/>
  <c r="B226" i="1" a="1"/>
  <c r="B226" i="1" s="1"/>
  <c r="C226" i="1" s="1"/>
  <c r="B388" i="1" a="1"/>
  <c r="B388" i="1" s="1"/>
  <c r="C388" i="1" s="1"/>
  <c r="B1102" i="1" a="1"/>
  <c r="B1102" i="1" s="1"/>
  <c r="C1102" i="1" s="1"/>
  <c r="B774" i="1" a="1"/>
  <c r="B774" i="1" s="1"/>
  <c r="C774" i="1" s="1"/>
  <c r="B197" i="1" a="1"/>
  <c r="B197" i="1" s="1"/>
  <c r="C197" i="1" s="1"/>
  <c r="B136" i="1" a="1"/>
  <c r="B136" i="1" s="1"/>
  <c r="C136" i="1" s="1"/>
  <c r="B688" i="1" a="1"/>
  <c r="B688" i="1" s="1"/>
  <c r="C688" i="1" s="1"/>
  <c r="B1195" i="1" a="1"/>
  <c r="B1195" i="1" s="1"/>
  <c r="C1195" i="1" s="1"/>
  <c r="B305" i="1" a="1"/>
  <c r="B305" i="1" s="1"/>
  <c r="C305" i="1" s="1"/>
  <c r="B631" i="1" a="1"/>
  <c r="B631" i="1" s="1"/>
  <c r="C631" i="1" s="1"/>
  <c r="B1121" i="1" a="1"/>
  <c r="B1121" i="1" s="1"/>
  <c r="C1121" i="1" s="1"/>
  <c r="B445" i="1" a="1"/>
  <c r="B445" i="1" s="1"/>
  <c r="C445" i="1" s="1"/>
  <c r="B787" i="1" a="1"/>
  <c r="B787" i="1" s="1"/>
  <c r="C787" i="1" s="1"/>
  <c r="B862" i="1" a="1"/>
  <c r="B862" i="1" s="1"/>
  <c r="C862" i="1" s="1"/>
  <c r="B814" i="1" a="1"/>
  <c r="B814" i="1" s="1"/>
  <c r="C814" i="1" s="1"/>
  <c r="B896" i="1" a="1"/>
  <c r="B896" i="1" s="1"/>
  <c r="C896" i="1" s="1"/>
  <c r="B1030" i="1" a="1"/>
  <c r="B1030" i="1" s="1"/>
  <c r="C1030" i="1" s="1"/>
  <c r="B827" i="1" a="1"/>
  <c r="B827" i="1" s="1"/>
  <c r="C827" i="1" s="1"/>
  <c r="B416" i="1" a="1"/>
  <c r="B416" i="1" s="1"/>
  <c r="C416" i="1" s="1"/>
  <c r="B376" i="1" a="1"/>
  <c r="B376" i="1" s="1"/>
  <c r="C376" i="1" s="1"/>
  <c r="B239" i="1" a="1"/>
  <c r="B239" i="1" s="1"/>
  <c r="C239" i="1" s="1"/>
  <c r="B1098" i="1" a="1"/>
  <c r="B1098" i="1" s="1"/>
  <c r="C1098" i="1" s="1"/>
  <c r="B94" i="1" a="1"/>
  <c r="B94" i="1" s="1"/>
  <c r="C94" i="1" s="1"/>
  <c r="B490" i="1" a="1"/>
  <c r="B490" i="1" s="1"/>
  <c r="C490" i="1" s="1"/>
  <c r="B981" i="1" a="1"/>
  <c r="B981" i="1" s="1"/>
  <c r="C981" i="1" s="1"/>
  <c r="B794" i="1" a="1"/>
  <c r="B794" i="1" s="1"/>
  <c r="C794" i="1" s="1"/>
  <c r="B911" i="1" a="1"/>
  <c r="B911" i="1" s="1"/>
  <c r="C911" i="1" s="1"/>
  <c r="B437" i="1" a="1"/>
  <c r="B437" i="1" s="1"/>
  <c r="C437" i="1" s="1"/>
  <c r="B732" i="1" a="1"/>
  <c r="B732" i="1" s="1"/>
  <c r="C732" i="1" s="1"/>
  <c r="B227" i="1" a="1"/>
  <c r="B227" i="1" s="1"/>
  <c r="C227" i="1" s="1"/>
  <c r="B899" i="1" a="1"/>
  <c r="B899" i="1" s="1"/>
  <c r="C899" i="1" s="1"/>
  <c r="B1168" i="1" a="1"/>
  <c r="B1168" i="1" s="1"/>
  <c r="C1168" i="1" s="1"/>
  <c r="B461" i="1" a="1"/>
  <c r="B461" i="1" s="1"/>
  <c r="C461" i="1" s="1"/>
  <c r="B1008" i="1" a="1"/>
  <c r="B1008" i="1" s="1"/>
  <c r="C1008" i="1" s="1"/>
  <c r="B1197" i="1" a="1"/>
  <c r="B1197" i="1" s="1"/>
  <c r="C1197" i="1" s="1"/>
  <c r="B234" i="1" a="1"/>
  <c r="B234" i="1" s="1"/>
  <c r="C234" i="1" s="1"/>
  <c r="B155" i="1" a="1"/>
  <c r="B155" i="1" s="1"/>
  <c r="C155" i="1" s="1"/>
  <c r="B925" i="1" a="1"/>
  <c r="B925" i="1" s="1"/>
  <c r="C925" i="1" s="1"/>
  <c r="B285" i="1" a="1"/>
  <c r="B285" i="1" s="1"/>
  <c r="C285" i="1" s="1"/>
  <c r="B222" i="1" a="1"/>
  <c r="B222" i="1" s="1"/>
  <c r="C222" i="1" s="1"/>
  <c r="B634" i="1" a="1"/>
  <c r="B634" i="1" s="1"/>
  <c r="C634" i="1" s="1"/>
  <c r="B878" i="1" a="1"/>
  <c r="B878" i="1"/>
  <c r="C878" i="1" s="1"/>
  <c r="B371" i="1" a="1"/>
  <c r="B371" i="1" s="1"/>
  <c r="C371" i="1" s="1"/>
  <c r="B135" i="1" a="1"/>
  <c r="B135" i="1" s="1"/>
  <c r="C135" i="1" s="1"/>
  <c r="B747" i="1" a="1"/>
  <c r="B747" i="1" s="1"/>
  <c r="C747" i="1" s="1"/>
  <c r="B1200" i="1" a="1"/>
  <c r="B1200" i="1" s="1"/>
  <c r="C1200" i="1" s="1"/>
  <c r="B1138" i="1" a="1"/>
  <c r="B1138" i="1" s="1"/>
  <c r="C1138" i="1" s="1"/>
  <c r="B474" i="1" a="1"/>
  <c r="B474" i="1" s="1"/>
  <c r="C474" i="1" s="1"/>
  <c r="B887" i="1" a="1"/>
  <c r="B887" i="1" s="1"/>
  <c r="C887" i="1" s="1"/>
  <c r="B613" i="1" a="1"/>
  <c r="B613" i="1" s="1"/>
  <c r="C613" i="1" s="1"/>
  <c r="B1073" i="1" a="1"/>
  <c r="B1073" i="1" s="1"/>
  <c r="C1073" i="1" s="1"/>
  <c r="B744" i="1" a="1"/>
  <c r="B744" i="1" s="1"/>
  <c r="C744" i="1" s="1"/>
  <c r="B456" i="1" a="1"/>
  <c r="B456" i="1" s="1"/>
  <c r="C456" i="1" s="1"/>
  <c r="B164" i="1" a="1"/>
  <c r="B164" i="1" s="1"/>
  <c r="C164" i="1" s="1"/>
  <c r="B1163" i="1" a="1"/>
  <c r="B1163" i="1" s="1"/>
  <c r="C1163" i="1" s="1"/>
  <c r="B795" i="1" a="1"/>
  <c r="B795" i="1" s="1"/>
  <c r="C795" i="1" s="1"/>
  <c r="B503" i="1" a="1"/>
  <c r="B503" i="1" s="1"/>
  <c r="C503" i="1"/>
  <c r="B1162" i="1" a="1"/>
  <c r="B1162" i="1" s="1"/>
  <c r="C1162" i="1" s="1"/>
  <c r="B368" i="1" a="1"/>
  <c r="B368" i="1" s="1"/>
  <c r="C368" i="1" s="1"/>
  <c r="B852" i="1" a="1"/>
  <c r="B852" i="1" s="1"/>
  <c r="C852" i="1" s="1"/>
  <c r="B928" i="1" a="1"/>
  <c r="B928" i="1" s="1"/>
  <c r="C928" i="1" s="1"/>
  <c r="B309" i="1" a="1"/>
  <c r="B309" i="1" s="1"/>
  <c r="C309" i="1" s="1"/>
  <c r="B522" i="1" a="1"/>
  <c r="B522" i="1" s="1"/>
  <c r="C522" i="1" s="1"/>
  <c r="B292" i="1" a="1"/>
  <c r="B292" i="1" s="1"/>
  <c r="C292" i="1" s="1"/>
  <c r="B1064" i="1" a="1"/>
  <c r="B1064" i="1" s="1"/>
  <c r="C1064" i="1" s="1"/>
  <c r="B407" i="1" a="1"/>
  <c r="B407" i="1" s="1"/>
  <c r="C407" i="1" s="1"/>
  <c r="B1000" i="1" a="1"/>
  <c r="B1000" i="1" s="1"/>
  <c r="C1000" i="1" s="1"/>
  <c r="B344" i="1" a="1"/>
  <c r="B344" i="1" s="1"/>
  <c r="C344" i="1" s="1"/>
  <c r="B1134" i="1" a="1"/>
  <c r="B1134" i="1" s="1"/>
  <c r="C1134" i="1" s="1"/>
  <c r="B89" i="1" a="1"/>
  <c r="B89" i="1" s="1"/>
  <c r="C89" i="1" s="1"/>
  <c r="B438" i="1" a="1"/>
  <c r="B438" i="1" s="1"/>
  <c r="C438" i="1" s="1"/>
  <c r="B419" i="1" a="1"/>
  <c r="B419" i="1" s="1"/>
  <c r="C419" i="1" s="1"/>
  <c r="B36" i="1" a="1"/>
  <c r="B36" i="1" s="1"/>
  <c r="C36" i="1" s="1"/>
  <c r="B718" i="1" a="1"/>
  <c r="B718" i="1" s="1"/>
  <c r="C718" i="1" s="1"/>
  <c r="B1149" i="1" a="1"/>
  <c r="B1149" i="1" s="1"/>
  <c r="C1149" i="1" s="1"/>
  <c r="B225" i="1" a="1"/>
  <c r="B225" i="1" s="1"/>
  <c r="C225" i="1" s="1"/>
  <c r="B703" i="1" a="1"/>
  <c r="B703" i="1" s="1"/>
  <c r="C703" i="1" s="1"/>
  <c r="B217" i="1" a="1"/>
  <c r="B217" i="1" s="1"/>
  <c r="C217" i="1" s="1"/>
  <c r="B180" i="1" a="1"/>
  <c r="B180" i="1" s="1"/>
  <c r="C180" i="1" s="1"/>
  <c r="B323" i="1" a="1"/>
  <c r="B323" i="1"/>
  <c r="C323" i="1" s="1"/>
  <c r="B195" i="1" a="1"/>
  <c r="B195" i="1" s="1"/>
  <c r="C195" i="1" s="1"/>
  <c r="B1160" i="1" a="1"/>
  <c r="B1160" i="1" s="1"/>
  <c r="C1160" i="1" s="1"/>
  <c r="B366" i="1" a="1"/>
  <c r="B366" i="1" s="1"/>
  <c r="C366" i="1" s="1"/>
  <c r="B901" i="1" a="1"/>
  <c r="B901" i="1" s="1"/>
  <c r="C901" i="1" s="1"/>
  <c r="B62" i="1" a="1"/>
  <c r="B62" i="1" s="1"/>
  <c r="C62" i="1" s="1"/>
  <c r="B402" i="1" a="1"/>
  <c r="B402" i="1" s="1"/>
  <c r="C402" i="1" s="1"/>
  <c r="B330" i="1" a="1"/>
  <c r="B330" i="1" s="1"/>
  <c r="C330" i="1" s="1"/>
  <c r="B149" i="1" a="1"/>
  <c r="B149" i="1" s="1"/>
  <c r="C149" i="1" s="1"/>
  <c r="B565" i="1" a="1"/>
  <c r="B565" i="1" s="1"/>
  <c r="C565" i="1" s="1"/>
  <c r="B265" i="1" a="1"/>
  <c r="B265" i="1" s="1"/>
  <c r="C265" i="1" s="1"/>
  <c r="B806" i="1" a="1"/>
  <c r="B806" i="1" s="1"/>
  <c r="C806" i="1" s="1"/>
  <c r="B1144" i="1" a="1"/>
  <c r="B1144" i="1" s="1"/>
  <c r="C1144" i="1" s="1"/>
  <c r="B949" i="1" a="1"/>
  <c r="B949" i="1" s="1"/>
  <c r="C949" i="1" s="1"/>
  <c r="B733" i="1" a="1"/>
  <c r="B733" i="1" s="1"/>
  <c r="C733" i="1" s="1"/>
  <c r="B536" i="1" a="1"/>
  <c r="B536" i="1" s="1"/>
  <c r="C536" i="1" s="1"/>
  <c r="B1193" i="1" a="1"/>
  <c r="B1193" i="1" s="1"/>
  <c r="C1193" i="1" s="1"/>
  <c r="B953" i="1" a="1"/>
  <c r="B953" i="1" s="1"/>
  <c r="C953" i="1" s="1"/>
  <c r="B303" i="1" a="1"/>
  <c r="B303" i="1" s="1"/>
  <c r="C303" i="1" s="1"/>
  <c r="B392" i="1" a="1"/>
  <c r="B392" i="1" s="1"/>
  <c r="C392" i="1" s="1"/>
  <c r="B873" i="1" a="1"/>
  <c r="B873" i="1" s="1"/>
  <c r="C873" i="1" s="1"/>
  <c r="B1111" i="1" a="1"/>
  <c r="B1111" i="1" s="1"/>
  <c r="C1111" i="1" s="1"/>
  <c r="B845" i="1" a="1"/>
  <c r="B845" i="1" s="1"/>
  <c r="C845" i="1" s="1"/>
  <c r="B798" i="1" a="1"/>
  <c r="B798" i="1" s="1"/>
  <c r="C798" i="1" s="1"/>
  <c r="B1092" i="1" a="1"/>
  <c r="B1092" i="1"/>
  <c r="C1092" i="1" s="1"/>
  <c r="B1028" i="1" a="1"/>
  <c r="B1028" i="1" s="1"/>
  <c r="C1028" i="1" s="1"/>
  <c r="B779" i="1" a="1"/>
  <c r="B779" i="1" s="1"/>
  <c r="C779" i="1" s="1"/>
  <c r="B579" i="1" a="1"/>
  <c r="B579" i="1" s="1"/>
  <c r="C579" i="1" s="1"/>
  <c r="B427" i="1" a="1"/>
  <c r="B427" i="1" s="1"/>
  <c r="C427" i="1" s="1"/>
  <c r="B760" i="1" a="1"/>
  <c r="B760" i="1" s="1"/>
  <c r="C760" i="1" s="1"/>
  <c r="B805" i="1" a="1"/>
  <c r="B805" i="1" s="1"/>
  <c r="C805" i="1" s="1"/>
  <c r="B12" i="1" a="1"/>
  <c r="B12" i="1" s="1"/>
  <c r="C12" i="1" s="1"/>
  <c r="B329" i="1" a="1"/>
  <c r="B329" i="1" s="1"/>
  <c r="C329" i="1" s="1"/>
  <c r="B107" i="1" a="1"/>
  <c r="B107" i="1" s="1"/>
  <c r="C107" i="1" s="1"/>
  <c r="B379" i="1" a="1"/>
  <c r="B379" i="1" s="1"/>
  <c r="C379" i="1" s="1"/>
  <c r="B775" i="1" a="1"/>
  <c r="B775" i="1" s="1"/>
  <c r="C775" i="1" s="1"/>
  <c r="B1152" i="1" a="1"/>
  <c r="B1152" i="1"/>
  <c r="C1152" i="1" s="1"/>
  <c r="B190" i="1" a="1"/>
  <c r="B190" i="1" s="1"/>
  <c r="C190" i="1" s="1"/>
  <c r="B184" i="1" a="1"/>
  <c r="B184" i="1" s="1"/>
  <c r="C184" i="1" s="1"/>
  <c r="B826" i="1" a="1"/>
  <c r="B826" i="1" s="1"/>
  <c r="C826" i="1" s="1"/>
  <c r="B501" i="1" a="1"/>
  <c r="B501" i="1" s="1"/>
  <c r="C501" i="1" s="1"/>
  <c r="B405" i="1" a="1"/>
  <c r="B405" i="1" s="1"/>
  <c r="C405" i="1" s="1"/>
  <c r="B812" i="1" a="1"/>
  <c r="B812" i="1" s="1"/>
  <c r="C812" i="1" s="1"/>
  <c r="B450" i="1" a="1"/>
  <c r="B450" i="1" s="1"/>
  <c r="C450" i="1" s="1"/>
  <c r="B984" i="1" a="1"/>
  <c r="B984" i="1" s="1"/>
  <c r="C984" i="1" s="1"/>
  <c r="B545" i="1" a="1"/>
  <c r="B545" i="1" s="1"/>
  <c r="C545" i="1" s="1"/>
  <c r="B162" i="1" a="1"/>
  <c r="B162" i="1" s="1"/>
  <c r="C162" i="1" s="1"/>
  <c r="B104" i="1" a="1"/>
  <c r="B104" i="1" s="1"/>
  <c r="C104" i="1" s="1"/>
  <c r="B400" i="1" a="1"/>
  <c r="B400" i="1" s="1"/>
  <c r="C400" i="1" s="1"/>
  <c r="B663" i="1" a="1"/>
  <c r="B663" i="1" s="1"/>
  <c r="C663" i="1" s="1"/>
  <c r="B80" i="1" a="1"/>
  <c r="B80" i="1" s="1"/>
  <c r="C80" i="1" s="1"/>
  <c r="B324" i="1" a="1"/>
  <c r="B324" i="1" s="1"/>
  <c r="C324" i="1" s="1"/>
  <c r="B581" i="1" a="1"/>
  <c r="B581" i="1" s="1"/>
  <c r="C581" i="1" s="1"/>
  <c r="B76" i="1" a="1"/>
  <c r="B76" i="1" s="1"/>
  <c r="C76" i="1" s="1"/>
  <c r="B575" i="1" a="1"/>
  <c r="B575" i="1" s="1"/>
  <c r="C575" i="1" s="1"/>
  <c r="B389" i="1" a="1"/>
  <c r="B389" i="1" s="1"/>
  <c r="C389" i="1" s="1"/>
  <c r="B792" i="1" a="1"/>
  <c r="B792" i="1" s="1"/>
  <c r="C792" i="1" s="1"/>
  <c r="B81" i="1" a="1"/>
  <c r="B81" i="1" s="1"/>
  <c r="C81" i="1" s="1"/>
  <c r="B103" i="1" a="1"/>
  <c r="B103" i="1" s="1"/>
  <c r="C103" i="1" s="1"/>
  <c r="B1023" i="1" a="1"/>
  <c r="B1023" i="1" s="1"/>
  <c r="C1023" i="1" s="1"/>
  <c r="B900" i="1" a="1"/>
  <c r="B900" i="1"/>
  <c r="C900" i="1" s="1"/>
  <c r="B992" i="1" a="1"/>
  <c r="B992" i="1" s="1"/>
  <c r="C992" i="1" s="1"/>
  <c r="B1035" i="1" a="1"/>
  <c r="B1035" i="1" s="1"/>
  <c r="C1035" i="1" s="1"/>
  <c r="B48" i="1" a="1"/>
  <c r="B48" i="1" s="1"/>
  <c r="C48" i="1" s="1"/>
  <c r="B478" i="1" a="1"/>
  <c r="B478" i="1" s="1"/>
  <c r="C478" i="1" s="1"/>
  <c r="B633" i="1" a="1"/>
  <c r="B633" i="1"/>
  <c r="C633" i="1" s="1"/>
  <c r="B1141" i="1" a="1"/>
  <c r="B1141" i="1" s="1"/>
  <c r="C1141" i="1" s="1"/>
  <c r="B865" i="1" a="1"/>
  <c r="B865" i="1" s="1"/>
  <c r="C865" i="1" s="1"/>
  <c r="B483" i="1" a="1"/>
  <c r="B483" i="1"/>
  <c r="C483" i="1" s="1"/>
  <c r="B99" i="1" a="1"/>
  <c r="B99" i="1" s="1"/>
  <c r="C99" i="1" s="1"/>
  <c r="B1029" i="1" a="1"/>
  <c r="B1029" i="1" s="1"/>
  <c r="C1029" i="1" s="1"/>
  <c r="B898" i="1" a="1"/>
  <c r="B898" i="1" s="1"/>
  <c r="C898" i="1" s="1"/>
  <c r="B477" i="1" a="1"/>
  <c r="B477" i="1" s="1"/>
  <c r="C477" i="1" s="1"/>
  <c r="B314" i="1" a="1"/>
  <c r="B314" i="1" s="1"/>
  <c r="C314" i="1" s="1"/>
  <c r="B1052" i="1" a="1"/>
  <c r="B1052" i="1" s="1"/>
  <c r="C1052" i="1" s="1"/>
  <c r="B351" i="1" a="1"/>
  <c r="B351" i="1" s="1"/>
  <c r="C351" i="1" s="1"/>
  <c r="B622" i="1" a="1"/>
  <c r="B622" i="1" s="1"/>
  <c r="C622" i="1" s="1"/>
  <c r="B665" i="1" a="1"/>
  <c r="B665" i="1" s="1"/>
  <c r="C665" i="1" s="1"/>
  <c r="B790" i="1" a="1"/>
  <c r="B790" i="1" s="1"/>
  <c r="C790" i="1" s="1"/>
  <c r="B1124" i="1" a="1"/>
  <c r="B1124" i="1" s="1"/>
  <c r="C1124" i="1" s="1"/>
  <c r="B707" i="1" a="1"/>
  <c r="B707" i="1" s="1"/>
  <c r="C707" i="1" s="1"/>
  <c r="B742" i="1" a="1"/>
  <c r="B742" i="1" s="1"/>
  <c r="C742" i="1" s="1"/>
  <c r="B620" i="1" a="1"/>
  <c r="B620" i="1" s="1"/>
  <c r="C620" i="1" s="1"/>
  <c r="B307" i="1" a="1"/>
  <c r="B307" i="1" s="1"/>
  <c r="C307" i="1" s="1"/>
  <c r="B621" i="1" a="1"/>
  <c r="B621" i="1"/>
  <c r="C621" i="1" s="1"/>
  <c r="B544" i="1" a="1"/>
  <c r="B544" i="1" s="1"/>
  <c r="C544" i="1" s="1"/>
  <c r="B235" i="1" a="1"/>
  <c r="B235" i="1" s="1"/>
  <c r="C235" i="1" s="1"/>
  <c r="B375" i="1" a="1"/>
  <c r="B375" i="1" s="1"/>
  <c r="C375" i="1" s="1"/>
  <c r="B778" i="1" a="1"/>
  <c r="B778" i="1" s="1"/>
  <c r="C778" i="1" s="1"/>
  <c r="B209" i="1" a="1"/>
  <c r="B209" i="1" s="1"/>
  <c r="C209" i="1" s="1"/>
  <c r="B1072" i="1" a="1"/>
  <c r="B1072" i="1" s="1"/>
  <c r="C1072" i="1" s="1"/>
  <c r="B1015" i="1" a="1"/>
  <c r="B1015" i="1" s="1"/>
  <c r="C1015" i="1" s="1"/>
  <c r="B552" i="1" a="1"/>
  <c r="B552" i="1" s="1"/>
  <c r="C552" i="1" s="1"/>
  <c r="B470" i="1" a="1"/>
  <c r="B470" i="1" s="1"/>
  <c r="C470" i="1" s="1"/>
  <c r="B675" i="1" a="1"/>
  <c r="B675" i="1" s="1"/>
  <c r="C675" i="1" s="1"/>
  <c r="B397" i="1" a="1"/>
  <c r="B397" i="1" s="1"/>
  <c r="C397" i="1" s="1"/>
  <c r="B844" i="1" a="1"/>
  <c r="B844" i="1" s="1"/>
  <c r="C844" i="1" s="1"/>
  <c r="B492" i="1" a="1"/>
  <c r="B492" i="1" s="1"/>
  <c r="C492" i="1" s="1"/>
  <c r="B644" i="1" a="1"/>
  <c r="B644" i="1" s="1"/>
  <c r="C644" i="1" s="1"/>
  <c r="B609" i="1" a="1"/>
  <c r="B609" i="1" s="1"/>
  <c r="C609" i="1" s="1"/>
  <c r="B608" i="1" a="1"/>
  <c r="B608" i="1" s="1"/>
  <c r="C608" i="1" s="1"/>
  <c r="B651" i="1" a="1"/>
  <c r="B651" i="1" s="1"/>
  <c r="C651" i="1" s="1"/>
  <c r="B1082" i="1" a="1"/>
  <c r="B1082" i="1" s="1"/>
  <c r="C1082" i="1" s="1"/>
  <c r="B126" i="1" a="1"/>
  <c r="B126" i="1" s="1"/>
  <c r="C126" i="1" s="1"/>
  <c r="B1080" i="1" a="1"/>
  <c r="B1080" i="1" s="1"/>
  <c r="C1080" i="1" s="1"/>
  <c r="B41" i="1" a="1"/>
  <c r="B41" i="1" s="1"/>
  <c r="C41" i="1" s="1"/>
  <c r="B710" i="1" a="1"/>
  <c r="B710" i="1" s="1"/>
  <c r="C710" i="1" s="1"/>
  <c r="B434" i="1" a="1"/>
  <c r="B434" i="1" s="1"/>
  <c r="C434" i="1" s="1"/>
  <c r="B134" i="1" a="1"/>
  <c r="B134" i="1" s="1"/>
  <c r="C134" i="1" s="1"/>
  <c r="B85" i="1" a="1"/>
  <c r="B85" i="1" s="1"/>
  <c r="C85" i="1" s="1"/>
  <c r="B127" i="1" a="1"/>
  <c r="B127" i="1" s="1"/>
  <c r="C127" i="1" s="1"/>
  <c r="B1176" i="1" a="1"/>
  <c r="B1176" i="1" s="1"/>
  <c r="C1176" i="1" s="1"/>
  <c r="B1050" i="1" a="1"/>
  <c r="B1050" i="1" s="1"/>
  <c r="C1050" i="1" s="1"/>
  <c r="B691" i="1" a="1"/>
  <c r="B691" i="1" s="1"/>
  <c r="C691" i="1" s="1"/>
  <c r="O1202" i="4" a="1"/>
  <c r="O1202" i="4"/>
  <c r="O1203" i="4" a="1"/>
  <c r="O1203" i="4" s="1"/>
  <c r="O1204" i="4" a="1"/>
  <c r="O1204" i="4" s="1"/>
  <c r="O1205" i="4" a="1"/>
  <c r="O1205" i="4" s="1"/>
  <c r="O1206" i="4" a="1"/>
  <c r="O1206" i="4"/>
  <c r="P257" i="1" l="1"/>
  <c r="P245" i="1"/>
  <c r="R245" i="1" s="1"/>
  <c r="K253" i="1"/>
  <c r="P247" i="1"/>
  <c r="Q247" i="1" s="1"/>
  <c r="K243" i="1"/>
  <c r="P465" i="1"/>
  <c r="Q465" i="1" s="1"/>
  <c r="K10" i="1"/>
  <c r="K4" i="1"/>
  <c r="P198" i="1"/>
  <c r="R198" i="1" s="1"/>
  <c r="K237" i="1"/>
  <c r="P520" i="1"/>
  <c r="Q520" i="1" s="1"/>
  <c r="K221" i="1"/>
  <c r="P457" i="1"/>
  <c r="Q457" i="1" s="1"/>
  <c r="K217" i="1"/>
  <c r="K220" i="1"/>
  <c r="P501" i="1"/>
  <c r="Q501" i="1" s="1"/>
  <c r="K234" i="1"/>
  <c r="P566" i="1"/>
  <c r="Q566" i="1" s="1"/>
  <c r="P228" i="1"/>
  <c r="Q228" i="1" s="1"/>
  <c r="P191" i="1"/>
  <c r="R191" i="1" s="1"/>
  <c r="P203" i="1"/>
  <c r="Q203" i="1" s="1"/>
  <c r="P478" i="1"/>
  <c r="R478" i="1" s="1"/>
  <c r="R1025" i="1"/>
  <c r="R1189" i="1"/>
  <c r="R1020" i="1"/>
  <c r="R955" i="1"/>
  <c r="R1190" i="1"/>
  <c r="R732" i="1"/>
  <c r="R715" i="1"/>
  <c r="R1198" i="1"/>
  <c r="R641" i="1"/>
  <c r="R1149" i="1"/>
  <c r="R945" i="1"/>
  <c r="R608" i="1"/>
  <c r="R1137" i="1"/>
  <c r="R941" i="1"/>
  <c r="R595" i="1"/>
  <c r="R1108" i="1"/>
  <c r="R900" i="1"/>
  <c r="R435" i="1"/>
  <c r="R1069" i="1"/>
  <c r="R850" i="1"/>
  <c r="R168" i="1"/>
  <c r="R1059" i="1"/>
  <c r="R780" i="1"/>
  <c r="R164" i="1"/>
  <c r="R1138" i="1"/>
  <c r="R1099" i="1"/>
  <c r="R882" i="1"/>
  <c r="R124" i="1"/>
  <c r="R1181" i="1"/>
  <c r="R1098" i="1"/>
  <c r="R1058" i="1"/>
  <c r="R1009" i="1"/>
  <c r="R939" i="1"/>
  <c r="R866" i="1"/>
  <c r="R776" i="1"/>
  <c r="R708" i="1"/>
  <c r="R594" i="1"/>
  <c r="R330" i="1"/>
  <c r="R106" i="1"/>
  <c r="R1060" i="1"/>
  <c r="R888" i="1"/>
  <c r="R730" i="1"/>
  <c r="R331" i="1"/>
  <c r="R1172" i="1"/>
  <c r="R1133" i="1"/>
  <c r="R1097" i="1"/>
  <c r="R1049" i="1"/>
  <c r="R993" i="1"/>
  <c r="R929" i="1"/>
  <c r="R860" i="1"/>
  <c r="R772" i="1"/>
  <c r="R683" i="1"/>
  <c r="R538" i="1"/>
  <c r="R284" i="1"/>
  <c r="R105" i="1"/>
  <c r="R824" i="1"/>
  <c r="R802" i="1"/>
  <c r="R1171" i="1"/>
  <c r="R1124" i="1"/>
  <c r="R1085" i="1"/>
  <c r="R1035" i="1"/>
  <c r="R989" i="1"/>
  <c r="R924" i="1"/>
  <c r="R760" i="1"/>
  <c r="R681" i="1"/>
  <c r="R498" i="1"/>
  <c r="R272" i="1"/>
  <c r="R65" i="1"/>
  <c r="R332" i="1"/>
  <c r="R1201" i="1"/>
  <c r="R1170" i="1"/>
  <c r="R1122" i="1"/>
  <c r="R1074" i="1"/>
  <c r="R1034" i="1"/>
  <c r="R987" i="1"/>
  <c r="R922" i="1"/>
  <c r="R844" i="1"/>
  <c r="R752" i="1"/>
  <c r="R648" i="1"/>
  <c r="R497" i="1"/>
  <c r="R227" i="1"/>
  <c r="R64" i="1"/>
  <c r="R1109" i="1"/>
  <c r="R1148" i="1"/>
  <c r="R1021" i="1"/>
  <c r="R1199" i="1"/>
  <c r="R1161" i="1"/>
  <c r="R1113" i="1"/>
  <c r="R1073" i="1"/>
  <c r="R1033" i="1"/>
  <c r="R977" i="1"/>
  <c r="R908" i="1"/>
  <c r="R840" i="1"/>
  <c r="R738" i="1"/>
  <c r="R642" i="1"/>
  <c r="R450" i="1"/>
  <c r="R169" i="1"/>
  <c r="R49" i="1"/>
  <c r="Q644" i="1"/>
  <c r="R644" i="1"/>
  <c r="Q1141" i="1"/>
  <c r="R1141" i="1"/>
  <c r="Q812" i="1"/>
  <c r="R812" i="1"/>
  <c r="Q1160" i="1"/>
  <c r="R1160" i="1"/>
  <c r="Q613" i="1"/>
  <c r="R613" i="1"/>
  <c r="Q631" i="1"/>
  <c r="R631" i="1"/>
  <c r="Q1071" i="1"/>
  <c r="R1071" i="1"/>
  <c r="Q796" i="1"/>
  <c r="R796" i="1"/>
  <c r="Q41" i="1"/>
  <c r="R41" i="1"/>
  <c r="Q663" i="1"/>
  <c r="R663" i="1"/>
  <c r="Q565" i="1"/>
  <c r="R565" i="1"/>
  <c r="Q634" i="1"/>
  <c r="R634" i="1"/>
  <c r="Q1030" i="1"/>
  <c r="R1030" i="1"/>
  <c r="Q803" i="1"/>
  <c r="R803" i="1"/>
  <c r="Q1079" i="1"/>
  <c r="R1079" i="1"/>
  <c r="Q975" i="1"/>
  <c r="R975" i="1"/>
  <c r="Q79" i="1"/>
  <c r="R79" i="1"/>
  <c r="Q590" i="1"/>
  <c r="R590" i="1"/>
  <c r="Q923" i="1"/>
  <c r="R923" i="1"/>
  <c r="Q492" i="1"/>
  <c r="R492" i="1"/>
  <c r="Q633" i="1"/>
  <c r="R633" i="1"/>
  <c r="Q953" i="1"/>
  <c r="R953" i="1"/>
  <c r="Q1064" i="1"/>
  <c r="R1064" i="1"/>
  <c r="Q981" i="1"/>
  <c r="R981" i="1"/>
  <c r="Q305" i="1"/>
  <c r="R305" i="1"/>
  <c r="Q462" i="1"/>
  <c r="R462" i="1"/>
  <c r="Q1140" i="1"/>
  <c r="R1140" i="1"/>
  <c r="Q1132" i="1"/>
  <c r="R1132" i="1"/>
  <c r="Q240" i="1"/>
  <c r="R240" i="1"/>
  <c r="Q904" i="1"/>
  <c r="R904" i="1"/>
  <c r="Q61" i="1"/>
  <c r="R61" i="1"/>
  <c r="Q632" i="1"/>
  <c r="R632" i="1"/>
  <c r="Q958" i="1"/>
  <c r="R958" i="1"/>
  <c r="Q97" i="1"/>
  <c r="R97" i="1"/>
  <c r="R1191" i="1"/>
  <c r="R1162" i="1"/>
  <c r="R961" i="1"/>
  <c r="Q710" i="1"/>
  <c r="R710" i="1"/>
  <c r="Q1052" i="1"/>
  <c r="R1052" i="1"/>
  <c r="Q779" i="1"/>
  <c r="R779" i="1"/>
  <c r="Q827" i="1"/>
  <c r="R827" i="1"/>
  <c r="Q109" i="1"/>
  <c r="R109" i="1"/>
  <c r="Q829" i="1"/>
  <c r="R829" i="1"/>
  <c r="Q209" i="1"/>
  <c r="R209" i="1"/>
  <c r="Q405" i="1"/>
  <c r="R405" i="1"/>
  <c r="Q503" i="1"/>
  <c r="R503" i="1"/>
  <c r="Q1143" i="1"/>
  <c r="R1143" i="1"/>
  <c r="R690" i="1"/>
  <c r="R1182" i="1"/>
  <c r="Q794" i="1"/>
  <c r="R794" i="1"/>
  <c r="Q978" i="1"/>
  <c r="R978" i="1"/>
  <c r="Q436" i="1"/>
  <c r="R436" i="1"/>
  <c r="Q670" i="1"/>
  <c r="R670" i="1"/>
  <c r="Q572" i="1"/>
  <c r="R572" i="1"/>
  <c r="Q757" i="1"/>
  <c r="R757" i="1"/>
  <c r="Q1012" i="1"/>
  <c r="R1012" i="1"/>
  <c r="Q691" i="1"/>
  <c r="R691" i="1"/>
  <c r="Q742" i="1"/>
  <c r="R742" i="1"/>
  <c r="Q81" i="1"/>
  <c r="R81" i="1"/>
  <c r="Q1028" i="1"/>
  <c r="R1028" i="1"/>
  <c r="Q195" i="1"/>
  <c r="R195" i="1"/>
  <c r="Q887" i="1"/>
  <c r="R887" i="1"/>
  <c r="Q682" i="1"/>
  <c r="R682" i="1"/>
  <c r="Q119" i="1"/>
  <c r="R119" i="1"/>
  <c r="Q1019" i="1"/>
  <c r="R1019" i="1"/>
  <c r="Q967" i="1"/>
  <c r="R967" i="1"/>
  <c r="Q224" i="1"/>
  <c r="R224" i="1"/>
  <c r="Q1095" i="1"/>
  <c r="R1095" i="1"/>
  <c r="Q959" i="1"/>
  <c r="R959" i="1"/>
  <c r="Q706" i="1"/>
  <c r="R706" i="1"/>
  <c r="Q489" i="1"/>
  <c r="R489" i="1"/>
  <c r="Q128" i="1"/>
  <c r="R128" i="1"/>
  <c r="Q1048" i="1"/>
  <c r="R1048" i="1"/>
  <c r="R554" i="1"/>
  <c r="Q316" i="1"/>
  <c r="R316" i="1"/>
  <c r="Q620" i="1"/>
  <c r="R620" i="1"/>
  <c r="Q80" i="1"/>
  <c r="R80" i="1"/>
  <c r="Q303" i="1"/>
  <c r="R303" i="1"/>
  <c r="Q265" i="1"/>
  <c r="R265" i="1"/>
  <c r="Q407" i="1"/>
  <c r="R407" i="1"/>
  <c r="Q1008" i="1"/>
  <c r="R1008" i="1"/>
  <c r="Q515" i="1"/>
  <c r="R515" i="1"/>
  <c r="Q268" i="1"/>
  <c r="R268" i="1"/>
  <c r="Q214" i="1"/>
  <c r="R214" i="1"/>
  <c r="Q558" i="1"/>
  <c r="R558" i="1"/>
  <c r="Q570" i="1"/>
  <c r="R570" i="1"/>
  <c r="Q322" i="1"/>
  <c r="R322" i="1"/>
  <c r="Q679" i="1"/>
  <c r="R679" i="1"/>
  <c r="Q58" i="1"/>
  <c r="R58" i="1"/>
  <c r="Q531" i="1"/>
  <c r="R531" i="1"/>
  <c r="Q406" i="1"/>
  <c r="R406" i="1"/>
  <c r="Q591" i="1"/>
  <c r="R591" i="1"/>
  <c r="Q1081" i="1"/>
  <c r="R1081" i="1"/>
  <c r="Q93" i="1"/>
  <c r="R93" i="1"/>
  <c r="Q274" i="1"/>
  <c r="R274" i="1"/>
  <c r="Q991" i="1"/>
  <c r="R991" i="1"/>
  <c r="Q372" i="1"/>
  <c r="R372" i="1"/>
  <c r="Q722" i="1"/>
  <c r="R722" i="1"/>
  <c r="Q628" i="1"/>
  <c r="R628" i="1"/>
  <c r="Q409" i="1"/>
  <c r="R409" i="1"/>
  <c r="Q816" i="1"/>
  <c r="R816" i="1"/>
  <c r="Q1087" i="1"/>
  <c r="R1087" i="1"/>
  <c r="Q864" i="1"/>
  <c r="R864" i="1"/>
  <c r="Q877" i="1"/>
  <c r="R877" i="1"/>
  <c r="Q636" i="1"/>
  <c r="R636" i="1"/>
  <c r="Q999" i="1"/>
  <c r="R999" i="1"/>
  <c r="Q1100" i="1"/>
  <c r="R1100" i="1"/>
  <c r="Q77" i="1"/>
  <c r="R77" i="1"/>
  <c r="Q248" i="1"/>
  <c r="R248" i="1"/>
  <c r="Q808" i="1"/>
  <c r="R808" i="1"/>
  <c r="Q140" i="1"/>
  <c r="R140" i="1"/>
  <c r="Q921" i="1"/>
  <c r="R921" i="1"/>
  <c r="Q1169" i="1"/>
  <c r="R1169" i="1"/>
  <c r="Q560" i="1"/>
  <c r="R560" i="1"/>
  <c r="Q969" i="1"/>
  <c r="R969" i="1"/>
  <c r="Q837" i="1"/>
  <c r="R837" i="1"/>
  <c r="Q885" i="1"/>
  <c r="R885" i="1"/>
  <c r="Q874" i="1"/>
  <c r="R874" i="1"/>
  <c r="Q573" i="1"/>
  <c r="R573" i="1"/>
  <c r="Q300" i="1"/>
  <c r="R300" i="1"/>
  <c r="Q917" i="1"/>
  <c r="R917" i="1"/>
  <c r="Q75" i="1"/>
  <c r="R75" i="1"/>
  <c r="Q689" i="1"/>
  <c r="R689" i="1"/>
  <c r="Q299" i="1"/>
  <c r="R299" i="1"/>
  <c r="Q333" i="1"/>
  <c r="R333" i="1"/>
  <c r="Q876" i="1"/>
  <c r="R876" i="1"/>
  <c r="Q547" i="1"/>
  <c r="R547" i="1"/>
  <c r="Q518" i="1"/>
  <c r="R518" i="1"/>
  <c r="Q118" i="1"/>
  <c r="R118" i="1"/>
  <c r="Q754" i="1"/>
  <c r="R754" i="1"/>
  <c r="Q507" i="1"/>
  <c r="R507" i="1"/>
  <c r="Q1046" i="1"/>
  <c r="R1046" i="1"/>
  <c r="Q295" i="1"/>
  <c r="R295" i="1"/>
  <c r="Q699" i="1"/>
  <c r="R699" i="1"/>
  <c r="Q383" i="1"/>
  <c r="R383" i="1"/>
  <c r="Q192" i="1"/>
  <c r="R192" i="1"/>
  <c r="Q264" i="1"/>
  <c r="R264" i="1"/>
  <c r="Q179" i="1"/>
  <c r="R179" i="1"/>
  <c r="Q496" i="1"/>
  <c r="R496" i="1"/>
  <c r="Q183" i="1"/>
  <c r="R183" i="1"/>
  <c r="Q937" i="1"/>
  <c r="R937" i="1"/>
  <c r="Q506" i="1"/>
  <c r="R506" i="1"/>
  <c r="Q244" i="1"/>
  <c r="R244" i="1"/>
  <c r="Q750" i="1"/>
  <c r="R750" i="1"/>
  <c r="Q859" i="1"/>
  <c r="R859" i="1"/>
  <c r="Q807" i="1"/>
  <c r="R807" i="1"/>
  <c r="Q1094" i="1"/>
  <c r="R1094" i="1"/>
  <c r="Q734" i="1"/>
  <c r="R734" i="1"/>
  <c r="Q315" i="1"/>
  <c r="R315" i="1"/>
  <c r="Q469" i="1"/>
  <c r="R469" i="1"/>
  <c r="Q836" i="1"/>
  <c r="R836" i="1"/>
  <c r="Q603" i="1"/>
  <c r="R603" i="1"/>
  <c r="Q484" i="1"/>
  <c r="R484" i="1"/>
  <c r="Q735" i="1"/>
  <c r="R735" i="1"/>
  <c r="Q863" i="1"/>
  <c r="R863" i="1"/>
  <c r="Q321" i="1"/>
  <c r="R321" i="1"/>
  <c r="Q528" i="1"/>
  <c r="R528" i="1"/>
  <c r="Q920" i="1"/>
  <c r="R920" i="1"/>
  <c r="Q886" i="1"/>
  <c r="R886" i="1"/>
  <c r="Q384" i="1"/>
  <c r="R384" i="1"/>
  <c r="Q817" i="1"/>
  <c r="R817" i="1"/>
  <c r="Q1053" i="1"/>
  <c r="R1053" i="1"/>
  <c r="Q377" i="1"/>
  <c r="R377" i="1"/>
  <c r="Q813" i="1"/>
  <c r="R813" i="1"/>
  <c r="Q479" i="1"/>
  <c r="R479" i="1"/>
  <c r="Q875" i="1"/>
  <c r="R875" i="1"/>
  <c r="Q541" i="1"/>
  <c r="R541" i="1"/>
  <c r="Q207" i="1"/>
  <c r="R207" i="1"/>
  <c r="Q551" i="1"/>
  <c r="R551" i="1"/>
  <c r="Q123" i="1"/>
  <c r="R123" i="1"/>
  <c r="Q880" i="1"/>
  <c r="R880" i="1"/>
  <c r="Q963" i="1"/>
  <c r="R963" i="1"/>
  <c r="Q1010" i="1"/>
  <c r="R1010" i="1"/>
  <c r="Q1045" i="1"/>
  <c r="R1045" i="1"/>
  <c r="Q181" i="1"/>
  <c r="R181" i="1"/>
  <c r="Q1044" i="1"/>
  <c r="R1044" i="1"/>
  <c r="Q605" i="1"/>
  <c r="R605" i="1"/>
  <c r="Q758" i="1"/>
  <c r="R758" i="1"/>
  <c r="Q1114" i="1"/>
  <c r="R1114" i="1"/>
  <c r="Q951" i="1"/>
  <c r="R951" i="1"/>
  <c r="Q216" i="1"/>
  <c r="R216" i="1"/>
  <c r="Q87" i="1"/>
  <c r="R87" i="1"/>
  <c r="Q698" i="1"/>
  <c r="R698" i="1"/>
  <c r="Q711" i="1"/>
  <c r="R711" i="1"/>
  <c r="Q312" i="1"/>
  <c r="R312" i="1"/>
  <c r="Q1146" i="1"/>
  <c r="R1146" i="1"/>
  <c r="Q1072" i="1"/>
  <c r="R1072" i="1"/>
  <c r="Q103" i="1"/>
  <c r="R103" i="1"/>
  <c r="Q379" i="1"/>
  <c r="R379" i="1"/>
  <c r="Q718" i="1"/>
  <c r="R718" i="1"/>
  <c r="Q878" i="1"/>
  <c r="R878" i="1"/>
  <c r="Q388" i="1"/>
  <c r="R388" i="1"/>
  <c r="Q320" i="1"/>
  <c r="R320" i="1"/>
  <c r="Q163" i="1"/>
  <c r="R163" i="1"/>
  <c r="Q314" i="1"/>
  <c r="R314" i="1"/>
  <c r="Q107" i="1"/>
  <c r="R107" i="1"/>
  <c r="Q36" i="1"/>
  <c r="R36" i="1"/>
  <c r="Q461" i="1"/>
  <c r="R461" i="1"/>
  <c r="Q226" i="1"/>
  <c r="R226" i="1"/>
  <c r="Q736" i="1"/>
  <c r="R736" i="1"/>
  <c r="Q174" i="1"/>
  <c r="R174" i="1"/>
  <c r="Q1036" i="1"/>
  <c r="R1036" i="1"/>
  <c r="Q731" i="1"/>
  <c r="R731" i="1"/>
  <c r="Q266" i="1"/>
  <c r="R266" i="1"/>
  <c r="Q616" i="1"/>
  <c r="R616" i="1"/>
  <c r="Q275" i="1"/>
  <c r="R275" i="1"/>
  <c r="Q1055" i="1"/>
  <c r="R1055" i="1"/>
  <c r="Q1083" i="1"/>
  <c r="R1083" i="1"/>
  <c r="Q768" i="1"/>
  <c r="R768" i="1"/>
  <c r="Q1084" i="1"/>
  <c r="R1084" i="1"/>
  <c r="Q1158" i="1"/>
  <c r="R1158" i="1"/>
  <c r="Q1003" i="1"/>
  <c r="R1003" i="1"/>
  <c r="Q115" i="1"/>
  <c r="R115" i="1"/>
  <c r="Q1153" i="1"/>
  <c r="R1153" i="1"/>
  <c r="Q972" i="1"/>
  <c r="R972" i="1"/>
  <c r="Q251" i="1"/>
  <c r="R251" i="1"/>
  <c r="Q1057" i="1"/>
  <c r="R1057" i="1"/>
  <c r="Q1106" i="1"/>
  <c r="R1106" i="1"/>
  <c r="Q9" i="1"/>
  <c r="R9" i="1"/>
  <c r="Q485" i="1"/>
  <c r="R485" i="1"/>
  <c r="Q63" i="1"/>
  <c r="R63" i="1"/>
  <c r="Q20" i="1"/>
  <c r="R20" i="1"/>
  <c r="Q931" i="1"/>
  <c r="R931" i="1"/>
  <c r="Q745" i="1"/>
  <c r="R745" i="1"/>
  <c r="Q369" i="1"/>
  <c r="R369" i="1"/>
  <c r="Q279" i="1"/>
  <c r="R279" i="1"/>
  <c r="Q1005" i="1"/>
  <c r="R1005" i="1"/>
  <c r="Q137" i="1"/>
  <c r="R137" i="1"/>
  <c r="Q468" i="1"/>
  <c r="R468" i="1"/>
  <c r="Q23" i="1"/>
  <c r="R23" i="1"/>
  <c r="Q269" i="1"/>
  <c r="R269" i="1"/>
  <c r="Q1139" i="1"/>
  <c r="R1139" i="1"/>
  <c r="Q1125" i="1"/>
  <c r="R1125" i="1"/>
  <c r="Q830" i="1"/>
  <c r="R830" i="1"/>
  <c r="Q748" i="1"/>
  <c r="R748" i="1"/>
  <c r="Q167" i="1"/>
  <c r="R167" i="1"/>
  <c r="Q617" i="1"/>
  <c r="R617" i="1"/>
  <c r="Q819" i="1"/>
  <c r="R819" i="1"/>
  <c r="Q342" i="1"/>
  <c r="R342" i="1"/>
  <c r="Q714" i="1"/>
  <c r="R714" i="1"/>
  <c r="Q510" i="1"/>
  <c r="R510" i="1"/>
  <c r="Q511" i="1"/>
  <c r="R511" i="1"/>
  <c r="Q753" i="1"/>
  <c r="R753" i="1"/>
  <c r="Q867" i="1"/>
  <c r="R867" i="1"/>
  <c r="Q1129" i="1"/>
  <c r="R1129" i="1"/>
  <c r="Q728" i="1"/>
  <c r="R728" i="1"/>
  <c r="Q973" i="1"/>
  <c r="R973" i="1"/>
  <c r="Q495" i="1"/>
  <c r="R495" i="1"/>
  <c r="Q404" i="1"/>
  <c r="R404" i="1"/>
  <c r="Q508" i="1"/>
  <c r="R508" i="1"/>
  <c r="Q34" i="1"/>
  <c r="R34" i="1"/>
  <c r="Q546" i="1"/>
  <c r="R546" i="1"/>
  <c r="Q654" i="1"/>
  <c r="R654" i="1"/>
  <c r="Q1150" i="1"/>
  <c r="R1150" i="1"/>
  <c r="R394" i="1"/>
  <c r="Q519" i="1"/>
  <c r="R519" i="1"/>
  <c r="Q91" i="1"/>
  <c r="R91" i="1"/>
  <c r="Q854" i="1"/>
  <c r="R854" i="1"/>
  <c r="Q374" i="1"/>
  <c r="R374" i="1"/>
  <c r="Q1031" i="1"/>
  <c r="R1031" i="1"/>
  <c r="R1123" i="1"/>
  <c r="R553" i="1"/>
  <c r="Q1080" i="1"/>
  <c r="R1080" i="1"/>
  <c r="Q329" i="1"/>
  <c r="R329" i="1"/>
  <c r="Q419" i="1"/>
  <c r="R419" i="1"/>
  <c r="Q1168" i="1"/>
  <c r="R1168" i="1"/>
  <c r="Q896" i="1"/>
  <c r="R896" i="1"/>
  <c r="Q619" i="1"/>
  <c r="R619" i="1"/>
  <c r="Q1096" i="1"/>
  <c r="R1096" i="1"/>
  <c r="Q855" i="1"/>
  <c r="R855" i="1"/>
  <c r="Q717" i="1"/>
  <c r="R717" i="1"/>
  <c r="Q30" i="1"/>
  <c r="R30" i="1"/>
  <c r="Q567" i="1"/>
  <c r="R567" i="1"/>
  <c r="Q160" i="1"/>
  <c r="R160" i="1"/>
  <c r="Q357" i="1"/>
  <c r="R357" i="1"/>
  <c r="Q393" i="1"/>
  <c r="R393" i="1"/>
  <c r="Q821" i="1"/>
  <c r="R821" i="1"/>
  <c r="Q983" i="1"/>
  <c r="R983" i="1"/>
  <c r="Q724" i="1"/>
  <c r="R724" i="1"/>
  <c r="Q623" i="1"/>
  <c r="R623" i="1"/>
  <c r="Q602" i="1"/>
  <c r="R602" i="1"/>
  <c r="Q249" i="1"/>
  <c r="R249" i="1"/>
  <c r="Q353" i="1"/>
  <c r="R353" i="1"/>
  <c r="Q51" i="1"/>
  <c r="R51" i="1"/>
  <c r="Q580" i="1"/>
  <c r="R580" i="1"/>
  <c r="R1180" i="1"/>
  <c r="R1147" i="1"/>
  <c r="R971" i="1"/>
  <c r="R858" i="1"/>
  <c r="R490" i="1"/>
  <c r="R434" i="1"/>
  <c r="Q1176" i="1"/>
  <c r="R1176" i="1"/>
  <c r="Q126" i="1"/>
  <c r="R126" i="1"/>
  <c r="Q397" i="1"/>
  <c r="R397" i="1"/>
  <c r="Q375" i="1"/>
  <c r="R375" i="1"/>
  <c r="Q48" i="1"/>
  <c r="R48" i="1"/>
  <c r="Q389" i="1"/>
  <c r="R389" i="1"/>
  <c r="Q12" i="1"/>
  <c r="R12" i="1"/>
  <c r="Q798" i="1"/>
  <c r="R798" i="1"/>
  <c r="Q180" i="1"/>
  <c r="R180" i="1"/>
  <c r="Q438" i="1"/>
  <c r="R438" i="1"/>
  <c r="Q522" i="1"/>
  <c r="R522" i="1"/>
  <c r="Q285" i="1"/>
  <c r="R285" i="1"/>
  <c r="Q94" i="1"/>
  <c r="R94" i="1"/>
  <c r="Q688" i="1"/>
  <c r="R688" i="1"/>
  <c r="Q472" i="1"/>
  <c r="R472" i="1"/>
  <c r="Q156" i="1"/>
  <c r="R156" i="1"/>
  <c r="Q170" i="1"/>
  <c r="R170" i="1"/>
  <c r="Q206" i="1"/>
  <c r="R206" i="1"/>
  <c r="Q926" i="1"/>
  <c r="R926" i="1"/>
  <c r="Q238" i="1"/>
  <c r="R238" i="1"/>
  <c r="Q254" i="1"/>
  <c r="R254" i="1"/>
  <c r="Q408" i="1"/>
  <c r="R408" i="1"/>
  <c r="Q647" i="1"/>
  <c r="R647" i="1"/>
  <c r="Q176" i="1"/>
  <c r="R176" i="1"/>
  <c r="Q944" i="1"/>
  <c r="R944" i="1"/>
  <c r="Q142" i="1"/>
  <c r="R142" i="1"/>
  <c r="Q151" i="1"/>
  <c r="R151" i="1"/>
  <c r="Q652" i="1"/>
  <c r="R652" i="1"/>
  <c r="Q685" i="1"/>
  <c r="R685" i="1"/>
  <c r="Q385" i="1"/>
  <c r="R385" i="1"/>
  <c r="Q672" i="1"/>
  <c r="R672" i="1"/>
  <c r="Q669" i="1"/>
  <c r="R669" i="1"/>
  <c r="Q523" i="1"/>
  <c r="R523" i="1"/>
  <c r="Q339" i="1"/>
  <c r="R339" i="1"/>
  <c r="Q40" i="1"/>
  <c r="R40" i="1"/>
  <c r="Q746" i="1"/>
  <c r="R746" i="1"/>
  <c r="Q1151" i="1"/>
  <c r="R1151" i="1"/>
  <c r="Q4" i="1"/>
  <c r="R4" i="1"/>
  <c r="Q637" i="1"/>
  <c r="R637" i="1"/>
  <c r="Q6" i="1"/>
  <c r="R6" i="1"/>
  <c r="Q46" i="1"/>
  <c r="R46" i="1"/>
  <c r="Q701" i="1"/>
  <c r="R701" i="1"/>
  <c r="Q449" i="1"/>
  <c r="R449" i="1"/>
  <c r="Q851" i="1"/>
  <c r="R851" i="1"/>
  <c r="Q219" i="1"/>
  <c r="R219" i="1"/>
  <c r="Q696" i="1"/>
  <c r="R696" i="1"/>
  <c r="Q14" i="1"/>
  <c r="R14" i="1"/>
  <c r="Q557" i="1"/>
  <c r="R557" i="1"/>
  <c r="Q871" i="1"/>
  <c r="R871" i="1"/>
  <c r="Q936" i="1"/>
  <c r="R936" i="1"/>
  <c r="Q673" i="1"/>
  <c r="R673" i="1"/>
  <c r="Q956" i="1"/>
  <c r="R956" i="1"/>
  <c r="Q57" i="1"/>
  <c r="R57" i="1"/>
  <c r="Q693" i="1"/>
  <c r="R693" i="1"/>
  <c r="Q111" i="1"/>
  <c r="R111" i="1"/>
  <c r="Q666" i="1"/>
  <c r="R666" i="1"/>
  <c r="Q425" i="1"/>
  <c r="R425" i="1"/>
  <c r="Q548" i="1"/>
  <c r="R548" i="1"/>
  <c r="Q361" i="1"/>
  <c r="R361" i="1"/>
  <c r="Q32" i="1"/>
  <c r="R32" i="1"/>
  <c r="Q843" i="1"/>
  <c r="R843" i="1"/>
  <c r="Q294" i="1"/>
  <c r="R294" i="1"/>
  <c r="Q343" i="1"/>
  <c r="R343" i="1"/>
  <c r="Q527" i="1"/>
  <c r="R527" i="1"/>
  <c r="Q92" i="1"/>
  <c r="R92" i="1"/>
  <c r="Q667" i="1"/>
  <c r="R667" i="1"/>
  <c r="Q624" i="1"/>
  <c r="R624" i="1"/>
  <c r="Q133" i="1"/>
  <c r="R133" i="1"/>
  <c r="Q125" i="1"/>
  <c r="R125" i="1"/>
  <c r="Q800" i="1"/>
  <c r="R800" i="1"/>
  <c r="Q454" i="1"/>
  <c r="R454" i="1"/>
  <c r="Q29" i="1"/>
  <c r="R29" i="1"/>
  <c r="Q257" i="1"/>
  <c r="R257" i="1"/>
  <c r="Q1167" i="1"/>
  <c r="R1167" i="1"/>
  <c r="Q833" i="1"/>
  <c r="R833" i="1"/>
  <c r="Q396" i="1"/>
  <c r="R396" i="1"/>
  <c r="Q823" i="1"/>
  <c r="R823" i="1"/>
  <c r="Q480" i="1"/>
  <c r="R480" i="1"/>
  <c r="Q499" i="1"/>
  <c r="R499" i="1"/>
  <c r="Q336" i="1"/>
  <c r="R336" i="1"/>
  <c r="Q432" i="1"/>
  <c r="R432" i="1"/>
  <c r="Q1056" i="1"/>
  <c r="R1056" i="1"/>
  <c r="Q486" i="1"/>
  <c r="R486" i="1"/>
  <c r="Q502" i="1"/>
  <c r="R502" i="1"/>
  <c r="Q141" i="1"/>
  <c r="R141" i="1"/>
  <c r="Q677" i="1"/>
  <c r="R677" i="1"/>
  <c r="Q60" i="1"/>
  <c r="R60" i="1"/>
  <c r="Q157" i="1"/>
  <c r="R157" i="1"/>
  <c r="Q1054" i="1"/>
  <c r="R1054" i="1"/>
  <c r="Q990" i="1"/>
  <c r="R990" i="1"/>
  <c r="Q1078" i="1"/>
  <c r="R1078" i="1"/>
  <c r="Q789" i="1"/>
  <c r="R789" i="1"/>
  <c r="Q618" i="1"/>
  <c r="R618" i="1"/>
  <c r="Q117" i="1"/>
  <c r="R117" i="1"/>
  <c r="Q810" i="1"/>
  <c r="R810" i="1"/>
  <c r="Q171" i="1"/>
  <c r="R171" i="1"/>
  <c r="Q7" i="1"/>
  <c r="R7" i="1"/>
  <c r="Q600" i="1"/>
  <c r="R600" i="1"/>
  <c r="Q525" i="1"/>
  <c r="R525" i="1"/>
  <c r="Q443" i="1"/>
  <c r="R443" i="1"/>
  <c r="Q550" i="1"/>
  <c r="R550" i="1"/>
  <c r="Q205" i="1"/>
  <c r="R205" i="1"/>
  <c r="R1197" i="1"/>
  <c r="R1188" i="1"/>
  <c r="R1179" i="1"/>
  <c r="R1157" i="1"/>
  <c r="R1121" i="1"/>
  <c r="R1107" i="1"/>
  <c r="R1093" i="1"/>
  <c r="R1082" i="1"/>
  <c r="R1068" i="1"/>
  <c r="R1043" i="1"/>
  <c r="R1029" i="1"/>
  <c r="R1018" i="1"/>
  <c r="R1002" i="1"/>
  <c r="R986" i="1"/>
  <c r="R970" i="1"/>
  <c r="R954" i="1"/>
  <c r="R938" i="1"/>
  <c r="R899" i="1"/>
  <c r="R857" i="1"/>
  <c r="R835" i="1"/>
  <c r="R814" i="1"/>
  <c r="R793" i="1"/>
  <c r="R771" i="1"/>
  <c r="R729" i="1"/>
  <c r="R705" i="1"/>
  <c r="R680" i="1"/>
  <c r="R588" i="1"/>
  <c r="R537" i="1"/>
  <c r="R475" i="1"/>
  <c r="R433" i="1"/>
  <c r="R371" i="1"/>
  <c r="R267" i="1"/>
  <c r="R208" i="1"/>
  <c r="R152" i="1"/>
  <c r="R104" i="1"/>
  <c r="R42" i="1"/>
  <c r="Q47" i="1"/>
  <c r="R47" i="1"/>
  <c r="Q482" i="1"/>
  <c r="R482" i="1"/>
  <c r="Q891" i="1"/>
  <c r="R891" i="1"/>
  <c r="Q853" i="1"/>
  <c r="R853" i="1"/>
  <c r="Q534" i="1"/>
  <c r="R534" i="1"/>
  <c r="Q323" i="1"/>
  <c r="R323" i="1"/>
  <c r="Q222" i="1"/>
  <c r="R222" i="1"/>
  <c r="Q166" i="1"/>
  <c r="R166" i="1"/>
  <c r="Q562" i="1"/>
  <c r="R562" i="1"/>
  <c r="Q678" i="1"/>
  <c r="R678" i="1"/>
  <c r="Q413" i="1"/>
  <c r="R413" i="1"/>
  <c r="Q193" i="1"/>
  <c r="R193" i="1"/>
  <c r="Q755" i="1"/>
  <c r="R755" i="1"/>
  <c r="Q448" i="1"/>
  <c r="R448" i="1"/>
  <c r="Q1192" i="1"/>
  <c r="R1192" i="1"/>
  <c r="Q21" i="1"/>
  <c r="R21" i="1"/>
  <c r="Q491" i="1"/>
  <c r="R491" i="1"/>
  <c r="Q83" i="1"/>
  <c r="R83" i="1"/>
  <c r="Q870" i="1"/>
  <c r="R870" i="1"/>
  <c r="Q146" i="1"/>
  <c r="R146" i="1"/>
  <c r="Q340" i="1"/>
  <c r="R340" i="1"/>
  <c r="Q950" i="1"/>
  <c r="R950" i="1"/>
  <c r="Q785" i="1"/>
  <c r="R785" i="1"/>
  <c r="Q1063" i="1"/>
  <c r="R1063" i="1"/>
  <c r="Q235" i="1"/>
  <c r="R235" i="1"/>
  <c r="Q733" i="1"/>
  <c r="R733" i="1"/>
  <c r="Q925" i="1"/>
  <c r="R925" i="1"/>
  <c r="Q662" i="1"/>
  <c r="R662" i="1"/>
  <c r="Q756" i="1"/>
  <c r="R756" i="1"/>
  <c r="Q349" i="1"/>
  <c r="R349" i="1"/>
  <c r="Q559" i="1"/>
  <c r="R559" i="1"/>
  <c r="Q655" i="1"/>
  <c r="R655" i="1"/>
  <c r="Q53" i="1"/>
  <c r="R53" i="1"/>
  <c r="Q108" i="1"/>
  <c r="R108" i="1"/>
  <c r="Q653" i="1"/>
  <c r="R653" i="1"/>
  <c r="Q350" i="1"/>
  <c r="R350" i="1"/>
  <c r="Q55" i="1"/>
  <c r="R55" i="1"/>
  <c r="Q727" i="1"/>
  <c r="R727" i="1"/>
  <c r="Q935" i="1"/>
  <c r="R935" i="1"/>
  <c r="Q582" i="1"/>
  <c r="R582" i="1"/>
  <c r="Q615" i="1"/>
  <c r="R615" i="1"/>
  <c r="Q359" i="1"/>
  <c r="R359" i="1"/>
  <c r="Q1086" i="1"/>
  <c r="R1086" i="1"/>
  <c r="Q165" i="1"/>
  <c r="R165" i="1"/>
  <c r="Q700" i="1"/>
  <c r="R700" i="1"/>
  <c r="Q304" i="1"/>
  <c r="R304" i="1"/>
  <c r="Q261" i="1"/>
  <c r="R261" i="1"/>
  <c r="Q260" i="1"/>
  <c r="R260" i="1"/>
  <c r="Q178" i="1"/>
  <c r="R178" i="1"/>
  <c r="Q256" i="1"/>
  <c r="R256" i="1"/>
  <c r="Q365" i="1"/>
  <c r="R365" i="1"/>
  <c r="Q35" i="1"/>
  <c r="R35" i="1"/>
  <c r="Q869" i="1"/>
  <c r="R869" i="1"/>
  <c r="Q1142" i="1"/>
  <c r="R1142" i="1"/>
  <c r="Q356" i="1"/>
  <c r="R356" i="1"/>
  <c r="Q585" i="1"/>
  <c r="R585" i="1"/>
  <c r="Q113" i="1"/>
  <c r="R113" i="1"/>
  <c r="Q328" i="1"/>
  <c r="R328" i="1"/>
  <c r="Q942" i="1"/>
  <c r="R942" i="1"/>
  <c r="Q186" i="1"/>
  <c r="R186" i="1"/>
  <c r="Q82" i="1"/>
  <c r="R82" i="1"/>
  <c r="Q630" i="1"/>
  <c r="R630" i="1"/>
  <c r="Q968" i="1"/>
  <c r="R968" i="1"/>
  <c r="Q390" i="1"/>
  <c r="R390" i="1"/>
  <c r="Q250" i="1"/>
  <c r="R250" i="1"/>
  <c r="Q459" i="1"/>
  <c r="R459" i="1"/>
  <c r="Q327" i="1"/>
  <c r="R327" i="1"/>
  <c r="Q586" i="1"/>
  <c r="R586" i="1"/>
  <c r="Q1006" i="1"/>
  <c r="R1006" i="1"/>
  <c r="Q881" i="1"/>
  <c r="R881" i="1"/>
  <c r="Q530" i="1"/>
  <c r="R530" i="1"/>
  <c r="Q143" i="1"/>
  <c r="R143" i="1"/>
  <c r="Q556" i="1"/>
  <c r="R556" i="1"/>
  <c r="Q382" i="1"/>
  <c r="R382" i="1"/>
  <c r="Q335" i="1"/>
  <c r="R335" i="1"/>
  <c r="Q220" i="1"/>
  <c r="R220" i="1"/>
  <c r="Q668" i="1"/>
  <c r="R668" i="1"/>
  <c r="Q90" i="1"/>
  <c r="R90" i="1"/>
  <c r="Q820" i="1"/>
  <c r="R820" i="1"/>
  <c r="Q189" i="1"/>
  <c r="R189" i="1"/>
  <c r="Q56" i="1"/>
  <c r="R56" i="1"/>
  <c r="Q934" i="1"/>
  <c r="R934" i="1"/>
  <c r="Q915" i="1"/>
  <c r="R915" i="1"/>
  <c r="Q1022" i="1"/>
  <c r="R1022" i="1"/>
  <c r="Q73" i="1"/>
  <c r="R73" i="1"/>
  <c r="Q154" i="1"/>
  <c r="R154" i="1"/>
  <c r="Q381" i="1"/>
  <c r="R381" i="1"/>
  <c r="Q313" i="1"/>
  <c r="R313" i="1"/>
  <c r="Q122" i="1"/>
  <c r="R122" i="1"/>
  <c r="Q927" i="1"/>
  <c r="R927" i="1"/>
  <c r="Q563" i="1"/>
  <c r="R563" i="1"/>
  <c r="Q906" i="1"/>
  <c r="R906" i="1"/>
  <c r="Q569" i="1"/>
  <c r="R569" i="1"/>
  <c r="Q442" i="1"/>
  <c r="R442" i="1"/>
  <c r="Q114" i="1"/>
  <c r="R114" i="1"/>
  <c r="Q940" i="1"/>
  <c r="R940" i="1"/>
  <c r="Q781" i="1"/>
  <c r="R781" i="1"/>
  <c r="Q611" i="1"/>
  <c r="R611" i="1"/>
  <c r="Q380" i="1"/>
  <c r="R380" i="1"/>
  <c r="Q471" i="1"/>
  <c r="R471" i="1"/>
  <c r="Q657" i="1"/>
  <c r="R657" i="1"/>
  <c r="Q815" i="1"/>
  <c r="R815" i="1"/>
  <c r="Q1038" i="1"/>
  <c r="R1038" i="1"/>
  <c r="Q535" i="1"/>
  <c r="R535" i="1"/>
  <c r="Q592" i="1"/>
  <c r="R592" i="1"/>
  <c r="Q439" i="1"/>
  <c r="R439" i="1"/>
  <c r="Q712" i="1"/>
  <c r="R712" i="1"/>
  <c r="Q903" i="1"/>
  <c r="R903" i="1"/>
  <c r="Q13" i="1"/>
  <c r="R13" i="1"/>
  <c r="Q230" i="1"/>
  <c r="R230" i="1"/>
  <c r="Q455" i="1"/>
  <c r="R455" i="1"/>
  <c r="Q1007" i="1"/>
  <c r="R1007" i="1"/>
  <c r="Q529" i="1"/>
  <c r="R529" i="1"/>
  <c r="Q839" i="1"/>
  <c r="R839" i="1"/>
  <c r="R1196" i="1"/>
  <c r="R1187" i="1"/>
  <c r="R1178" i="1"/>
  <c r="R1166" i="1"/>
  <c r="R1156" i="1"/>
  <c r="R1145" i="1"/>
  <c r="R1131" i="1"/>
  <c r="R1117" i="1"/>
  <c r="R1092" i="1"/>
  <c r="R1067" i="1"/>
  <c r="R1042" i="1"/>
  <c r="R1017" i="1"/>
  <c r="R1001" i="1"/>
  <c r="R985" i="1"/>
  <c r="R898" i="1"/>
  <c r="R856" i="1"/>
  <c r="R834" i="1"/>
  <c r="R792" i="1"/>
  <c r="R770" i="1"/>
  <c r="R704" i="1"/>
  <c r="R674" i="1"/>
  <c r="R627" i="1"/>
  <c r="R577" i="1"/>
  <c r="R536" i="1"/>
  <c r="R474" i="1"/>
  <c r="R412" i="1"/>
  <c r="R370" i="1"/>
  <c r="R308" i="1"/>
  <c r="R252" i="1"/>
  <c r="R204" i="1"/>
  <c r="R145" i="1"/>
  <c r="R89" i="1"/>
  <c r="Q148" i="1"/>
  <c r="R148" i="1"/>
  <c r="Q749" i="1"/>
  <c r="R749" i="1"/>
  <c r="Q583" i="1"/>
  <c r="R583" i="1"/>
  <c r="Q564" i="1"/>
  <c r="R564" i="1"/>
  <c r="Q263" i="1"/>
  <c r="R263" i="1"/>
  <c r="R818" i="1"/>
  <c r="Q778" i="1"/>
  <c r="R778" i="1"/>
  <c r="Q488" i="1"/>
  <c r="R488" i="1"/>
  <c r="Q112" i="1"/>
  <c r="R112" i="1"/>
  <c r="Q743" i="1"/>
  <c r="R743" i="1"/>
  <c r="Q664" i="1"/>
  <c r="R664" i="1"/>
  <c r="Q861" i="1"/>
  <c r="R861" i="1"/>
  <c r="Q28" i="1"/>
  <c r="R28" i="1"/>
  <c r="Q676" i="1"/>
  <c r="R676" i="1"/>
  <c r="Q33" i="1"/>
  <c r="R33" i="1"/>
  <c r="Q334" i="1"/>
  <c r="R334" i="1"/>
  <c r="Q273" i="1"/>
  <c r="R273" i="1"/>
  <c r="Q849" i="1"/>
  <c r="R849" i="1"/>
  <c r="Q86" i="1"/>
  <c r="R86" i="1"/>
  <c r="Q524" i="1"/>
  <c r="R524" i="1"/>
  <c r="Q1175" i="1"/>
  <c r="R1175" i="1"/>
  <c r="Q1126" i="1"/>
  <c r="R1126" i="1"/>
  <c r="Q286" i="1"/>
  <c r="R286" i="1"/>
  <c r="Q177" i="1"/>
  <c r="R177" i="1"/>
  <c r="Q606" i="1"/>
  <c r="R606" i="1"/>
  <c r="Q127" i="1"/>
  <c r="R127" i="1"/>
  <c r="Q675" i="1"/>
  <c r="R675" i="1"/>
  <c r="Q790" i="1"/>
  <c r="R790" i="1"/>
  <c r="Q575" i="1"/>
  <c r="R575" i="1"/>
  <c r="Q162" i="1"/>
  <c r="R162" i="1"/>
  <c r="Q805" i="1"/>
  <c r="R805" i="1"/>
  <c r="Q845" i="1"/>
  <c r="R845" i="1"/>
  <c r="Q402" i="1"/>
  <c r="R402" i="1"/>
  <c r="Q217" i="1"/>
  <c r="R217" i="1"/>
  <c r="Q1200" i="1"/>
  <c r="R1200" i="1"/>
  <c r="Q862" i="1"/>
  <c r="R862" i="1"/>
  <c r="Q136" i="1"/>
  <c r="R136" i="1"/>
  <c r="Q338" i="1"/>
  <c r="R338" i="1"/>
  <c r="Q210" i="1"/>
  <c r="R210" i="1"/>
  <c r="Q85" i="1"/>
  <c r="R85" i="1"/>
  <c r="Q651" i="1"/>
  <c r="R651" i="1"/>
  <c r="Q470" i="1"/>
  <c r="R470" i="1"/>
  <c r="Q544" i="1"/>
  <c r="R544" i="1"/>
  <c r="Q665" i="1"/>
  <c r="R665" i="1"/>
  <c r="Q99" i="1"/>
  <c r="R99" i="1"/>
  <c r="Q992" i="1"/>
  <c r="R992" i="1"/>
  <c r="Q76" i="1"/>
  <c r="R76" i="1"/>
  <c r="Q545" i="1"/>
  <c r="R545" i="1"/>
  <c r="Q190" i="1"/>
  <c r="R190" i="1"/>
  <c r="Q1111" i="1"/>
  <c r="R1111" i="1"/>
  <c r="Q62" i="1"/>
  <c r="R62" i="1"/>
  <c r="Q703" i="1"/>
  <c r="R703" i="1"/>
  <c r="Q1134" i="1"/>
  <c r="R1134" i="1"/>
  <c r="Q928" i="1"/>
  <c r="R928" i="1"/>
  <c r="Q456" i="1"/>
  <c r="R456" i="1"/>
  <c r="Q747" i="1"/>
  <c r="R747" i="1"/>
  <c r="Q155" i="1"/>
  <c r="R155" i="1"/>
  <c r="Q239" i="1"/>
  <c r="R239" i="1"/>
  <c r="Q787" i="1"/>
  <c r="R787" i="1"/>
  <c r="Q197" i="1"/>
  <c r="R197" i="1"/>
  <c r="Q897" i="1"/>
  <c r="R897" i="1"/>
  <c r="Q723" i="1"/>
  <c r="R723" i="1"/>
  <c r="Q301" i="1"/>
  <c r="R301" i="1"/>
  <c r="Q532" i="1"/>
  <c r="R532" i="1"/>
  <c r="Q243" i="1"/>
  <c r="R243" i="1"/>
  <c r="Q512" i="1"/>
  <c r="R512" i="1"/>
  <c r="Q625" i="1"/>
  <c r="R625" i="1"/>
  <c r="Q1014" i="1"/>
  <c r="R1014" i="1"/>
  <c r="Q364" i="1"/>
  <c r="R364" i="1"/>
  <c r="Q223" i="1"/>
  <c r="R223" i="1"/>
  <c r="Q640" i="1"/>
  <c r="R640" i="1"/>
  <c r="Q173" i="1"/>
  <c r="R173" i="1"/>
  <c r="Q130" i="1"/>
  <c r="R130" i="1"/>
  <c r="Q918" i="1"/>
  <c r="R918" i="1"/>
  <c r="Q1047" i="1"/>
  <c r="R1047" i="1"/>
  <c r="Q741" i="1"/>
  <c r="R741" i="1"/>
  <c r="Q604" i="1"/>
  <c r="R604" i="1"/>
  <c r="Q423" i="1"/>
  <c r="R423" i="1"/>
  <c r="Q3" i="1"/>
  <c r="R3" i="1"/>
  <c r="Q27" i="1"/>
  <c r="R27" i="1"/>
  <c r="Q767" i="1"/>
  <c r="R767" i="1"/>
  <c r="Q645" i="1"/>
  <c r="R645" i="1"/>
  <c r="Q446" i="1"/>
  <c r="R446" i="1"/>
  <c r="Q684" i="1"/>
  <c r="R684" i="1"/>
  <c r="Q325" i="1"/>
  <c r="R325" i="1"/>
  <c r="Q282" i="1"/>
  <c r="R282" i="1"/>
  <c r="Q288" i="1"/>
  <c r="R288" i="1"/>
  <c r="Q982" i="1"/>
  <c r="R982" i="1"/>
  <c r="Q656" i="1"/>
  <c r="R656" i="1"/>
  <c r="Q147" i="1"/>
  <c r="R147" i="1"/>
  <c r="Q540" i="1"/>
  <c r="R540" i="1"/>
  <c r="Q287" i="1"/>
  <c r="R287" i="1"/>
  <c r="Q976" i="1"/>
  <c r="R976" i="1"/>
  <c r="Q639" i="1"/>
  <c r="R639" i="1"/>
  <c r="Q905" i="1"/>
  <c r="R905" i="1"/>
  <c r="Q1120" i="1"/>
  <c r="R1120" i="1"/>
  <c r="Q1040" i="1"/>
  <c r="R1040" i="1"/>
  <c r="Q211" i="1"/>
  <c r="R211" i="1"/>
  <c r="Q555" i="1"/>
  <c r="R555" i="1"/>
  <c r="Q635" i="1"/>
  <c r="R635" i="1"/>
  <c r="Q504" i="1"/>
  <c r="R504" i="1"/>
  <c r="Q832" i="1"/>
  <c r="R832" i="1"/>
  <c r="Q297" i="1"/>
  <c r="R297" i="1"/>
  <c r="Q231" i="1"/>
  <c r="R231" i="1"/>
  <c r="Q84" i="1"/>
  <c r="R84" i="1"/>
  <c r="Q270" i="1"/>
  <c r="R270" i="1"/>
  <c r="Q236" i="1"/>
  <c r="R236" i="1"/>
  <c r="Q31" i="1"/>
  <c r="R31" i="1"/>
  <c r="Q1104" i="1"/>
  <c r="R1104" i="1"/>
  <c r="Q398" i="1"/>
  <c r="R398" i="1"/>
  <c r="Q421" i="1"/>
  <c r="R421" i="1"/>
  <c r="Q150" i="1"/>
  <c r="R150" i="1"/>
  <c r="Q358" i="1"/>
  <c r="R358" i="1"/>
  <c r="Q695" i="1"/>
  <c r="R695" i="1"/>
  <c r="Q318" i="1"/>
  <c r="R318" i="1"/>
  <c r="Q337" i="1"/>
  <c r="R337" i="1"/>
  <c r="Q505" i="1"/>
  <c r="R505" i="1"/>
  <c r="Q19" i="1"/>
  <c r="R19" i="1"/>
  <c r="Q964" i="1"/>
  <c r="R964" i="1"/>
  <c r="Q296" i="1"/>
  <c r="R296" i="1"/>
  <c r="Q120" i="1"/>
  <c r="R120" i="1"/>
  <c r="Q980" i="1"/>
  <c r="R980" i="1"/>
  <c r="Q919" i="1"/>
  <c r="R919" i="1"/>
  <c r="Q5" i="1"/>
  <c r="R5" i="1"/>
  <c r="Q998" i="1"/>
  <c r="R998" i="1"/>
  <c r="Q172" i="1"/>
  <c r="R172" i="1"/>
  <c r="Q444" i="1"/>
  <c r="R444" i="1"/>
  <c r="Q646" i="1"/>
  <c r="R646" i="1"/>
  <c r="Q74" i="1"/>
  <c r="R74" i="1"/>
  <c r="Q725" i="1"/>
  <c r="R725" i="1"/>
  <c r="Q893" i="1"/>
  <c r="R893" i="1"/>
  <c r="Q132" i="1"/>
  <c r="R132" i="1"/>
  <c r="Q414" i="1"/>
  <c r="R414" i="1"/>
  <c r="Q426" i="1"/>
  <c r="R426" i="1"/>
  <c r="Q255" i="1"/>
  <c r="R255" i="1"/>
  <c r="Q138" i="1"/>
  <c r="R138" i="1"/>
  <c r="Q517" i="1"/>
  <c r="R517" i="1"/>
  <c r="Q429" i="1"/>
  <c r="R429" i="1"/>
  <c r="Q612" i="1"/>
  <c r="R612" i="1"/>
  <c r="Q67" i="1"/>
  <c r="R67" i="1"/>
  <c r="Q1004" i="1"/>
  <c r="R1004" i="1"/>
  <c r="Q584" i="1"/>
  <c r="R584" i="1"/>
  <c r="Q1016" i="1"/>
  <c r="R1016" i="1"/>
  <c r="Q345" i="1"/>
  <c r="R345" i="1"/>
  <c r="Q879" i="1"/>
  <c r="R879" i="1"/>
  <c r="Q360" i="1"/>
  <c r="R360" i="1"/>
  <c r="Q153" i="1"/>
  <c r="R153" i="1"/>
  <c r="Q215" i="1"/>
  <c r="R215" i="1"/>
  <c r="Q386" i="1"/>
  <c r="R386" i="1"/>
  <c r="Q262" i="1"/>
  <c r="R262" i="1"/>
  <c r="Q159" i="1"/>
  <c r="R159" i="1"/>
  <c r="R1195" i="1"/>
  <c r="R1186" i="1"/>
  <c r="R1177" i="1"/>
  <c r="R1165" i="1"/>
  <c r="R1155" i="1"/>
  <c r="R1130" i="1"/>
  <c r="R1116" i="1"/>
  <c r="R1105" i="1"/>
  <c r="R1091" i="1"/>
  <c r="R1077" i="1"/>
  <c r="R1066" i="1"/>
  <c r="R1041" i="1"/>
  <c r="R1027" i="1"/>
  <c r="R1013" i="1"/>
  <c r="R997" i="1"/>
  <c r="R965" i="1"/>
  <c r="R949" i="1"/>
  <c r="R933" i="1"/>
  <c r="R914" i="1"/>
  <c r="R892" i="1"/>
  <c r="R872" i="1"/>
  <c r="R828" i="1"/>
  <c r="R786" i="1"/>
  <c r="R764" i="1"/>
  <c r="R744" i="1"/>
  <c r="R697" i="1"/>
  <c r="R661" i="1"/>
  <c r="R626" i="1"/>
  <c r="R576" i="1"/>
  <c r="R473" i="1"/>
  <c r="R411" i="1"/>
  <c r="R355" i="1"/>
  <c r="R307" i="1"/>
  <c r="R144" i="1"/>
  <c r="R88" i="1"/>
  <c r="R26" i="1"/>
  <c r="Q391" i="1"/>
  <c r="R391" i="1"/>
  <c r="Q362" i="1"/>
  <c r="R362" i="1"/>
  <c r="Q638" i="1"/>
  <c r="R638" i="1"/>
  <c r="R957" i="1"/>
  <c r="R387" i="1"/>
  <c r="Q707" i="1"/>
  <c r="R707" i="1"/>
  <c r="Q400" i="1"/>
  <c r="R400" i="1"/>
  <c r="Q149" i="1"/>
  <c r="R149" i="1"/>
  <c r="Q1128" i="1"/>
  <c r="R1128" i="1"/>
  <c r="Q909" i="1"/>
  <c r="R909" i="1"/>
  <c r="Q298" i="1"/>
  <c r="R298" i="1"/>
  <c r="Q422" i="1"/>
  <c r="R422" i="1"/>
  <c r="Q916" i="1"/>
  <c r="R916" i="1"/>
  <c r="Q212" i="1"/>
  <c r="R212" i="1"/>
  <c r="Q311" i="1"/>
  <c r="R311" i="1"/>
  <c r="Q221" i="1"/>
  <c r="R221" i="1"/>
  <c r="Q643" i="1"/>
  <c r="R643" i="1"/>
  <c r="Q43" i="1"/>
  <c r="R43" i="1"/>
  <c r="Q493" i="1"/>
  <c r="R493" i="1"/>
  <c r="Q17" i="1"/>
  <c r="R17" i="1"/>
  <c r="Q649" i="1"/>
  <c r="R649" i="1"/>
  <c r="Q175" i="1"/>
  <c r="R175" i="1"/>
  <c r="Q131" i="1"/>
  <c r="R131" i="1"/>
  <c r="Q309" i="1"/>
  <c r="R309" i="1"/>
  <c r="Q134" i="1"/>
  <c r="R134" i="1"/>
  <c r="Q552" i="1"/>
  <c r="R552" i="1"/>
  <c r="Q621" i="1"/>
  <c r="R621" i="1"/>
  <c r="Q622" i="1"/>
  <c r="R622" i="1"/>
  <c r="Q483" i="1"/>
  <c r="R483" i="1"/>
  <c r="Q581" i="1"/>
  <c r="R581" i="1"/>
  <c r="Q984" i="1"/>
  <c r="R984" i="1"/>
  <c r="Q1152" i="1"/>
  <c r="R1152" i="1"/>
  <c r="Q427" i="1"/>
  <c r="R427" i="1"/>
  <c r="Q873" i="1"/>
  <c r="R873" i="1"/>
  <c r="Q1144" i="1"/>
  <c r="R1144" i="1"/>
  <c r="Q901" i="1"/>
  <c r="R901" i="1"/>
  <c r="Q225" i="1"/>
  <c r="R225" i="1"/>
  <c r="Q344" i="1"/>
  <c r="R344" i="1"/>
  <c r="Q852" i="1"/>
  <c r="R852" i="1"/>
  <c r="Q135" i="1"/>
  <c r="R135" i="1"/>
  <c r="Q234" i="1"/>
  <c r="R234" i="1"/>
  <c r="Q437" i="1"/>
  <c r="R437" i="1"/>
  <c r="Q376" i="1"/>
  <c r="R376" i="1"/>
  <c r="Q445" i="1"/>
  <c r="R445" i="1"/>
  <c r="Q774" i="1"/>
  <c r="R774" i="1"/>
  <c r="Q276" i="1"/>
  <c r="R276" i="1"/>
  <c r="Q797" i="1"/>
  <c r="R797" i="1"/>
  <c r="Q783" i="1"/>
  <c r="R783" i="1"/>
  <c r="Q737" i="1"/>
  <c r="R737" i="1"/>
  <c r="Q241" i="1"/>
  <c r="R241" i="1"/>
  <c r="Q769" i="1"/>
  <c r="R769" i="1"/>
  <c r="Q952" i="1"/>
  <c r="R952" i="1"/>
  <c r="Q948" i="1"/>
  <c r="R948" i="1"/>
  <c r="Q759" i="1"/>
  <c r="R759" i="1"/>
  <c r="Q194" i="1"/>
  <c r="R194" i="1"/>
  <c r="Q373" i="1"/>
  <c r="R373" i="1"/>
  <c r="Q601" i="1"/>
  <c r="R601" i="1"/>
  <c r="Q571" i="1"/>
  <c r="R571" i="1"/>
  <c r="Q182" i="1"/>
  <c r="R182" i="1"/>
  <c r="Q966" i="1"/>
  <c r="R966" i="1"/>
  <c r="Q943" i="1"/>
  <c r="R943" i="1"/>
  <c r="Q258" i="1"/>
  <c r="R258" i="1"/>
  <c r="Q8" i="1"/>
  <c r="R8" i="1"/>
  <c r="Q102" i="1"/>
  <c r="R102" i="1"/>
  <c r="Q202" i="1"/>
  <c r="R202" i="1"/>
  <c r="Q1159" i="1"/>
  <c r="R1159" i="1"/>
  <c r="Q466" i="1"/>
  <c r="R466" i="1"/>
  <c r="Q533" i="1"/>
  <c r="R533" i="1"/>
  <c r="Q59" i="1"/>
  <c r="R59" i="1"/>
  <c r="Q37" i="1"/>
  <c r="R37" i="1"/>
  <c r="Q22" i="1"/>
  <c r="R22" i="1"/>
  <c r="Q110" i="1"/>
  <c r="R110" i="1"/>
  <c r="Q15" i="1"/>
  <c r="R15" i="1"/>
  <c r="Q500" i="1"/>
  <c r="R500" i="1"/>
  <c r="Q161" i="1"/>
  <c r="R161" i="1"/>
  <c r="Q289" i="1"/>
  <c r="R289" i="1"/>
  <c r="Q237" i="1"/>
  <c r="R237" i="1"/>
  <c r="Q246" i="1"/>
  <c r="R246" i="1"/>
  <c r="Q974" i="1"/>
  <c r="R974" i="1"/>
  <c r="Q831" i="1"/>
  <c r="R831" i="1"/>
  <c r="Q70" i="1"/>
  <c r="R70" i="1"/>
  <c r="Q894" i="1"/>
  <c r="R894" i="1"/>
  <c r="Q996" i="1"/>
  <c r="R996" i="1"/>
  <c r="Q218" i="1"/>
  <c r="R218" i="1"/>
  <c r="Q11" i="1"/>
  <c r="R11" i="1"/>
  <c r="Q116" i="1"/>
  <c r="R116" i="1"/>
  <c r="Q283" i="1"/>
  <c r="R283" i="1"/>
  <c r="Q1112" i="1"/>
  <c r="R1112" i="1"/>
  <c r="Q306" i="1"/>
  <c r="R306" i="1"/>
  <c r="Q199" i="1"/>
  <c r="R199" i="1"/>
  <c r="Q441" i="1"/>
  <c r="R441" i="1"/>
  <c r="Q278" i="1"/>
  <c r="R278" i="1"/>
  <c r="Q317" i="1"/>
  <c r="R317" i="1"/>
  <c r="Q44" i="1"/>
  <c r="R44" i="1"/>
  <c r="Q139" i="1"/>
  <c r="R139" i="1"/>
  <c r="Q694" i="1"/>
  <c r="R694" i="1"/>
  <c r="Q121" i="1"/>
  <c r="R121" i="1"/>
  <c r="Q587" i="1"/>
  <c r="R587" i="1"/>
  <c r="Q1103" i="1"/>
  <c r="R1103" i="1"/>
  <c r="Q907" i="1"/>
  <c r="R907" i="1"/>
  <c r="Q713" i="1"/>
  <c r="R713" i="1"/>
  <c r="Q52" i="1"/>
  <c r="R52" i="1"/>
  <c r="Q658" i="1"/>
  <c r="R658" i="1"/>
  <c r="Q16" i="1"/>
  <c r="R16" i="1"/>
  <c r="Q726" i="1"/>
  <c r="R726" i="1"/>
  <c r="Q467" i="1"/>
  <c r="R467" i="1"/>
  <c r="Q614" i="1"/>
  <c r="R614" i="1"/>
  <c r="Q884" i="1"/>
  <c r="R884" i="1"/>
  <c r="Q431" i="1"/>
  <c r="R431" i="1"/>
  <c r="Q838" i="1"/>
  <c r="R838" i="1"/>
  <c r="Q960" i="1"/>
  <c r="R960" i="1"/>
  <c r="Q302" i="1"/>
  <c r="R302" i="1"/>
  <c r="Q481" i="1"/>
  <c r="R481" i="1"/>
  <c r="Q399" i="1"/>
  <c r="R399" i="1"/>
  <c r="Q791" i="1"/>
  <c r="R791" i="1"/>
  <c r="Q440" i="1"/>
  <c r="R440" i="1"/>
  <c r="Q187" i="1"/>
  <c r="R187" i="1"/>
  <c r="Q367" i="1"/>
  <c r="R367" i="1"/>
  <c r="Q69" i="1"/>
  <c r="R69" i="1"/>
  <c r="Q464" i="1"/>
  <c r="R464" i="1"/>
  <c r="Q721" i="1"/>
  <c r="R721" i="1"/>
  <c r="Q424" i="1"/>
  <c r="R424" i="1"/>
  <c r="Q765" i="1"/>
  <c r="R765" i="1"/>
  <c r="Q18" i="1"/>
  <c r="R18" i="1"/>
  <c r="Q259" i="1"/>
  <c r="R259" i="1"/>
  <c r="Q516" i="1"/>
  <c r="R516" i="1"/>
  <c r="Q895" i="1"/>
  <c r="R895" i="1"/>
  <c r="Q417" i="1"/>
  <c r="R417" i="1"/>
  <c r="Q428" i="1"/>
  <c r="R428" i="1"/>
  <c r="Q293" i="1"/>
  <c r="R293" i="1"/>
  <c r="Q213" i="1"/>
  <c r="R213" i="1"/>
  <c r="Q242" i="1"/>
  <c r="R242" i="1"/>
  <c r="Q751" i="1"/>
  <c r="R751" i="1"/>
  <c r="Q45" i="1"/>
  <c r="R45" i="1"/>
  <c r="Q201" i="1"/>
  <c r="R201" i="1"/>
  <c r="R1194" i="1"/>
  <c r="R1185" i="1"/>
  <c r="R1174" i="1"/>
  <c r="R1164" i="1"/>
  <c r="R1154" i="1"/>
  <c r="R1115" i="1"/>
  <c r="R1101" i="1"/>
  <c r="R1090" i="1"/>
  <c r="R1076" i="1"/>
  <c r="R1065" i="1"/>
  <c r="R1051" i="1"/>
  <c r="R1037" i="1"/>
  <c r="R1026" i="1"/>
  <c r="R1011" i="1"/>
  <c r="R995" i="1"/>
  <c r="R979" i="1"/>
  <c r="R947" i="1"/>
  <c r="R912" i="1"/>
  <c r="R890" i="1"/>
  <c r="R868" i="1"/>
  <c r="R848" i="1"/>
  <c r="R826" i="1"/>
  <c r="R804" i="1"/>
  <c r="R784" i="1"/>
  <c r="R762" i="1"/>
  <c r="R740" i="1"/>
  <c r="R720" i="1"/>
  <c r="R692" i="1"/>
  <c r="R660" i="1"/>
  <c r="R610" i="1"/>
  <c r="R514" i="1"/>
  <c r="R458" i="1"/>
  <c r="R410" i="1"/>
  <c r="R348" i="1"/>
  <c r="R292" i="1"/>
  <c r="R188" i="1"/>
  <c r="R129" i="1"/>
  <c r="R25" i="1"/>
  <c r="Q494" i="1"/>
  <c r="R494" i="1"/>
  <c r="Q185" i="1"/>
  <c r="R185" i="1"/>
  <c r="Q253" i="1"/>
  <c r="R253" i="1"/>
  <c r="Q196" i="1"/>
  <c r="R196" i="1"/>
  <c r="Q477" i="1"/>
  <c r="R477" i="1"/>
  <c r="Q795" i="1"/>
  <c r="R795" i="1"/>
  <c r="Q811" i="1"/>
  <c r="R811" i="1"/>
  <c r="Q650" i="1"/>
  <c r="R650" i="1"/>
  <c r="Q1032" i="1"/>
  <c r="R1032" i="1"/>
  <c r="Q101" i="1"/>
  <c r="R101" i="1"/>
  <c r="Q1015" i="1"/>
  <c r="R1015" i="1"/>
  <c r="Q351" i="1"/>
  <c r="R351" i="1"/>
  <c r="Q865" i="1"/>
  <c r="R865" i="1"/>
  <c r="Q1023" i="1"/>
  <c r="R1023" i="1"/>
  <c r="Q324" i="1"/>
  <c r="R324" i="1"/>
  <c r="Q775" i="1"/>
  <c r="R775" i="1"/>
  <c r="Q579" i="1"/>
  <c r="R579" i="1"/>
  <c r="Q392" i="1"/>
  <c r="R392" i="1"/>
  <c r="Q806" i="1"/>
  <c r="R806" i="1"/>
  <c r="Q366" i="1"/>
  <c r="R366" i="1"/>
  <c r="Q1000" i="1"/>
  <c r="R1000" i="1"/>
  <c r="Q368" i="1"/>
  <c r="R368" i="1"/>
  <c r="Q911" i="1"/>
  <c r="R911" i="1"/>
  <c r="Q416" i="1"/>
  <c r="R416" i="1"/>
  <c r="Q1102" i="1"/>
  <c r="R1102" i="1"/>
  <c r="Q346" i="1"/>
  <c r="R346" i="1"/>
  <c r="Q310" i="1"/>
  <c r="R310" i="1"/>
  <c r="Q158" i="1"/>
  <c r="R158" i="1"/>
  <c r="Q463" i="1"/>
  <c r="R463" i="1"/>
  <c r="Q476" i="1"/>
  <c r="R476" i="1"/>
  <c r="Q777" i="1"/>
  <c r="R777" i="1"/>
  <c r="Q801" i="1"/>
  <c r="R801" i="1"/>
  <c r="Q599" i="1"/>
  <c r="R599" i="1"/>
  <c r="Q578" i="1"/>
  <c r="R578" i="1"/>
  <c r="Q671" i="1"/>
  <c r="R671" i="1"/>
  <c r="Q430" i="1"/>
  <c r="R430" i="1"/>
  <c r="Q549" i="1"/>
  <c r="R549" i="1"/>
  <c r="Q509" i="1"/>
  <c r="R509" i="1"/>
  <c r="Q809" i="1"/>
  <c r="R809" i="1"/>
  <c r="Q542" i="1"/>
  <c r="R542" i="1"/>
  <c r="Q629" i="1"/>
  <c r="R629" i="1"/>
  <c r="Q1118" i="1"/>
  <c r="R1118" i="1"/>
  <c r="Q773" i="1"/>
  <c r="R773" i="1"/>
  <c r="Q1070" i="1"/>
  <c r="R1070" i="1"/>
  <c r="Q280" i="1"/>
  <c r="R280" i="1"/>
  <c r="Q50" i="1"/>
  <c r="R50" i="1"/>
  <c r="Q1088" i="1"/>
  <c r="R1088" i="1"/>
  <c r="Q72" i="1"/>
  <c r="R72" i="1"/>
  <c r="Q233" i="1"/>
  <c r="R233" i="1"/>
  <c r="Q271" i="1"/>
  <c r="R271" i="1"/>
  <c r="Q686" i="1"/>
  <c r="R686" i="1"/>
  <c r="Q593" i="1"/>
  <c r="R593" i="1"/>
  <c r="Q418" i="1"/>
  <c r="R418" i="1"/>
  <c r="Q229" i="1"/>
  <c r="R229" i="1"/>
  <c r="Q341" i="1"/>
  <c r="R341" i="1"/>
  <c r="Q841" i="1"/>
  <c r="R841" i="1"/>
  <c r="Q589" i="1"/>
  <c r="R589" i="1"/>
  <c r="Q326" i="1"/>
  <c r="R326" i="1"/>
  <c r="Q1039" i="1"/>
  <c r="R1039" i="1"/>
  <c r="Q702" i="1"/>
  <c r="R702" i="1"/>
  <c r="Q1127" i="1"/>
  <c r="R1127" i="1"/>
  <c r="Q420" i="1"/>
  <c r="R420" i="1"/>
  <c r="Q568" i="1"/>
  <c r="R568" i="1"/>
  <c r="Q68" i="1"/>
  <c r="R68" i="1"/>
  <c r="Q54" i="1"/>
  <c r="R54" i="1"/>
  <c r="Q452" i="1"/>
  <c r="R452" i="1"/>
  <c r="Q415" i="1"/>
  <c r="R415" i="1"/>
  <c r="Q453" i="1"/>
  <c r="R453" i="1"/>
  <c r="Q460" i="1"/>
  <c r="R460" i="1"/>
  <c r="Q10" i="1"/>
  <c r="R10" i="1"/>
  <c r="Q574" i="1"/>
  <c r="R574" i="1"/>
  <c r="Q596" i="1"/>
  <c r="R596" i="1"/>
  <c r="Q709" i="1"/>
  <c r="R709" i="1"/>
  <c r="Q799" i="1"/>
  <c r="R799" i="1"/>
  <c r="Q847" i="1"/>
  <c r="R847" i="1"/>
  <c r="Q902" i="1"/>
  <c r="R902" i="1"/>
  <c r="Q290" i="1"/>
  <c r="R290" i="1"/>
  <c r="Q719" i="1"/>
  <c r="R719" i="1"/>
  <c r="Q687" i="1"/>
  <c r="R687" i="1"/>
  <c r="Q788" i="1"/>
  <c r="R788" i="1"/>
  <c r="Q1135" i="1"/>
  <c r="R1135" i="1"/>
  <c r="Q763" i="1"/>
  <c r="R763" i="1"/>
  <c r="Q822" i="1"/>
  <c r="R822" i="1"/>
  <c r="Q447" i="1"/>
  <c r="R447" i="1"/>
  <c r="Q354" i="1"/>
  <c r="R354" i="1"/>
  <c r="Q913" i="1"/>
  <c r="R913" i="1"/>
  <c r="Q1062" i="1"/>
  <c r="R1062" i="1"/>
  <c r="Q487" i="1"/>
  <c r="R487" i="1"/>
  <c r="Q352" i="1"/>
  <c r="R352" i="1"/>
  <c r="Q319" i="1"/>
  <c r="R319" i="1"/>
  <c r="Q543" i="1"/>
  <c r="R543" i="1"/>
  <c r="Q403" i="1"/>
  <c r="R403" i="1"/>
  <c r="Q277" i="1"/>
  <c r="R277" i="1"/>
  <c r="Q1136" i="1"/>
  <c r="R1136" i="1"/>
  <c r="Q98" i="1"/>
  <c r="R98" i="1"/>
  <c r="Q71" i="1"/>
  <c r="R71" i="1"/>
  <c r="Q363" i="1"/>
  <c r="R363" i="1"/>
  <c r="Q1024" i="1"/>
  <c r="R1024" i="1"/>
  <c r="Q932" i="1"/>
  <c r="R932" i="1"/>
  <c r="Q526" i="1"/>
  <c r="R526" i="1"/>
  <c r="Q521" i="1"/>
  <c r="R521" i="1"/>
  <c r="Q78" i="1"/>
  <c r="R78" i="1"/>
  <c r="Q883" i="1"/>
  <c r="R883" i="1"/>
  <c r="Q1184" i="1"/>
  <c r="R1184" i="1"/>
  <c r="Q200" i="1"/>
  <c r="R200" i="1"/>
  <c r="Q766" i="1"/>
  <c r="R766" i="1"/>
  <c r="Q842" i="1"/>
  <c r="R842" i="1"/>
  <c r="Q38" i="1"/>
  <c r="R38" i="1"/>
  <c r="Q378" i="1"/>
  <c r="R378" i="1"/>
  <c r="Q100" i="1"/>
  <c r="R100" i="1"/>
  <c r="Q607" i="1"/>
  <c r="R607" i="1"/>
  <c r="Q95" i="1"/>
  <c r="R95" i="1"/>
  <c r="Q39" i="1"/>
  <c r="R39" i="1"/>
  <c r="Q96" i="1"/>
  <c r="R96" i="1"/>
  <c r="Q539" i="1"/>
  <c r="R539" i="1"/>
  <c r="Q281" i="1"/>
  <c r="R281" i="1"/>
  <c r="Q597" i="1"/>
  <c r="R597" i="1"/>
  <c r="Q401" i="1"/>
  <c r="R401" i="1"/>
  <c r="Q1119" i="1"/>
  <c r="R1119" i="1"/>
  <c r="Q1110" i="1"/>
  <c r="R1110" i="1"/>
  <c r="Q988" i="1"/>
  <c r="R988" i="1"/>
  <c r="Q598" i="1"/>
  <c r="R598" i="1"/>
  <c r="R1193" i="1"/>
  <c r="R1183" i="1"/>
  <c r="R1173" i="1"/>
  <c r="R1163" i="1"/>
  <c r="R1089" i="1"/>
  <c r="R1075" i="1"/>
  <c r="R1061" i="1"/>
  <c r="R1050" i="1"/>
  <c r="R994" i="1"/>
  <c r="R962" i="1"/>
  <c r="R946" i="1"/>
  <c r="R930" i="1"/>
  <c r="R910" i="1"/>
  <c r="R889" i="1"/>
  <c r="R846" i="1"/>
  <c r="R825" i="1"/>
  <c r="R782" i="1"/>
  <c r="R761" i="1"/>
  <c r="R739" i="1"/>
  <c r="R716" i="1"/>
  <c r="R659" i="1"/>
  <c r="R609" i="1"/>
  <c r="R561" i="1"/>
  <c r="R513" i="1"/>
  <c r="R451" i="1"/>
  <c r="R395" i="1"/>
  <c r="R347" i="1"/>
  <c r="R291" i="1"/>
  <c r="R232" i="1"/>
  <c r="R184" i="1"/>
  <c r="R66" i="1"/>
  <c r="R24" i="1"/>
  <c r="R2" i="1"/>
  <c r="R247" i="1" l="1"/>
  <c r="R465" i="1"/>
  <c r="Q245" i="1"/>
  <c r="R520" i="1"/>
  <c r="Q198" i="1"/>
  <c r="Q478" i="1"/>
  <c r="Q191" i="1"/>
  <c r="R457" i="1"/>
  <c r="R501" i="1"/>
  <c r="R566" i="1"/>
  <c r="R228" i="1"/>
  <c r="R20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1771F5-7C83-4E37-8118-E44CB56F1EB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22F063-78AA-4AC3-A849-D3842E7F818E}" name="WorksheetConnection_Employee_Master!$A$1:$Z$12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mployee_MasterA1Z120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<sst xmlns="http://schemas.openxmlformats.org/spreadsheetml/2006/main" count="16056" uniqueCount="1436">
  <si>
    <t>Employee_ID</t>
  </si>
  <si>
    <t>Region</t>
  </si>
  <si>
    <t>Country</t>
  </si>
  <si>
    <t>Division</t>
  </si>
  <si>
    <t>Function</t>
  </si>
  <si>
    <t>Cost_Center</t>
  </si>
  <si>
    <t>Job_Level</t>
  </si>
  <si>
    <t>Manager_ID</t>
  </si>
  <si>
    <t>Layer</t>
  </si>
  <si>
    <t>Employment_Type (FTE/Contractor)</t>
  </si>
  <si>
    <t>Hire_Date</t>
  </si>
  <si>
    <t>Termination_Date</t>
  </si>
  <si>
    <t>Termination_Type</t>
  </si>
  <si>
    <t>Status (Active/Inactive)</t>
  </si>
  <si>
    <t>Performance_Ratin</t>
  </si>
  <si>
    <t>Critical_Role</t>
  </si>
  <si>
    <t>Succession_Ready</t>
  </si>
  <si>
    <t>Engagement_Score</t>
  </si>
  <si>
    <t>Burnout_Risk</t>
  </si>
  <si>
    <t>Base_Salary</t>
  </si>
  <si>
    <t>Bonus_%</t>
  </si>
  <si>
    <t>Total_Compensation</t>
  </si>
  <si>
    <t/>
  </si>
  <si>
    <t>Voluntary</t>
  </si>
  <si>
    <t>Involuntary</t>
  </si>
  <si>
    <t>Tenure_Years</t>
  </si>
  <si>
    <t>IT</t>
  </si>
  <si>
    <t>C</t>
  </si>
  <si>
    <t>FTE</t>
  </si>
  <si>
    <t>Active</t>
  </si>
  <si>
    <t>Technology</t>
  </si>
  <si>
    <t>CC-IT-252</t>
  </si>
  <si>
    <t>Finance</t>
  </si>
  <si>
    <t>Controlling</t>
  </si>
  <si>
    <t>CC-Fin-732</t>
  </si>
  <si>
    <t>HR</t>
  </si>
  <si>
    <t>People Operations</t>
  </si>
  <si>
    <t>CC-HR-368</t>
  </si>
  <si>
    <t>Supply Chain</t>
  </si>
  <si>
    <t>Logistics</t>
  </si>
  <si>
    <t>CC-Sup-984</t>
  </si>
  <si>
    <t>Operations</t>
  </si>
  <si>
    <t>Manufacturing</t>
  </si>
  <si>
    <t>CC-Ope-593</t>
  </si>
  <si>
    <t>Sales</t>
  </si>
  <si>
    <t>VP</t>
  </si>
  <si>
    <t>EMP0002</t>
  </si>
  <si>
    <t>Commercial</t>
  </si>
  <si>
    <t>CC-Sal-566</t>
  </si>
  <si>
    <t>EMP0005</t>
  </si>
  <si>
    <t>CC-IT-954</t>
  </si>
  <si>
    <t>CC-Fin-376</t>
  </si>
  <si>
    <t>EMP0003</t>
  </si>
  <si>
    <t>Contractor</t>
  </si>
  <si>
    <t>CC-HR-611</t>
  </si>
  <si>
    <t>CC-Sup-596</t>
  </si>
  <si>
    <t>EMP0004</t>
  </si>
  <si>
    <t>Inactive</t>
  </si>
  <si>
    <t>CC-Ope-707</t>
  </si>
  <si>
    <t>CC-Sal-458</t>
  </si>
  <si>
    <t>EMP0001</t>
  </si>
  <si>
    <t>CC-IT-403</t>
  </si>
  <si>
    <t>CC-Fin-928</t>
  </si>
  <si>
    <t>CC-HR-159</t>
  </si>
  <si>
    <t>CC-Sup-590</t>
  </si>
  <si>
    <t>CC-Ope-552</t>
  </si>
  <si>
    <t>CC-Sal-664</t>
  </si>
  <si>
    <t>CC-IT-415</t>
  </si>
  <si>
    <t>CC-Fin-979</t>
  </si>
  <si>
    <t>Director</t>
  </si>
  <si>
    <t>EMP009</t>
  </si>
  <si>
    <t>CC-HR-113</t>
  </si>
  <si>
    <t>EMP007</t>
  </si>
  <si>
    <t>CC-Sup-814</t>
  </si>
  <si>
    <t>EMP0013</t>
  </si>
  <si>
    <t>CC-Ope-358</t>
  </si>
  <si>
    <t>EMP0018</t>
  </si>
  <si>
    <t>CC-Sal-439</t>
  </si>
  <si>
    <t>CC-IT-632</t>
  </si>
  <si>
    <t>EMP0014</t>
  </si>
  <si>
    <t>CC-Fin-212</t>
  </si>
  <si>
    <t>EMP0012</t>
  </si>
  <si>
    <t>CC-HR-800</t>
  </si>
  <si>
    <t>CC-Sup-559</t>
  </si>
  <si>
    <t>EMP008</t>
  </si>
  <si>
    <t>CC-Ope-441</t>
  </si>
  <si>
    <t>EMP0016</t>
  </si>
  <si>
    <t>CC-Sal-336</t>
  </si>
  <si>
    <t>EMP0010</t>
  </si>
  <si>
    <t>CC-IT-449</t>
  </si>
  <si>
    <t>CC-Fin-576</t>
  </si>
  <si>
    <t>EMP0020</t>
  </si>
  <si>
    <t>CC-HR-552</t>
  </si>
  <si>
    <t>CC-Sup-520</t>
  </si>
  <si>
    <t>EMP0011</t>
  </si>
  <si>
    <t>CC-Ope-220</t>
  </si>
  <si>
    <t>CC-Sal-459</t>
  </si>
  <si>
    <t>CC-IT-334</t>
  </si>
  <si>
    <t>EMP0015</t>
  </si>
  <si>
    <t>CC-Fin-480</t>
  </si>
  <si>
    <t>CC-HR-931</t>
  </si>
  <si>
    <t>EMP0017</t>
  </si>
  <si>
    <t>CC-Sup-958</t>
  </si>
  <si>
    <t>CC-Ope-272</t>
  </si>
  <si>
    <t>CC-Sal-253</t>
  </si>
  <si>
    <t>CC-IT-834</t>
  </si>
  <si>
    <t>CC-Fin-719</t>
  </si>
  <si>
    <t>CC-HR-641</t>
  </si>
  <si>
    <t>CC-Sup-860</t>
  </si>
  <si>
    <t>CC-Ope-570</t>
  </si>
  <si>
    <t>CC-Sal-982</t>
  </si>
  <si>
    <t>CC-IT-541</t>
  </si>
  <si>
    <t>CC-Fin-823</t>
  </si>
  <si>
    <t>CC-HR-484</t>
  </si>
  <si>
    <t>CC-Sup-940</t>
  </si>
  <si>
    <t>CC-Ope-652</t>
  </si>
  <si>
    <t>CC-Sal-161</t>
  </si>
  <si>
    <t>CC-IT-363</t>
  </si>
  <si>
    <t>EMP006</t>
  </si>
  <si>
    <t>CC-Fin-144</t>
  </si>
  <si>
    <t>CC-HR-438</t>
  </si>
  <si>
    <t>CC-Sup-664</t>
  </si>
  <si>
    <t>CC-Ope-118</t>
  </si>
  <si>
    <t>CC-Sal-770</t>
  </si>
  <si>
    <t>CC-IT-167</t>
  </si>
  <si>
    <t>CC-Fin-339</t>
  </si>
  <si>
    <t>EMP0019</t>
  </si>
  <si>
    <t>CC-HR-630</t>
  </si>
  <si>
    <t>CC-Sup-491</t>
  </si>
  <si>
    <t>CC-Ope-829</t>
  </si>
  <si>
    <t>CC-Sal-712</t>
  </si>
  <si>
    <t>CC-IT-586</t>
  </si>
  <si>
    <t>CC-Fin-589</t>
  </si>
  <si>
    <t>CC-HR-744</t>
  </si>
  <si>
    <t>CC-Sup-684</t>
  </si>
  <si>
    <t>CC-Ope-551</t>
  </si>
  <si>
    <t>CC-Sal-786</t>
  </si>
  <si>
    <t>CC-IT-898</t>
  </si>
  <si>
    <t>CC-Fin-438</t>
  </si>
  <si>
    <t>CC-HR-279</t>
  </si>
  <si>
    <t>CC-Sup-235</t>
  </si>
  <si>
    <t>CC-Ope-390</t>
  </si>
  <si>
    <t>CC-Sal-141</t>
  </si>
  <si>
    <t>CC-IT-344</t>
  </si>
  <si>
    <t>CC-Fin-134</t>
  </si>
  <si>
    <t>Manager</t>
  </si>
  <si>
    <t>EMP026</t>
  </si>
  <si>
    <t>CC-HR-135</t>
  </si>
  <si>
    <t>EMP054</t>
  </si>
  <si>
    <t>CC-Sup-789</t>
  </si>
  <si>
    <t>EMP031</t>
  </si>
  <si>
    <t>CC-Ope-577</t>
  </si>
  <si>
    <t>EMP062</t>
  </si>
  <si>
    <t>CC-Sal-719</t>
  </si>
  <si>
    <t>EMP078</t>
  </si>
  <si>
    <t>CC-IT-135</t>
  </si>
  <si>
    <t>EMP060</t>
  </si>
  <si>
    <t>CC-Fin-471</t>
  </si>
  <si>
    <t>EMP039</t>
  </si>
  <si>
    <t>CC-HR-802</t>
  </si>
  <si>
    <t>EMP063</t>
  </si>
  <si>
    <t>CC-Sup-732</t>
  </si>
  <si>
    <t>EMP042</t>
  </si>
  <si>
    <t>CC-Ope-331</t>
  </si>
  <si>
    <t>CC-Sal-645</t>
  </si>
  <si>
    <t>CC-IT-647</t>
  </si>
  <si>
    <t>EMP077</t>
  </si>
  <si>
    <t>CC-Fin-865</t>
  </si>
  <si>
    <t>EMP027</t>
  </si>
  <si>
    <t>CC-HR-575</t>
  </si>
  <si>
    <t>EMP057</t>
  </si>
  <si>
    <t>CC-Sup-360</t>
  </si>
  <si>
    <t>EMP044</t>
  </si>
  <si>
    <t>CC-Ope-557</t>
  </si>
  <si>
    <t>EMP025</t>
  </si>
  <si>
    <t>CC-Sal-641</t>
  </si>
  <si>
    <t>EMP074</t>
  </si>
  <si>
    <t>CC-IT-950</t>
  </si>
  <si>
    <t>EMP066</t>
  </si>
  <si>
    <t>CC-Fin-629</t>
  </si>
  <si>
    <t>CC-HR-915</t>
  </si>
  <si>
    <t>EMP052</t>
  </si>
  <si>
    <t>EMP021</t>
  </si>
  <si>
    <t>CC-Ope-585</t>
  </si>
  <si>
    <t>CC-Sal-328</t>
  </si>
  <si>
    <t>EMP079</t>
  </si>
  <si>
    <t>CC-IT-439</t>
  </si>
  <si>
    <t>CC-Fin-349</t>
  </si>
  <si>
    <t>EMP061</t>
  </si>
  <si>
    <t>CC-HR-396</t>
  </si>
  <si>
    <t>EMP055</t>
  </si>
  <si>
    <t>CC-Sup-587</t>
  </si>
  <si>
    <t>EMP041</t>
  </si>
  <si>
    <t>CC-Ope-599</t>
  </si>
  <si>
    <t>EMP023</t>
  </si>
  <si>
    <t>CC-Sal-685</t>
  </si>
  <si>
    <t>EMP032</t>
  </si>
  <si>
    <t>CC-IT-254</t>
  </si>
  <si>
    <t>EMP072</t>
  </si>
  <si>
    <t>CC-Fin-660</t>
  </si>
  <si>
    <t>CC-HR-181</t>
  </si>
  <si>
    <t>EMP053</t>
  </si>
  <si>
    <t>CC-Sup-348</t>
  </si>
  <si>
    <t>EMP056</t>
  </si>
  <si>
    <t>CC-Ope-290</t>
  </si>
  <si>
    <t>EMP064</t>
  </si>
  <si>
    <t>CC-Sal-514</t>
  </si>
  <si>
    <t>CC-IT-737</t>
  </si>
  <si>
    <t>EMP036</t>
  </si>
  <si>
    <t>CC-Fin-763</t>
  </si>
  <si>
    <t>CC-HR-847</t>
  </si>
  <si>
    <t>CC-Sup-722</t>
  </si>
  <si>
    <t>EMP069</t>
  </si>
  <si>
    <t>CC-Ope-198</t>
  </si>
  <si>
    <t>CC-Sal-111</t>
  </si>
  <si>
    <t>CC-IT-560</t>
  </si>
  <si>
    <t>EMP028</t>
  </si>
  <si>
    <t>CC-Fin-606</t>
  </si>
  <si>
    <t>CC-HR-981</t>
  </si>
  <si>
    <t>EMP037</t>
  </si>
  <si>
    <t>CC-Sup-796</t>
  </si>
  <si>
    <t>CC-Ope-919</t>
  </si>
  <si>
    <t>CC-Sal-953</t>
  </si>
  <si>
    <t>CC-IT-432</t>
  </si>
  <si>
    <t>CC-Fin-360</t>
  </si>
  <si>
    <t>EMP071</t>
  </si>
  <si>
    <t>CC-HR-259</t>
  </si>
  <si>
    <t>CC-Sup-468</t>
  </si>
  <si>
    <t>EMP029</t>
  </si>
  <si>
    <t>CC-Ope-840</t>
  </si>
  <si>
    <t>CC-Sal-426</t>
  </si>
  <si>
    <t>CC-IT-345</t>
  </si>
  <si>
    <t>EMP073</t>
  </si>
  <si>
    <t>CC-Fin-849</t>
  </si>
  <si>
    <t>CC-HR-543</t>
  </si>
  <si>
    <t>CC-Sup-507</t>
  </si>
  <si>
    <t>EMP067</t>
  </si>
  <si>
    <t>CC-Ope-713</t>
  </si>
  <si>
    <t>CC-Sal-709</t>
  </si>
  <si>
    <t>CC-IT-427</t>
  </si>
  <si>
    <t>CC-Fin-659</t>
  </si>
  <si>
    <t>CC-HR-759</t>
  </si>
  <si>
    <t>CC-Sup-585</t>
  </si>
  <si>
    <t>CC-Ope-260</t>
  </si>
  <si>
    <t>EMP024</t>
  </si>
  <si>
    <t>CC-Sal-135</t>
  </si>
  <si>
    <t>CC-IT-383</t>
  </si>
  <si>
    <t>EMP035</t>
  </si>
  <si>
    <t>CC-Fin-215</t>
  </si>
  <si>
    <t>EMP068</t>
  </si>
  <si>
    <t>CC-HR-844</t>
  </si>
  <si>
    <t>CC-Sup-280</t>
  </si>
  <si>
    <t>CC-Ope-623</t>
  </si>
  <si>
    <t>CC-Sal-867</t>
  </si>
  <si>
    <t>CC-IT-941</t>
  </si>
  <si>
    <t>EMP043</t>
  </si>
  <si>
    <t>CC-Fin-674</t>
  </si>
  <si>
    <t>CC-HR-805</t>
  </si>
  <si>
    <t>CC-Sup-903</t>
  </si>
  <si>
    <t>CC-Ope-987</t>
  </si>
  <si>
    <t>CC-Sal-931</t>
  </si>
  <si>
    <t>EMP030</t>
  </si>
  <si>
    <t>CC-IT-329</t>
  </si>
  <si>
    <t>EMP022</t>
  </si>
  <si>
    <t>CC-HR-839</t>
  </si>
  <si>
    <t>CC-Sup-865</t>
  </si>
  <si>
    <t>CC-Ope-200</t>
  </si>
  <si>
    <t>CC-Sal-670</t>
  </si>
  <si>
    <t>CC-IT-170</t>
  </si>
  <si>
    <t>CC-Fin-777</t>
  </si>
  <si>
    <t>CC-HR-325</t>
  </si>
  <si>
    <t>EMP047</t>
  </si>
  <si>
    <t>CC-Sup-548</t>
  </si>
  <si>
    <t>EMP076</t>
  </si>
  <si>
    <t>CC-Ope-464</t>
  </si>
  <si>
    <t>EMP058</t>
  </si>
  <si>
    <t>CC-Sal-227</t>
  </si>
  <si>
    <t>CC-IT-525</t>
  </si>
  <si>
    <t>EMP065</t>
  </si>
  <si>
    <t>CC-Fin-177</t>
  </si>
  <si>
    <t>CC-HR-842</t>
  </si>
  <si>
    <t>CC-Sup-125</t>
  </si>
  <si>
    <t>EMP050</t>
  </si>
  <si>
    <t>EMP080</t>
  </si>
  <si>
    <t>CC-Sal-454</t>
  </si>
  <si>
    <t>CC-IT-780</t>
  </si>
  <si>
    <t>CC-Fin-957</t>
  </si>
  <si>
    <t>CC-HR-487</t>
  </si>
  <si>
    <t>CC-Sup-727</t>
  </si>
  <si>
    <t>CC-Ope-981</t>
  </si>
  <si>
    <t>CC-Sal-726</t>
  </si>
  <si>
    <t>CC-IT-627</t>
  </si>
  <si>
    <t>CC-Fin-845</t>
  </si>
  <si>
    <t>CC-HR-656</t>
  </si>
  <si>
    <t>CC-Sup-971</t>
  </si>
  <si>
    <t>CC-Ope-241</t>
  </si>
  <si>
    <t>EMP051</t>
  </si>
  <si>
    <t>CC-Sal-979</t>
  </si>
  <si>
    <t>CC-IT-709</t>
  </si>
  <si>
    <t>CC-Fin-851</t>
  </si>
  <si>
    <t>CC-HR-415</t>
  </si>
  <si>
    <t>CC-Sup-129</t>
  </si>
  <si>
    <t>CC-Ope-531</t>
  </si>
  <si>
    <t>EMP048</t>
  </si>
  <si>
    <t>CC-Sal-389</t>
  </si>
  <si>
    <t>CC-IT-955</t>
  </si>
  <si>
    <t>EMP040</t>
  </si>
  <si>
    <t>CC-Fin-940</t>
  </si>
  <si>
    <t>CC-HR-450</t>
  </si>
  <si>
    <t>EMP045</t>
  </si>
  <si>
    <t>CC-Sup-190</t>
  </si>
  <si>
    <t>CC-Ope-238</t>
  </si>
  <si>
    <t>EMP046</t>
  </si>
  <si>
    <t>CC-Sal-134</t>
  </si>
  <si>
    <t>CC-IT-207</t>
  </si>
  <si>
    <t>CC-Fin-858</t>
  </si>
  <si>
    <t>CC-HR-501</t>
  </si>
  <si>
    <t>CC-Sup-904</t>
  </si>
  <si>
    <t>EMP075</t>
  </si>
  <si>
    <t>CC-Ope-196</t>
  </si>
  <si>
    <t>CC-Sal-936</t>
  </si>
  <si>
    <t>CC-IT-395</t>
  </si>
  <si>
    <t>CC-Fin-886</t>
  </si>
  <si>
    <t>CC-HR-616</t>
  </si>
  <si>
    <t>EMP059</t>
  </si>
  <si>
    <t>CC-Sup-223</t>
  </si>
  <si>
    <t>CC-Ope-399</t>
  </si>
  <si>
    <t>CC-Sal-567</t>
  </si>
  <si>
    <t>CC-IT-328</t>
  </si>
  <si>
    <t>CC-Fin-747</t>
  </si>
  <si>
    <t>CC-HR-635</t>
  </si>
  <si>
    <t>CC-Sup-622</t>
  </si>
  <si>
    <t>EMP070</t>
  </si>
  <si>
    <t>CC-Ope-815</t>
  </si>
  <si>
    <t>CC-Sal-169</t>
  </si>
  <si>
    <t>CC-IT-808</t>
  </si>
  <si>
    <t>CC-Fin-255</t>
  </si>
  <si>
    <t>CC-HR-817</t>
  </si>
  <si>
    <t>CC-Sup-393</t>
  </si>
  <si>
    <t>CC-Ope-686</t>
  </si>
  <si>
    <t>CC-Sal-878</t>
  </si>
  <si>
    <t>CC-IT-630</t>
  </si>
  <si>
    <t>CC-Fin-560</t>
  </si>
  <si>
    <t>CC-Sup-819</t>
  </si>
  <si>
    <t>CC-Ope-620</t>
  </si>
  <si>
    <t>CC-Sal-314</t>
  </si>
  <si>
    <t>CC-IT-665</t>
  </si>
  <si>
    <t>EMP038</t>
  </si>
  <si>
    <t>CC-Fin-890</t>
  </si>
  <si>
    <t>CC-HR-261</t>
  </si>
  <si>
    <t>CC-Sup-540</t>
  </si>
  <si>
    <t>CC-Ope-122</t>
  </si>
  <si>
    <t>CC-Sal-449</t>
  </si>
  <si>
    <t>CC-IT-368</t>
  </si>
  <si>
    <t>CC-Fin-175</t>
  </si>
  <si>
    <t>CC-HR-151</t>
  </si>
  <si>
    <t>CC-Sup-182</t>
  </si>
  <si>
    <t>CC-Ope-516</t>
  </si>
  <si>
    <t>CC-Sal-903</t>
  </si>
  <si>
    <t>CC-IT-120</t>
  </si>
  <si>
    <t>CC-Fin-189</t>
  </si>
  <si>
    <t>EMP033</t>
  </si>
  <si>
    <t>CC-HR-231</t>
  </si>
  <si>
    <t>CC-Sup-547</t>
  </si>
  <si>
    <t>CC-Ope-675</t>
  </si>
  <si>
    <t>CC-Sal-144</t>
  </si>
  <si>
    <t>CC-IT-271</t>
  </si>
  <si>
    <t>CC-Fin-461</t>
  </si>
  <si>
    <t>CC-HR-821</t>
  </si>
  <si>
    <t>CC-Sup-978</t>
  </si>
  <si>
    <t>CC-Ope-178</t>
  </si>
  <si>
    <t>EMP049</t>
  </si>
  <si>
    <t>CC-Sal-184</t>
  </si>
  <si>
    <t>CC-IT-507</t>
  </si>
  <si>
    <t>CC-Fin-752</t>
  </si>
  <si>
    <t>CC-HR-655</t>
  </si>
  <si>
    <t>CC-Sup-221</t>
  </si>
  <si>
    <t>CC-Ope-249</t>
  </si>
  <si>
    <t>CC-IT-461</t>
  </si>
  <si>
    <t>CC-Fin-154</t>
  </si>
  <si>
    <t>IC</t>
  </si>
  <si>
    <t>EMP0114</t>
  </si>
  <si>
    <t>CC-HR-676</t>
  </si>
  <si>
    <t>EMP0173</t>
  </si>
  <si>
    <t>CC-Sup-499</t>
  </si>
  <si>
    <t>EMP0199</t>
  </si>
  <si>
    <t>CC-Ope-479</t>
  </si>
  <si>
    <t>EMP0087</t>
  </si>
  <si>
    <t>CC-Sal-202</t>
  </si>
  <si>
    <t>EMP0142</t>
  </si>
  <si>
    <t>CC-IT-375</t>
  </si>
  <si>
    <t>EMP0172</t>
  </si>
  <si>
    <t>CC-Fin-204</t>
  </si>
  <si>
    <t>EMP0168</t>
  </si>
  <si>
    <t>CC-HR-809</t>
  </si>
  <si>
    <t>EMP0121</t>
  </si>
  <si>
    <t>CC-Sup-715</t>
  </si>
  <si>
    <t>EMP0185</t>
  </si>
  <si>
    <t>CC-Ope-807</t>
  </si>
  <si>
    <t>EMP0193</t>
  </si>
  <si>
    <t>CC-Sal-410</t>
  </si>
  <si>
    <t>CC-IT-156</t>
  </si>
  <si>
    <t>EMP0119</t>
  </si>
  <si>
    <t>CC-Fin-599</t>
  </si>
  <si>
    <t>EMP0161</t>
  </si>
  <si>
    <t>CC-HR-731</t>
  </si>
  <si>
    <t>EMP0258</t>
  </si>
  <si>
    <t>CC-Sup-731</t>
  </si>
  <si>
    <t>EMP0081</t>
  </si>
  <si>
    <t>CC-Ope-859</t>
  </si>
  <si>
    <t>EMP0149</t>
  </si>
  <si>
    <t>CC-Sal-506</t>
  </si>
  <si>
    <t>EMP0115</t>
  </si>
  <si>
    <t>CC-IT-572</t>
  </si>
  <si>
    <t>EMP0178</t>
  </si>
  <si>
    <t>CC-Fin-444</t>
  </si>
  <si>
    <t>EMP0229</t>
  </si>
  <si>
    <t>CC-HR-935</t>
  </si>
  <si>
    <t>EMP0128</t>
  </si>
  <si>
    <t>CC-Sup-249</t>
  </si>
  <si>
    <t>EMP0118</t>
  </si>
  <si>
    <t>CC-Ope-778</t>
  </si>
  <si>
    <t>EMP0165</t>
  </si>
  <si>
    <t>CC-Sal-407</t>
  </si>
  <si>
    <t>EMP0166</t>
  </si>
  <si>
    <t>CC-IT-773</t>
  </si>
  <si>
    <t>EMP0111</t>
  </si>
  <si>
    <t>CC-Fin-980</t>
  </si>
  <si>
    <t>CC-HR-766</t>
  </si>
  <si>
    <t>EMP0132</t>
  </si>
  <si>
    <t>CC-Sup-539</t>
  </si>
  <si>
    <t>EMP0096</t>
  </si>
  <si>
    <t>CC-Ope-688</t>
  </si>
  <si>
    <t>CC-Sal-757</t>
  </si>
  <si>
    <t>EMP0206</t>
  </si>
  <si>
    <t>CC-IT-692</t>
  </si>
  <si>
    <t>EMP0148</t>
  </si>
  <si>
    <t>CC-Fin-881</t>
  </si>
  <si>
    <t>EMP0236</t>
  </si>
  <si>
    <t>CC-HR-905</t>
  </si>
  <si>
    <t>EMP0197</t>
  </si>
  <si>
    <t>CC-Sup-238</t>
  </si>
  <si>
    <t>EMP0089</t>
  </si>
  <si>
    <t>CC-Ope-266</t>
  </si>
  <si>
    <t>EMP0131</t>
  </si>
  <si>
    <t>CC-Sal-247</t>
  </si>
  <si>
    <t>CC-IT-282</t>
  </si>
  <si>
    <t>EMP0259</t>
  </si>
  <si>
    <t>CC-Fin-302</t>
  </si>
  <si>
    <t>CC-HR-572</t>
  </si>
  <si>
    <t>EMP0106</t>
  </si>
  <si>
    <t>CC-Sup-162</t>
  </si>
  <si>
    <t>EMP0224</t>
  </si>
  <si>
    <t>CC-Ope-379</t>
  </si>
  <si>
    <t>EMP0218</t>
  </si>
  <si>
    <t>CC-Sal-193</t>
  </si>
  <si>
    <t>EMP0253</t>
  </si>
  <si>
    <t>CC-IT-555</t>
  </si>
  <si>
    <t>EMP0147</t>
  </si>
  <si>
    <t>CC-Fin-202</t>
  </si>
  <si>
    <t>EMP0100</t>
  </si>
  <si>
    <t>CC-HR-880</t>
  </si>
  <si>
    <t>CC-Sup-478</t>
  </si>
  <si>
    <t>CC-Ope-415</t>
  </si>
  <si>
    <t>EMP0202</t>
  </si>
  <si>
    <t>CC-Sal-708</t>
  </si>
  <si>
    <t>EMP0198</t>
  </si>
  <si>
    <t>CC-IT-492</t>
  </si>
  <si>
    <t>EMP0211</t>
  </si>
  <si>
    <t>CC-Fin-151</t>
  </si>
  <si>
    <t>CC-HR-511</t>
  </si>
  <si>
    <t>EMP0176</t>
  </si>
  <si>
    <t>CC-Sup-232</t>
  </si>
  <si>
    <t>CC-Ope-264</t>
  </si>
  <si>
    <t>EMP0220</t>
  </si>
  <si>
    <t>CC-Sal-753</t>
  </si>
  <si>
    <t>EMP0164</t>
  </si>
  <si>
    <t>CC-IT-191</t>
  </si>
  <si>
    <t>CC-Fin-690</t>
  </si>
  <si>
    <t>EMP0094</t>
  </si>
  <si>
    <t>CC-HR-999</t>
  </si>
  <si>
    <t>CC-Sup-739</t>
  </si>
  <si>
    <t>EMP0105</t>
  </si>
  <si>
    <t>CC-Ope-454</t>
  </si>
  <si>
    <t>EMP0233</t>
  </si>
  <si>
    <t>CC-Sal-232</t>
  </si>
  <si>
    <t>EMP0182</t>
  </si>
  <si>
    <t>CC-IT-745</t>
  </si>
  <si>
    <t>EMP0239</t>
  </si>
  <si>
    <t>CC-Fin-515</t>
  </si>
  <si>
    <t>EMP0126</t>
  </si>
  <si>
    <t>CC-HR-100</t>
  </si>
  <si>
    <t>EMP0232</t>
  </si>
  <si>
    <t>CC-Sup-215</t>
  </si>
  <si>
    <t>CC-Ope-860</t>
  </si>
  <si>
    <t>EMP0136</t>
  </si>
  <si>
    <t>CC-Sal-841</t>
  </si>
  <si>
    <t>EMP0255</t>
  </si>
  <si>
    <t>CC-IT-337</t>
  </si>
  <si>
    <t>EMP0210</t>
  </si>
  <si>
    <t>CC-Fin-651</t>
  </si>
  <si>
    <t>EMP0097</t>
  </si>
  <si>
    <t>EMP0169</t>
  </si>
  <si>
    <t>CC-Sup-961</t>
  </si>
  <si>
    <t>EMP0140</t>
  </si>
  <si>
    <t>EMP0139</t>
  </si>
  <si>
    <t>EMP0122</t>
  </si>
  <si>
    <t>CC-Fin-470</t>
  </si>
  <si>
    <t>EMP0159</t>
  </si>
  <si>
    <t>CC-HR-508</t>
  </si>
  <si>
    <t>EMP0184</t>
  </si>
  <si>
    <t>CC-Sup-982</t>
  </si>
  <si>
    <t>EMP0110</t>
  </si>
  <si>
    <t>CC-Ope-253</t>
  </si>
  <si>
    <t>EMP0083</t>
  </si>
  <si>
    <t>CC-Sal-160</t>
  </si>
  <si>
    <t>CC-IT-912</t>
  </si>
  <si>
    <t>CC-Fin-840</t>
  </si>
  <si>
    <t>EMP0208</t>
  </si>
  <si>
    <t>CC-HR-853</t>
  </si>
  <si>
    <t>CC-Sup-952</t>
  </si>
  <si>
    <t>EMP0254</t>
  </si>
  <si>
    <t>EMP0150</t>
  </si>
  <si>
    <t>CC-Sal-122</t>
  </si>
  <si>
    <t>EMP0195</t>
  </si>
  <si>
    <t>CC-IT-460</t>
  </si>
  <si>
    <t>CC-Fin-346</t>
  </si>
  <si>
    <t>CC-HR-768</t>
  </si>
  <si>
    <t>CC-Sup-857</t>
  </si>
  <si>
    <t>CC-Ope-510</t>
  </si>
  <si>
    <t>CC-Sal-326</t>
  </si>
  <si>
    <t>EMP0095</t>
  </si>
  <si>
    <t>CC-IT-778</t>
  </si>
  <si>
    <t>CC-Fin-647</t>
  </si>
  <si>
    <t>CC-HR-472</t>
  </si>
  <si>
    <t>EMP0243</t>
  </si>
  <si>
    <t>CC-Sup-561</t>
  </si>
  <si>
    <t>CC-Ope-973</t>
  </si>
  <si>
    <t>CC-Sal-704</t>
  </si>
  <si>
    <t>CC-IT-139</t>
  </si>
  <si>
    <t>CC-Fin-187</t>
  </si>
  <si>
    <t>EMP0117</t>
  </si>
  <si>
    <t>CC-HR-436</t>
  </si>
  <si>
    <t>EMP0250</t>
  </si>
  <si>
    <t>CC-Sup-531</t>
  </si>
  <si>
    <t>EMP0214</t>
  </si>
  <si>
    <t>CC-Ope-197</t>
  </si>
  <si>
    <t>CC-Sal-201</t>
  </si>
  <si>
    <t>CC-IT-742</t>
  </si>
  <si>
    <t>CC-Fin-241</t>
  </si>
  <si>
    <t>CC-HR-449</t>
  </si>
  <si>
    <t>CC-Sup-508</t>
  </si>
  <si>
    <t>CC-Ope-955</t>
  </si>
  <si>
    <t>EMP0231</t>
  </si>
  <si>
    <t>CC-Sal-913</t>
  </si>
  <si>
    <t>CC-IT-348</t>
  </si>
  <si>
    <t>CC-Fin-959</t>
  </si>
  <si>
    <t>EMP0189</t>
  </si>
  <si>
    <t>CC-HR-326</t>
  </si>
  <si>
    <t>CC-Sup-279</t>
  </si>
  <si>
    <t>CC-Ope-485</t>
  </si>
  <si>
    <t>CC-Sal-208</t>
  </si>
  <si>
    <t>EMP0180</t>
  </si>
  <si>
    <t>CC-IT-623</t>
  </si>
  <si>
    <t>EMP0127</t>
  </si>
  <si>
    <t>CC-Fin-426</t>
  </si>
  <si>
    <t>EMP0103</t>
  </si>
  <si>
    <t>EMP0171</t>
  </si>
  <si>
    <t>CC-Sup-843</t>
  </si>
  <si>
    <t>CC-Ope-818</t>
  </si>
  <si>
    <t>EMP0230</t>
  </si>
  <si>
    <t>CC-Sal-812</t>
  </si>
  <si>
    <t>CC-IT-888</t>
  </si>
  <si>
    <t>EMP0203</t>
  </si>
  <si>
    <t>CC-Fin-310</t>
  </si>
  <si>
    <t>EMP0175</t>
  </si>
  <si>
    <t>CC-HR-596</t>
  </si>
  <si>
    <t>EMP0200</t>
  </si>
  <si>
    <t>CC-Sup-892</t>
  </si>
  <si>
    <t>EMP0188</t>
  </si>
  <si>
    <t>CC-Ope-643</t>
  </si>
  <si>
    <t>CC-Sal-579</t>
  </si>
  <si>
    <t>EMP0217</t>
  </si>
  <si>
    <t>CC-IT-610</t>
  </si>
  <si>
    <t>EMP0123</t>
  </si>
  <si>
    <t>CC-Fin-916</t>
  </si>
  <si>
    <t>CC-HR-364</t>
  </si>
  <si>
    <t>CC-Sup-753</t>
  </si>
  <si>
    <t>CC-Ope-301</t>
  </si>
  <si>
    <t>EMP0167</t>
  </si>
  <si>
    <t>CC-Sal-898</t>
  </si>
  <si>
    <t>EMP0120</t>
  </si>
  <si>
    <t>CC-IT-199</t>
  </si>
  <si>
    <t>CC-Fin-745</t>
  </si>
  <si>
    <t>CC-HR-689</t>
  </si>
  <si>
    <t>EMP0104</t>
  </si>
  <si>
    <t>CC-Sup-634</t>
  </si>
  <si>
    <t>CC-Ope-277</t>
  </si>
  <si>
    <t>EMP0153</t>
  </si>
  <si>
    <t>CC-Sal-722</t>
  </si>
  <si>
    <t>EMP0143</t>
  </si>
  <si>
    <t>CC-IT-989</t>
  </si>
  <si>
    <t>CC-Fin-505</t>
  </si>
  <si>
    <t>EMP0177</t>
  </si>
  <si>
    <t>CC-HR-719</t>
  </si>
  <si>
    <t>CC-Sup-678</t>
  </si>
  <si>
    <t>CC-Ope-458</t>
  </si>
  <si>
    <t>CC-IT-651</t>
  </si>
  <si>
    <t>CC-Fin-138</t>
  </si>
  <si>
    <t>EMP0205</t>
  </si>
  <si>
    <t>CC-HR-780</t>
  </si>
  <si>
    <t>EMP0085</t>
  </si>
  <si>
    <t>CC-Sup-581</t>
  </si>
  <si>
    <t>EMP0222</t>
  </si>
  <si>
    <t>CC-Ope-509</t>
  </si>
  <si>
    <t>CC-Sal-872</t>
  </si>
  <si>
    <t>CC-IT-717</t>
  </si>
  <si>
    <t>CC-Fin-397</t>
  </si>
  <si>
    <t>EMP0223</t>
  </si>
  <si>
    <t>CC-HR-559</t>
  </si>
  <si>
    <t>CC-Sup-787</t>
  </si>
  <si>
    <t>EMP0098</t>
  </si>
  <si>
    <t>CC-Ope-915</t>
  </si>
  <si>
    <t>EMP0109</t>
  </si>
  <si>
    <t>CC-Sal-939</t>
  </si>
  <si>
    <t>EMP0246</t>
  </si>
  <si>
    <t>CC-IT-866</t>
  </si>
  <si>
    <t>CC-Fin-807</t>
  </si>
  <si>
    <t>EMP0091</t>
  </si>
  <si>
    <t>CC-HR-435</t>
  </si>
  <si>
    <t>CC-Sup-475</t>
  </si>
  <si>
    <t>EMP0215</t>
  </si>
  <si>
    <t>CC-Ope-884</t>
  </si>
  <si>
    <t>CC-Sal-578</t>
  </si>
  <si>
    <t>CC-IT-173</t>
  </si>
  <si>
    <t>CC-Fin-873</t>
  </si>
  <si>
    <t>EMP0190</t>
  </si>
  <si>
    <t>CC-HR-468</t>
  </si>
  <si>
    <t>EMP0238</t>
  </si>
  <si>
    <t>CC-Sup-566</t>
  </si>
  <si>
    <t>CC-Ope-421</t>
  </si>
  <si>
    <t>CC-Sal-589</t>
  </si>
  <si>
    <t>EMP0249</t>
  </si>
  <si>
    <t>CC-IT-733</t>
  </si>
  <si>
    <t>CC-Fin-962</t>
  </si>
  <si>
    <t>CC-HR-687</t>
  </si>
  <si>
    <t>EMP0227</t>
  </si>
  <si>
    <t>CC-Sup-716</t>
  </si>
  <si>
    <t>EMP0228</t>
  </si>
  <si>
    <t>CC-Ope-237</t>
  </si>
  <si>
    <t>EMP0257</t>
  </si>
  <si>
    <t>CC-Sal-852</t>
  </si>
  <si>
    <t>CC-IT-532</t>
  </si>
  <si>
    <t>CC-Fin-961</t>
  </si>
  <si>
    <t>CC-HR-466</t>
  </si>
  <si>
    <t>EMP0204</t>
  </si>
  <si>
    <t>CC-Ope-724</t>
  </si>
  <si>
    <t>CC-Sal-570</t>
  </si>
  <si>
    <t>EMP0093</t>
  </si>
  <si>
    <t>CC-IT-864</t>
  </si>
  <si>
    <t>CC-Fin-529</t>
  </si>
  <si>
    <t>EMP0196</t>
  </si>
  <si>
    <t>CC-Sup-598</t>
  </si>
  <si>
    <t>EMP0130</t>
  </si>
  <si>
    <t>CC-Ope-152</t>
  </si>
  <si>
    <t>CC-Sal-214</t>
  </si>
  <si>
    <t>EMP0241</t>
  </si>
  <si>
    <t>CC-IT-441</t>
  </si>
  <si>
    <t>CC-HR-948</t>
  </si>
  <si>
    <t>EMP0107</t>
  </si>
  <si>
    <t>CC-Ope-182</t>
  </si>
  <si>
    <t>CC-Sal-397</t>
  </si>
  <si>
    <t>EMP0156</t>
  </si>
  <si>
    <t>CC-Fin-572</t>
  </si>
  <si>
    <t>CC-HR-884</t>
  </si>
  <si>
    <t>EMP0187</t>
  </si>
  <si>
    <t>CC-Sup-529</t>
  </si>
  <si>
    <t>CC-Ope-373</t>
  </si>
  <si>
    <t>CC-Sal-699</t>
  </si>
  <si>
    <t>CC-IT-686</t>
  </si>
  <si>
    <t>EMP0226</t>
  </si>
  <si>
    <t>CC-Fin-628</t>
  </si>
  <si>
    <t>CC-HR-461</t>
  </si>
  <si>
    <t>CC-Sup-425</t>
  </si>
  <si>
    <t>EMP0219</t>
  </si>
  <si>
    <t>CC-Sal-105</t>
  </si>
  <si>
    <t>CC-IT-594</t>
  </si>
  <si>
    <t>CC-Fin-756</t>
  </si>
  <si>
    <t>CC-Sup-838</t>
  </si>
  <si>
    <t>CC-Ope-895</t>
  </si>
  <si>
    <t>CC-Sal-904</t>
  </si>
  <si>
    <t>EMP0090</t>
  </si>
  <si>
    <t>CC-IT-404</t>
  </si>
  <si>
    <t>EMP0191</t>
  </si>
  <si>
    <t>CC-HR-276</t>
  </si>
  <si>
    <t>EMP0252</t>
  </si>
  <si>
    <t>CC-Sup-510</t>
  </si>
  <si>
    <t>CC-Ope-147</t>
  </si>
  <si>
    <t>EMP0192</t>
  </si>
  <si>
    <t>CC-Sal-876</t>
  </si>
  <si>
    <t>CC-IT-629</t>
  </si>
  <si>
    <t>CC-Fin-724</t>
  </si>
  <si>
    <t>EMP0157</t>
  </si>
  <si>
    <t>CC-HR-459</t>
  </si>
  <si>
    <t>CC-Sup-623</t>
  </si>
  <si>
    <t>CC-Ope-411</t>
  </si>
  <si>
    <t>EMP0235</t>
  </si>
  <si>
    <t>CC-Sal-293</t>
  </si>
  <si>
    <t>CC-IT-113</t>
  </si>
  <si>
    <t>EMP0186</t>
  </si>
  <si>
    <t>CC-Fin-601</t>
  </si>
  <si>
    <t>CC-HR-796</t>
  </si>
  <si>
    <t>CC-Sup-728</t>
  </si>
  <si>
    <t>EMP0116</t>
  </si>
  <si>
    <t>CC-Ope-770</t>
  </si>
  <si>
    <t>EMP0179</t>
  </si>
  <si>
    <t>CC-Sal-960</t>
  </si>
  <si>
    <t>CC-IT-533</t>
  </si>
  <si>
    <t>CC-Fin-828</t>
  </si>
  <si>
    <t>EMP0247</t>
  </si>
  <si>
    <t>CC-HR-271</t>
  </si>
  <si>
    <t>CC-Sup-767</t>
  </si>
  <si>
    <t>EMP0144</t>
  </si>
  <si>
    <t>CC-Ope-940</t>
  </si>
  <si>
    <t>CC-Sal-101</t>
  </si>
  <si>
    <t>CC-IT-595</t>
  </si>
  <si>
    <t>CC-Fin-124</t>
  </si>
  <si>
    <t>CC-HR-852</t>
  </si>
  <si>
    <t>CC-Sup-746</t>
  </si>
  <si>
    <t>CC-Ope-405</t>
  </si>
  <si>
    <t>CC-Sal-564</t>
  </si>
  <si>
    <t>CC-IT-863</t>
  </si>
  <si>
    <t>CC-Fin-481</t>
  </si>
  <si>
    <t>CC-HR-738</t>
  </si>
  <si>
    <t>CC-Sup-905</t>
  </si>
  <si>
    <t>CC-Ope-342</t>
  </si>
  <si>
    <t>EMP0129</t>
  </si>
  <si>
    <t>CC-Sal-609</t>
  </si>
  <si>
    <t>CC-IT-829</t>
  </si>
  <si>
    <t>CC-Fin-145</t>
  </si>
  <si>
    <t>EMP0152</t>
  </si>
  <si>
    <t>CC-Sup-447</t>
  </si>
  <si>
    <t>CC-Ope-352</t>
  </si>
  <si>
    <t>CC-Sal-604</t>
  </si>
  <si>
    <t>CC-IT-124</t>
  </si>
  <si>
    <t>CC-Fin-861</t>
  </si>
  <si>
    <t>CC-HR-399</t>
  </si>
  <si>
    <t>CC-Sup-934</t>
  </si>
  <si>
    <t>CC-Sal-563</t>
  </si>
  <si>
    <t>EMP0225</t>
  </si>
  <si>
    <t>CC-IT-937</t>
  </si>
  <si>
    <t>CC-Fin-463</t>
  </si>
  <si>
    <t>EMP0209</t>
  </si>
  <si>
    <t>CC-HR-537</t>
  </si>
  <si>
    <t>EMP0101</t>
  </si>
  <si>
    <t>CC-Sup-987</t>
  </si>
  <si>
    <t>CC-Ope-977</t>
  </si>
  <si>
    <t>CC-Sal-236</t>
  </si>
  <si>
    <t>CC-IT-200</t>
  </si>
  <si>
    <t>EMP0237</t>
  </si>
  <si>
    <t>CC-Fin-602</t>
  </si>
  <si>
    <t>EMP0183</t>
  </si>
  <si>
    <t>CC-HR-784</t>
  </si>
  <si>
    <t>CC-Sup-579</t>
  </si>
  <si>
    <t>CC-Ope-639</t>
  </si>
  <si>
    <t>CC-Sal-471</t>
  </si>
  <si>
    <t>CC-IT-687</t>
  </si>
  <si>
    <t>CC-Fin-157</t>
  </si>
  <si>
    <t>CC-HR-924</t>
  </si>
  <si>
    <t>CC-Sup-356</t>
  </si>
  <si>
    <t>EMP0251</t>
  </si>
  <si>
    <t>CC-Ope-215</t>
  </si>
  <si>
    <t>EMP0124</t>
  </si>
  <si>
    <t>CC-Sal-217</t>
  </si>
  <si>
    <t>CC-IT-239</t>
  </si>
  <si>
    <t>CC-Fin-377</t>
  </si>
  <si>
    <t>CC-HR-911</t>
  </si>
  <si>
    <t>EMP0092</t>
  </si>
  <si>
    <t>CC-Ope-300</t>
  </si>
  <si>
    <t>CC-Sal-725</t>
  </si>
  <si>
    <t>CC-IT-821</t>
  </si>
  <si>
    <t>CC-Fin-925</t>
  </si>
  <si>
    <t>EMP0170</t>
  </si>
  <si>
    <t>CC-HR-375</t>
  </si>
  <si>
    <t>EMP0137</t>
  </si>
  <si>
    <t>CC-Sup-914</t>
  </si>
  <si>
    <t>EMP0181</t>
  </si>
  <si>
    <t>CC-Ope-127</t>
  </si>
  <si>
    <t>CC-Sal-691</t>
  </si>
  <si>
    <t>CC-IT-340</t>
  </si>
  <si>
    <t>EMP0151</t>
  </si>
  <si>
    <t>CC-Fin-192</t>
  </si>
  <si>
    <t>CC-HR-996</t>
  </si>
  <si>
    <t>CC-Sup-577</t>
  </si>
  <si>
    <t>EMP0242</t>
  </si>
  <si>
    <t>CC-Ope-779</t>
  </si>
  <si>
    <t>CC-Sal-700</t>
  </si>
  <si>
    <t>CC-IT-249</t>
  </si>
  <si>
    <t>EMP0245</t>
  </si>
  <si>
    <t>CC-Fin-626</t>
  </si>
  <si>
    <t>CC-HR-573</t>
  </si>
  <si>
    <t>CC-Sup-571</t>
  </si>
  <si>
    <t>CC-Ope-225</t>
  </si>
  <si>
    <t>EMP0160</t>
  </si>
  <si>
    <t>CC-Sal-162</t>
  </si>
  <si>
    <t>CC-IT-699</t>
  </si>
  <si>
    <t>CC-Fin-445</t>
  </si>
  <si>
    <t>EMP0135</t>
  </si>
  <si>
    <t>CC-HR-591</t>
  </si>
  <si>
    <t>CC-Sup-639</t>
  </si>
  <si>
    <t>CC-Ope-389</t>
  </si>
  <si>
    <t>EMP0154</t>
  </si>
  <si>
    <t>CC-IT-240</t>
  </si>
  <si>
    <t>CC-Fin-359</t>
  </si>
  <si>
    <t>CC-HR-607</t>
  </si>
  <si>
    <t>CC-Ope-475</t>
  </si>
  <si>
    <t>CC-Sal-777</t>
  </si>
  <si>
    <t>CC-IT-501</t>
  </si>
  <si>
    <t>CC-Fin-958</t>
  </si>
  <si>
    <t>CC-HR-238</t>
  </si>
  <si>
    <t>EMP0141</t>
  </si>
  <si>
    <t>CC-Sup-935</t>
  </si>
  <si>
    <t>CC-Ope-640</t>
  </si>
  <si>
    <t>EMP0113</t>
  </si>
  <si>
    <t>CC-Sal-305</t>
  </si>
  <si>
    <t>CC-IT-992</t>
  </si>
  <si>
    <t>CC-Fin-519</t>
  </si>
  <si>
    <t>CC-HR-670</t>
  </si>
  <si>
    <t>EMP0146</t>
  </si>
  <si>
    <t>CC-Sup-994</t>
  </si>
  <si>
    <t>CC-Ope-489</t>
  </si>
  <si>
    <t>CC-Sal-922</t>
  </si>
  <si>
    <t>CC-IT-684</t>
  </si>
  <si>
    <t>CC-Fin-646</t>
  </si>
  <si>
    <t>CC-HR-574</t>
  </si>
  <si>
    <t>CC-Sup-535</t>
  </si>
  <si>
    <t>CC-Ope-167</t>
  </si>
  <si>
    <t>CC-Sal-683</t>
  </si>
  <si>
    <t>CC-IT-346</t>
  </si>
  <si>
    <t>EMP0207</t>
  </si>
  <si>
    <t>CC-Fin-749</t>
  </si>
  <si>
    <t>CC-HR-741</t>
  </si>
  <si>
    <t>CC-Ope-803</t>
  </si>
  <si>
    <t>CC-Sal-850</t>
  </si>
  <si>
    <t>CC-IT-932</t>
  </si>
  <si>
    <t>EMP0216</t>
  </si>
  <si>
    <t>CC-Fin-656</t>
  </si>
  <si>
    <t>CC-HR-234</t>
  </si>
  <si>
    <t>CC-Ope-913</t>
  </si>
  <si>
    <t>CC-Sal-639</t>
  </si>
  <si>
    <t>CC-IT-569</t>
  </si>
  <si>
    <t>EMP0174</t>
  </si>
  <si>
    <t>CC-Fin-153</t>
  </si>
  <si>
    <t>CC-HR-816</t>
  </si>
  <si>
    <t>EMP0260</t>
  </si>
  <si>
    <t>CC-Sup-438</t>
  </si>
  <si>
    <t>CC-Ope-125</t>
  </si>
  <si>
    <t>CC-Sal-775</t>
  </si>
  <si>
    <t>CC-IT-372</t>
  </si>
  <si>
    <t>CC-Fin-684</t>
  </si>
  <si>
    <t>CC-HR-869</t>
  </si>
  <si>
    <t>EMP0256</t>
  </si>
  <si>
    <t>CC-Sup-588</t>
  </si>
  <si>
    <t>CC-Ope-467</t>
  </si>
  <si>
    <t>CC-IT-136</t>
  </si>
  <si>
    <t>EMP0234</t>
  </si>
  <si>
    <t>CC-Fin-931</t>
  </si>
  <si>
    <t>CC-HR-982</t>
  </si>
  <si>
    <t>CC-Sup-518</t>
  </si>
  <si>
    <t>CC-Ope-548</t>
  </si>
  <si>
    <t>CC-Sal-543</t>
  </si>
  <si>
    <t>CC-IT-544</t>
  </si>
  <si>
    <t>CC-Fin-453</t>
  </si>
  <si>
    <t>CC-HR-979</t>
  </si>
  <si>
    <t>CC-Sup-737</t>
  </si>
  <si>
    <t>CC-IT-142</t>
  </si>
  <si>
    <t>CC-Fin-675</t>
  </si>
  <si>
    <t>CC-HR-480</t>
  </si>
  <si>
    <t>CC-Sup-160</t>
  </si>
  <si>
    <t>CC-Sal-984</t>
  </si>
  <si>
    <t>CC-IT-800</t>
  </si>
  <si>
    <t>CC-Fin-537</t>
  </si>
  <si>
    <t>CC-HR-615</t>
  </si>
  <si>
    <t>CC-Ope-916</t>
  </si>
  <si>
    <t>CC-Sal-425</t>
  </si>
  <si>
    <t>CC-IT-553</t>
  </si>
  <si>
    <t>CC-Fin-101</t>
  </si>
  <si>
    <t>CC-HR-777</t>
  </si>
  <si>
    <t>CC-Ope-582</t>
  </si>
  <si>
    <t>CC-Sal-108</t>
  </si>
  <si>
    <t>CC-IT-321</t>
  </si>
  <si>
    <t>CC-Fin-874</t>
  </si>
  <si>
    <t>CC-HR-348</t>
  </si>
  <si>
    <t>CC-Sup-320</t>
  </si>
  <si>
    <t>CC-Ope-655</t>
  </si>
  <si>
    <t>EMP0221</t>
  </si>
  <si>
    <t>CC-Sal-263</t>
  </si>
  <si>
    <t>CC-IT-857</t>
  </si>
  <si>
    <t>CC-HR-772</t>
  </si>
  <si>
    <t>EMP0102</t>
  </si>
  <si>
    <t>CC-Sup-485</t>
  </si>
  <si>
    <t>CC-Ope-855</t>
  </si>
  <si>
    <t>CC-Sal-417</t>
  </si>
  <si>
    <t>CC-IT-754</t>
  </si>
  <si>
    <t>EMP0201</t>
  </si>
  <si>
    <t>CC-Fin-995</t>
  </si>
  <si>
    <t>CC-HR-180</t>
  </si>
  <si>
    <t>CC-Sup-962</t>
  </si>
  <si>
    <t>CC-Ope-753</t>
  </si>
  <si>
    <t>CC-Sal-684</t>
  </si>
  <si>
    <t>CC-IT-111</t>
  </si>
  <si>
    <t>CC-Fin-355</t>
  </si>
  <si>
    <t>CC-HR-107</t>
  </si>
  <si>
    <t>EMP0099</t>
  </si>
  <si>
    <t>CC-Sup-466</t>
  </si>
  <si>
    <t>CC-Ope-693</t>
  </si>
  <si>
    <t>CC-Sal-854</t>
  </si>
  <si>
    <t>EMP0162</t>
  </si>
  <si>
    <t>CC-Fin-954</t>
  </si>
  <si>
    <t>CC-HR-246</t>
  </si>
  <si>
    <t>CC-Sup-604</t>
  </si>
  <si>
    <t>CC-Sal-669</t>
  </si>
  <si>
    <t>CC-IT-605</t>
  </si>
  <si>
    <t>CC-Fin-277</t>
  </si>
  <si>
    <t>CC-HR-782</t>
  </si>
  <si>
    <t>CC-Sup-363</t>
  </si>
  <si>
    <t>CC-Ope-788</t>
  </si>
  <si>
    <t>CC-Sal-300</t>
  </si>
  <si>
    <t>CC-IT-732</t>
  </si>
  <si>
    <t>CC-Fin-500</t>
  </si>
  <si>
    <t>CC-HR-282</t>
  </si>
  <si>
    <t>EMP0134</t>
  </si>
  <si>
    <t>CC-Sup-679</t>
  </si>
  <si>
    <t>EMP0158</t>
  </si>
  <si>
    <t>CC-Ope-124</t>
  </si>
  <si>
    <t>CC-Sal-663</t>
  </si>
  <si>
    <t>CC-IT-327</t>
  </si>
  <si>
    <t>CC-HR-144</t>
  </si>
  <si>
    <t>CC-Sup-922</t>
  </si>
  <si>
    <t>CC-Ope-117</t>
  </si>
  <si>
    <t>CC-Sal-213</t>
  </si>
  <si>
    <t>CC-Fin-336</t>
  </si>
  <si>
    <t>CC-Sup-399</t>
  </si>
  <si>
    <t>CC-Ope-725</t>
  </si>
  <si>
    <t>CC-Sal-909</t>
  </si>
  <si>
    <t>CC-Fin-951</t>
  </si>
  <si>
    <t>EMP0213</t>
  </si>
  <si>
    <t>CC-HR-695</t>
  </si>
  <si>
    <t>EMP0248</t>
  </si>
  <si>
    <t>CC-Sup-808</t>
  </si>
  <si>
    <t>CC-Ope-769</t>
  </si>
  <si>
    <t>CC-IT-886</t>
  </si>
  <si>
    <t>CC-Fin-830</t>
  </si>
  <si>
    <t>CC-HR-917</t>
  </si>
  <si>
    <t>CC-Sal-339</t>
  </si>
  <si>
    <t>CC-IT-743</t>
  </si>
  <si>
    <t>CC-Fin-760</t>
  </si>
  <si>
    <t>CC-HR-218</t>
  </si>
  <si>
    <t>EMP0163</t>
  </si>
  <si>
    <t>CC-Sup-414</t>
  </si>
  <si>
    <t>CC-Ope-324</t>
  </si>
  <si>
    <t>CC-Sal-930</t>
  </si>
  <si>
    <t>CC-IT-294</t>
  </si>
  <si>
    <t>CC-Fin-569</t>
  </si>
  <si>
    <t>EMP0112</t>
  </si>
  <si>
    <t>CC-HR-530</t>
  </si>
  <si>
    <t>CC-Sup-562</t>
  </si>
  <si>
    <t>CC-Ope-761</t>
  </si>
  <si>
    <t>EMP0082</t>
  </si>
  <si>
    <t>CC-Sal-988</t>
  </si>
  <si>
    <t>CC-IT-741</t>
  </si>
  <si>
    <t>EMP0088</t>
  </si>
  <si>
    <t>CC-HR-878</t>
  </si>
  <si>
    <t>CC-Ope-449</t>
  </si>
  <si>
    <t>CC-Sal-818</t>
  </si>
  <si>
    <t>CC-IT-314</t>
  </si>
  <si>
    <t>CC-Fin-596</t>
  </si>
  <si>
    <t>CC-HR-237</t>
  </si>
  <si>
    <t>CC-Sup-318</t>
  </si>
  <si>
    <t>CC-IT-940</t>
  </si>
  <si>
    <t>EMP0084</t>
  </si>
  <si>
    <t>CC-Fin-317</t>
  </si>
  <si>
    <t>CC-HR-815</t>
  </si>
  <si>
    <t>EMP0138</t>
  </si>
  <si>
    <t>CC-Sup-711</t>
  </si>
  <si>
    <t>CC-Ope-347</t>
  </si>
  <si>
    <t>CC-IT-810</t>
  </si>
  <si>
    <t>EMP0240</t>
  </si>
  <si>
    <t>CC-HR-124</t>
  </si>
  <si>
    <t>CC-Sup-195</t>
  </si>
  <si>
    <t>EMP0145</t>
  </si>
  <si>
    <t>CC-Ope-971</t>
  </si>
  <si>
    <t>CC-Sal-751</t>
  </si>
  <si>
    <t>CC-IT-550</t>
  </si>
  <si>
    <t>CC-Fin-929</t>
  </si>
  <si>
    <t>CC-HR-430</t>
  </si>
  <si>
    <t>CC-Sup-276</t>
  </si>
  <si>
    <t>CC-Ope-641</t>
  </si>
  <si>
    <t>CC-Sal-598</t>
  </si>
  <si>
    <t>CC-IT-811</t>
  </si>
  <si>
    <t>CC-HR-134</t>
  </si>
  <si>
    <t>CC-Sup-234</t>
  </si>
  <si>
    <t>CC-Ope-505</t>
  </si>
  <si>
    <t>CC-Sal-955</t>
  </si>
  <si>
    <t>CC-IT-856</t>
  </si>
  <si>
    <t>CC-HR-389</t>
  </si>
  <si>
    <t>CC-Sup-415</t>
  </si>
  <si>
    <t>CC-Ope-664</t>
  </si>
  <si>
    <t>CC-Sal-526</t>
  </si>
  <si>
    <t>CC-IT-472</t>
  </si>
  <si>
    <t>CC-Fin-208</t>
  </si>
  <si>
    <t>CC-Ope-105</t>
  </si>
  <si>
    <t>EMP0244</t>
  </si>
  <si>
    <t>CC-Sal-301</t>
  </si>
  <si>
    <t>CC-Fin-878</t>
  </si>
  <si>
    <t>CC-HR-440</t>
  </si>
  <si>
    <t>CC-Sup-560</t>
  </si>
  <si>
    <t>CC-Sal-109</t>
  </si>
  <si>
    <t>CC-IT-374</t>
  </si>
  <si>
    <t>CC-Fin-263</t>
  </si>
  <si>
    <t>CC-HR-825</t>
  </si>
  <si>
    <t>CC-Sup-747</t>
  </si>
  <si>
    <t>CC-Ope-727</t>
  </si>
  <si>
    <t>CC-Sal-107</t>
  </si>
  <si>
    <t>CC-IT-530</t>
  </si>
  <si>
    <t>CC-Fin-115</t>
  </si>
  <si>
    <t>CC-HR-427</t>
  </si>
  <si>
    <t>CC-Sup-146</t>
  </si>
  <si>
    <t>CC-Ope-367</t>
  </si>
  <si>
    <t>CC-Sal-150</t>
  </si>
  <si>
    <t>CC-IT-389</t>
  </si>
  <si>
    <t>CC-Fin-299</t>
  </si>
  <si>
    <t>CC-HR-290</t>
  </si>
  <si>
    <t>CC-Sup-894</t>
  </si>
  <si>
    <t>CC-Ope-384</t>
  </si>
  <si>
    <t>CC-Sal-946</t>
  </si>
  <si>
    <t>CC-IT-987</t>
  </si>
  <si>
    <t>CC-Fin-475</t>
  </si>
  <si>
    <t>CC-HR-269</t>
  </si>
  <si>
    <t>CC-Sup-988</t>
  </si>
  <si>
    <t>CC-Ope-598</t>
  </si>
  <si>
    <t>CC-Sal-754</t>
  </si>
  <si>
    <t>CC-IT-336</t>
  </si>
  <si>
    <t>CC-Fin-524</t>
  </si>
  <si>
    <t>CC-HR-835</t>
  </si>
  <si>
    <t>CC-Ope-429</t>
  </si>
  <si>
    <t>CC-Sal-924</t>
  </si>
  <si>
    <t>CC-IT-524</t>
  </si>
  <si>
    <t>CC-Fin-544</t>
  </si>
  <si>
    <t>CC-HR-974</t>
  </si>
  <si>
    <t>CC-Ope-455</t>
  </si>
  <si>
    <t>CC-Sal-461</t>
  </si>
  <si>
    <t>CC-IT-970</t>
  </si>
  <si>
    <t>CC-Fin-436</t>
  </si>
  <si>
    <t>CC-HR-585</t>
  </si>
  <si>
    <t>CC-Sup-476</t>
  </si>
  <si>
    <t>CC-Fin-963</t>
  </si>
  <si>
    <t>CC-HR-551</t>
  </si>
  <si>
    <t>CC-Sup-981</t>
  </si>
  <si>
    <t>CC-Ope-444</t>
  </si>
  <si>
    <t>CC-Sal-178</t>
  </si>
  <si>
    <t>CC-Fin-671</t>
  </si>
  <si>
    <t>CC-HR-617</t>
  </si>
  <si>
    <t>CC-Sup-104</t>
  </si>
  <si>
    <t>CC-Ope-377</t>
  </si>
  <si>
    <t>EMP0194</t>
  </si>
  <si>
    <t>CC-Sal-643</t>
  </si>
  <si>
    <t>CC-IT-574</t>
  </si>
  <si>
    <t>CC-Fin-363</t>
  </si>
  <si>
    <t>CC-HR-517</t>
  </si>
  <si>
    <t>CC-Sup-542</t>
  </si>
  <si>
    <t>CC-Ope-518</t>
  </si>
  <si>
    <t>CC-Sal-668</t>
  </si>
  <si>
    <t>CC-IT-990</t>
  </si>
  <si>
    <t>CC-HR-714</t>
  </si>
  <si>
    <t>CC-Sup-186</t>
  </si>
  <si>
    <t>CC-Ope-388</t>
  </si>
  <si>
    <t>CC-Sal-246</t>
  </si>
  <si>
    <t>CC-IT-911</t>
  </si>
  <si>
    <t>CC-Fin-396</t>
  </si>
  <si>
    <t>CC-HR-883</t>
  </si>
  <si>
    <t>CC-Sup-708</t>
  </si>
  <si>
    <t>CC-Ope-126</t>
  </si>
  <si>
    <t>CC-Sal-603</t>
  </si>
  <si>
    <t>CC-IT-296</t>
  </si>
  <si>
    <t>CC-Fin-456</t>
  </si>
  <si>
    <t>CC-HR-563</t>
  </si>
  <si>
    <t>CC-Sup-532</t>
  </si>
  <si>
    <t>CC-Ope-158</t>
  </si>
  <si>
    <t>CC-Sal-917</t>
  </si>
  <si>
    <t>CC-IT-820</t>
  </si>
  <si>
    <t>CC-Fin-497</t>
  </si>
  <si>
    <t>CC-HR-978</t>
  </si>
  <si>
    <t>CC-Ope-831</t>
  </si>
  <si>
    <t>CC-Sal-391</t>
  </si>
  <si>
    <t>CC-IT-618</t>
  </si>
  <si>
    <t>CC-Fin-387</t>
  </si>
  <si>
    <t>CC-Sup-665</t>
  </si>
  <si>
    <t>CC-Ope-786</t>
  </si>
  <si>
    <t>CC-Sal-592</t>
  </si>
  <si>
    <t>CC-IT-536</t>
  </si>
  <si>
    <t>CC-Fin-688</t>
  </si>
  <si>
    <t>CC-HR-291</t>
  </si>
  <si>
    <t>CC-Sup-203</t>
  </si>
  <si>
    <t>CC-Ope-943</t>
  </si>
  <si>
    <t>CC-Sal-605</t>
  </si>
  <si>
    <t>EMP0133</t>
  </si>
  <si>
    <t>CC-IT-782</t>
  </si>
  <si>
    <t>CC-Fin-318</t>
  </si>
  <si>
    <t>CC-Sup-668</t>
  </si>
  <si>
    <t>CC-Ope-544</t>
  </si>
  <si>
    <t>CC-Sal-346</t>
  </si>
  <si>
    <t>CC-IT-547</t>
  </si>
  <si>
    <t>CC-Fin-640</t>
  </si>
  <si>
    <t>CC-Sup-495</t>
  </si>
  <si>
    <t>CC-Sal-198</t>
  </si>
  <si>
    <t>CC-IT-591</t>
  </si>
  <si>
    <t>CC-Fin-247</t>
  </si>
  <si>
    <t>CC-Sup-460</t>
  </si>
  <si>
    <t>CC-Ope-918</t>
  </si>
  <si>
    <t>CC-Sal-756</t>
  </si>
  <si>
    <t>CC-IT-265</t>
  </si>
  <si>
    <t>CC-Fin-274</t>
  </si>
  <si>
    <t>CC-HR-960</t>
  </si>
  <si>
    <t>CC-Sup-756</t>
  </si>
  <si>
    <t>CC-Ope-934</t>
  </si>
  <si>
    <t>CC-Sal-842</t>
  </si>
  <si>
    <t>CC-Fin-422</t>
  </si>
  <si>
    <t>CC-HR-657</t>
  </si>
  <si>
    <t>CC-Sup-331</t>
  </si>
  <si>
    <t>CC-Sal-177</t>
  </si>
  <si>
    <t>CC-IT-874</t>
  </si>
  <si>
    <t>CC-Fin-314</t>
  </si>
  <si>
    <t>CC-HR-114</t>
  </si>
  <si>
    <t>CC-Sup-242</t>
  </si>
  <si>
    <t>CC-Ope-448</t>
  </si>
  <si>
    <t>EMP0086</t>
  </si>
  <si>
    <t>CC-Sal-364</t>
  </si>
  <si>
    <t>CC-IT-469</t>
  </si>
  <si>
    <t>CC-Fin-654</t>
  </si>
  <si>
    <t>CC-HR-850</t>
  </si>
  <si>
    <t>CC-Sup-370</t>
  </si>
  <si>
    <t>CC-Ope-676</t>
  </si>
  <si>
    <t>CC-Sal-477</t>
  </si>
  <si>
    <t>CC-IT-936</t>
  </si>
  <si>
    <t>CC-Fin-653</t>
  </si>
  <si>
    <t>CC-HR-969</t>
  </si>
  <si>
    <t>CC-Sup-744</t>
  </si>
  <si>
    <t>CC-Ope-632</t>
  </si>
  <si>
    <t>CC-Sal-549</t>
  </si>
  <si>
    <t>CC-IT-274</t>
  </si>
  <si>
    <t>CC-Fin-228</t>
  </si>
  <si>
    <t>CC-HR-171</t>
  </si>
  <si>
    <t>CC-Sup-996</t>
  </si>
  <si>
    <t>CC-Ope-732</t>
  </si>
  <si>
    <t>CC-Sal-466</t>
  </si>
  <si>
    <t>CC-IT-908</t>
  </si>
  <si>
    <t>CC-Fin-431</t>
  </si>
  <si>
    <t>CC-HR-691</t>
  </si>
  <si>
    <t>CC-Ope-185</t>
  </si>
  <si>
    <t>CC-Sal-977</t>
  </si>
  <si>
    <t>CC-Fin-768</t>
  </si>
  <si>
    <t>CC-HR-612</t>
  </si>
  <si>
    <t>CC-Sup-388</t>
  </si>
  <si>
    <t>CC-Ope-273</t>
  </si>
  <si>
    <t>CC-Sal-231</t>
  </si>
  <si>
    <t>CC-IT-542</t>
  </si>
  <si>
    <t>CC-Fin-707</t>
  </si>
  <si>
    <t>CC-HR-570</t>
  </si>
  <si>
    <t>CC-Sup-405</t>
  </si>
  <si>
    <t>CC-Ope-944</t>
  </si>
  <si>
    <t>CC-Sal-338</t>
  </si>
  <si>
    <t>CC-IT-522</t>
  </si>
  <si>
    <t>CC-Fin-857</t>
  </si>
  <si>
    <t>CC-HR-562</t>
  </si>
  <si>
    <t>CC-Sup-158</t>
  </si>
  <si>
    <t>CC-Ope-476</t>
  </si>
  <si>
    <t>CC-Sal-833</t>
  </si>
  <si>
    <t>CC-IT-792</t>
  </si>
  <si>
    <t>CC-Sup-597</t>
  </si>
  <si>
    <t>CC-Ope-661</t>
  </si>
  <si>
    <t>CC-Sal-787</t>
  </si>
  <si>
    <t>CC-IT-410</t>
  </si>
  <si>
    <t>CC-Sup-257</t>
  </si>
  <si>
    <t>CC-Ope-398</t>
  </si>
  <si>
    <t>EMP0155</t>
  </si>
  <si>
    <t>CC-IT-391</t>
  </si>
  <si>
    <t>CC-Fin-567</t>
  </si>
  <si>
    <t>CC-HR-409</t>
  </si>
  <si>
    <t>CC-Sup-822</t>
  </si>
  <si>
    <t>CC-Ope-775</t>
  </si>
  <si>
    <t>CC-Sal-968</t>
  </si>
  <si>
    <t>CC-IT-567</t>
  </si>
  <si>
    <t>CC-Fin-704</t>
  </si>
  <si>
    <t>CC-HR-861</t>
  </si>
  <si>
    <t>CC-Sup-277</t>
  </si>
  <si>
    <t>CC-Ope-938</t>
  </si>
  <si>
    <t>CC-Sal-348</t>
  </si>
  <si>
    <t>CC-IT-643</t>
  </si>
  <si>
    <t>CC-Fin-504</t>
  </si>
  <si>
    <t>CC-HR-156</t>
  </si>
  <si>
    <t>CC-Sup-112</t>
  </si>
  <si>
    <t>CC-Ope-176</t>
  </si>
  <si>
    <t>CC-Sal-597</t>
  </si>
  <si>
    <t>CC-IT-104</t>
  </si>
  <si>
    <t>CC-Fin-198</t>
  </si>
  <si>
    <t>CC-HR-730</t>
  </si>
  <si>
    <t>CC-Sup-395</t>
  </si>
  <si>
    <t>CC-Ope-420</t>
  </si>
  <si>
    <t>CC-Sal-929</t>
  </si>
  <si>
    <t>CC-Fin-222</t>
  </si>
  <si>
    <t>CC-HR-665</t>
  </si>
  <si>
    <t>CC-Ope-287</t>
  </si>
  <si>
    <t>CC-Sal-501</t>
  </si>
  <si>
    <t>CC-Fin-149</t>
  </si>
  <si>
    <t>CC-HR-167</t>
  </si>
  <si>
    <t>CC-Sup-898</t>
  </si>
  <si>
    <t>CC-Ope-258</t>
  </si>
  <si>
    <t>CC-Sal-415</t>
  </si>
  <si>
    <t>CC-IT-700</t>
  </si>
  <si>
    <t>CC-Fin-282</t>
  </si>
  <si>
    <t>CC-HR-251</t>
  </si>
  <si>
    <t>CC-Ope-960</t>
  </si>
  <si>
    <t>CC-Sal-590</t>
  </si>
  <si>
    <t>CC-Fin-903</t>
  </si>
  <si>
    <t>CC-HR-126</t>
  </si>
  <si>
    <t>CC-Sup-154</t>
  </si>
  <si>
    <t>CC-Ope-274</t>
  </si>
  <si>
    <t>EMP0125</t>
  </si>
  <si>
    <t>CC-Sal-387</t>
  </si>
  <si>
    <t>CC-IT-455</t>
  </si>
  <si>
    <t>CC-Fin-689</t>
  </si>
  <si>
    <t>CC-HR-548</t>
  </si>
  <si>
    <t>CC-Sup-674</t>
  </si>
  <si>
    <t>CC-Ope-307</t>
  </si>
  <si>
    <t>CC-IT-969</t>
  </si>
  <si>
    <t>CC-HR-377</t>
  </si>
  <si>
    <t>CC-Sup-897</t>
  </si>
  <si>
    <t>CC-Ope-417</t>
  </si>
  <si>
    <t>CC-Sal-997</t>
  </si>
  <si>
    <t>CC-IT-748</t>
  </si>
  <si>
    <t>CC-Fin-905</t>
  </si>
  <si>
    <t>CC-HR-184</t>
  </si>
  <si>
    <t>CC-Sup-436</t>
  </si>
  <si>
    <t>CC-Ope-742</t>
  </si>
  <si>
    <t>CC-IT-769</t>
  </si>
  <si>
    <t>CC-HR-112</t>
  </si>
  <si>
    <t>CC-Sup-417</t>
  </si>
  <si>
    <t>CC-Ope-542</t>
  </si>
  <si>
    <t>CC-Sal-627</t>
  </si>
  <si>
    <t>CC-IT-369</t>
  </si>
  <si>
    <t>CC-Fin-270</t>
  </si>
  <si>
    <t>CC-Sup-771</t>
  </si>
  <si>
    <t>CC-Ope-928</t>
  </si>
  <si>
    <t>CC-Sal-602</t>
  </si>
  <si>
    <t>CC-Fin-227</t>
  </si>
  <si>
    <t>CC-HR-236</t>
  </si>
  <si>
    <t>CC-Sup-327</t>
  </si>
  <si>
    <t>CC-Ope-396</t>
  </si>
  <si>
    <t>CC-Sal-861</t>
  </si>
  <si>
    <t>CC-IT-573</t>
  </si>
  <si>
    <t>CC-Fin-406</t>
  </si>
  <si>
    <t>CC-HR-808</t>
  </si>
  <si>
    <t>CC-Sup-209</t>
  </si>
  <si>
    <t>CC-Sal-188</t>
  </si>
  <si>
    <t>CC-Fin-667</t>
  </si>
  <si>
    <t>CC-HR-306</t>
  </si>
  <si>
    <t>CC-Sup-867</t>
  </si>
  <si>
    <t>CC-Ope-898</t>
  </si>
  <si>
    <t>CC-Sal-283</t>
  </si>
  <si>
    <t>CC-IT-268</t>
  </si>
  <si>
    <t>CC-Fin-148</t>
  </si>
  <si>
    <t>CC-HR-588</t>
  </si>
  <si>
    <t>CC-Sal-356</t>
  </si>
  <si>
    <t>CC-IT-935</t>
  </si>
  <si>
    <t>CC-Fin-543</t>
  </si>
  <si>
    <t>CC-HR-372</t>
  </si>
  <si>
    <t>CC-Sup-265</t>
  </si>
  <si>
    <t>CC-Ope-146</t>
  </si>
  <si>
    <t>CC-Sal-330</t>
  </si>
  <si>
    <t>CC-Fin-803</t>
  </si>
  <si>
    <t>CC-Sup-638</t>
  </si>
  <si>
    <t>CC-Ope-766</t>
  </si>
  <si>
    <t>CC-IT-454</t>
  </si>
  <si>
    <t>CC-Fin-356</t>
  </si>
  <si>
    <t>CC-HR-478</t>
  </si>
  <si>
    <t>CC-Sup-575</t>
  </si>
  <si>
    <t>CC-Ope-723</t>
  </si>
  <si>
    <t>CC-Sal-864</t>
  </si>
  <si>
    <t>CC-IT-545</t>
  </si>
  <si>
    <t>CC-HR-762</t>
  </si>
  <si>
    <t>CC-Sup-496</t>
  </si>
  <si>
    <t>CC-Ope-705</t>
  </si>
  <si>
    <t>CC-Sal-375</t>
  </si>
  <si>
    <t>CC-IT-551</t>
  </si>
  <si>
    <t>CC-Fin-665</t>
  </si>
  <si>
    <t>CC-Sup-741</t>
  </si>
  <si>
    <t>CC-Ope-633</t>
  </si>
  <si>
    <t>CC-Sal-183</t>
  </si>
  <si>
    <t>CC-Fin-974</t>
  </si>
  <si>
    <t>CC-HR-669</t>
  </si>
  <si>
    <t>CC-Sup-538</t>
  </si>
  <si>
    <t>CC-Ope-876</t>
  </si>
  <si>
    <t>CC-Sal-352</t>
  </si>
  <si>
    <t>CC-IT-914</t>
  </si>
  <si>
    <t>CC-Fin-462</t>
  </si>
  <si>
    <t>CC-Sup-500</t>
  </si>
  <si>
    <t>CC-Ope-302</t>
  </si>
  <si>
    <t>CC-Sal-811</t>
  </si>
  <si>
    <t>CC-IT-103</t>
  </si>
  <si>
    <t>CC-HR-455</t>
  </si>
  <si>
    <t>CC-Sup-621</t>
  </si>
  <si>
    <t>CC-Ope-369</t>
  </si>
  <si>
    <t>CC-Sal-871</t>
  </si>
  <si>
    <t>CC-Fin-926</t>
  </si>
  <si>
    <t>CC-HR-273</t>
  </si>
  <si>
    <t>CC-Sup-219</t>
  </si>
  <si>
    <t>CC-Ope-177</t>
  </si>
  <si>
    <t>CC-Sal-551</t>
  </si>
  <si>
    <t>CC-HR-998</t>
  </si>
  <si>
    <t>CC-Sup-554</t>
  </si>
  <si>
    <t>CC-Ope-657</t>
  </si>
  <si>
    <t>CC-IT-777</t>
  </si>
  <si>
    <t>CC-Fin-623</t>
  </si>
  <si>
    <t>CC-HR-417</t>
  </si>
  <si>
    <t>CC-Sup-377</t>
  </si>
  <si>
    <t>CC-Ope-801</t>
  </si>
  <si>
    <t>CC-Sal-813</t>
  </si>
  <si>
    <t>CC-IT-799</t>
  </si>
  <si>
    <t>CC-HR-901</t>
  </si>
  <si>
    <t>CC-Sup-413</t>
  </si>
  <si>
    <t>CC-Ope-656</t>
  </si>
  <si>
    <t>CC-IT-317</t>
  </si>
  <si>
    <t>CC-Fin-116</t>
  </si>
  <si>
    <t>CC-HR-701</t>
  </si>
  <si>
    <t>CC-Sup-543</t>
  </si>
  <si>
    <t>CC-Ope-426</t>
  </si>
  <si>
    <t>CC-Sal-607</t>
  </si>
  <si>
    <t>CC-IT-388</t>
  </si>
  <si>
    <t>CC-Fin-179</t>
  </si>
  <si>
    <t>CC-HR-131</t>
  </si>
  <si>
    <t>EMP0108</t>
  </si>
  <si>
    <t>CC-Sup-310</t>
  </si>
  <si>
    <t>CC-Ope-386</t>
  </si>
  <si>
    <t>CC-Sal-965</t>
  </si>
  <si>
    <t>CC-IT-736</t>
  </si>
  <si>
    <t>CC-Fin-520</t>
  </si>
  <si>
    <t>CC-HR-263</t>
  </si>
  <si>
    <t>CC-Sup-657</t>
  </si>
  <si>
    <t>CC-Ope-252</t>
  </si>
  <si>
    <t>CC-Sal-938</t>
  </si>
  <si>
    <t>CC-IT-840</t>
  </si>
  <si>
    <t>CC-Fin-716</t>
  </si>
  <si>
    <t>CC-HR-476</t>
  </si>
  <si>
    <t>CC-Ope-434</t>
  </si>
  <si>
    <t>CC-Sal-488</t>
  </si>
  <si>
    <t>CC-IT-275</t>
  </si>
  <si>
    <t>CC-Fin-512</t>
  </si>
  <si>
    <t>CC-Sup-380</t>
  </si>
  <si>
    <t>CC-Ope-636</t>
  </si>
  <si>
    <t>CC-Sal-388</t>
  </si>
  <si>
    <t>CC-IT-983</t>
  </si>
  <si>
    <t>CC-Fin-399</t>
  </si>
  <si>
    <t>CC-Sup-726</t>
  </si>
  <si>
    <t>CC-Ope-527</t>
  </si>
  <si>
    <t>CC-Sal-836</t>
  </si>
  <si>
    <t>CC-IT-931</t>
  </si>
  <si>
    <t>CC-Fin-935</t>
  </si>
  <si>
    <t>CC-HR-312</t>
  </si>
  <si>
    <t>CC-Ope-397</t>
  </si>
  <si>
    <t>CC-Sal-215</t>
  </si>
  <si>
    <t>CC-IT-788</t>
  </si>
  <si>
    <t>CC-HR-871</t>
  </si>
  <si>
    <t>CC-Ope-496</t>
  </si>
  <si>
    <t>CC-Sal-542</t>
  </si>
  <si>
    <t>CC-IT-669</t>
  </si>
  <si>
    <t>CC-Fin-987</t>
  </si>
  <si>
    <t>CC-Ope-830</t>
  </si>
  <si>
    <t>CC-Sal-228</t>
  </si>
  <si>
    <t>CC-IT-716</t>
  </si>
  <si>
    <t>CC-HR-194</t>
  </si>
  <si>
    <t>CC-Sup-461</t>
  </si>
  <si>
    <t>CC-Ope-446</t>
  </si>
  <si>
    <t>CC-Sal-995</t>
  </si>
  <si>
    <t>CC-IT-458</t>
  </si>
  <si>
    <t>CC-Fin-644</t>
  </si>
  <si>
    <t>CC-Sup-629</t>
  </si>
  <si>
    <t>CC-Ope-213</t>
  </si>
  <si>
    <t>CC-Sal-522</t>
  </si>
  <si>
    <t>CC-003-Low</t>
  </si>
  <si>
    <t>CC-004-Low</t>
  </si>
  <si>
    <t>CC-005-Low</t>
  </si>
  <si>
    <t>CC-006-Hig</t>
  </si>
  <si>
    <t>CC-007-Hig</t>
  </si>
  <si>
    <t>No</t>
  </si>
  <si>
    <t>Low</t>
  </si>
  <si>
    <t>Yes</t>
  </si>
  <si>
    <t>High</t>
  </si>
  <si>
    <t>Medium</t>
  </si>
  <si>
    <t>Tenure_Band</t>
  </si>
  <si>
    <t>Grand Total</t>
  </si>
  <si>
    <t>Count of Employee_ID</t>
  </si>
  <si>
    <t>Column Labels</t>
  </si>
  <si>
    <t>0-2 Years</t>
  </si>
  <si>
    <t>10+ Years</t>
  </si>
  <si>
    <t>3-5 Years</t>
  </si>
  <si>
    <t>6-10 Years</t>
  </si>
  <si>
    <t>Workforce structure by business unit</t>
  </si>
  <si>
    <t>Early_Tenure_Flag</t>
  </si>
  <si>
    <t>Row Labels</t>
  </si>
  <si>
    <t>Average of Early_Tenure_Flag</t>
  </si>
  <si>
    <t>Data_Quality_Flag</t>
  </si>
  <si>
    <t>High_Potential</t>
  </si>
  <si>
    <t>Las_date_update</t>
  </si>
  <si>
    <t>Position_ID</t>
  </si>
  <si>
    <t>Budgeted_Salary</t>
  </si>
  <si>
    <t>Strategic_Role</t>
  </si>
  <si>
    <t>Module</t>
  </si>
  <si>
    <t>Phase</t>
  </si>
  <si>
    <t>Adoption_%</t>
  </si>
  <si>
    <t>Data_Accuracy_%</t>
  </si>
  <si>
    <t>SLA_%</t>
  </si>
  <si>
    <t>North America</t>
  </si>
  <si>
    <t>Core HR</t>
  </si>
  <si>
    <t>Deploy</t>
  </si>
  <si>
    <t>Talent</t>
  </si>
  <si>
    <t>Time &amp; Attendance</t>
  </si>
  <si>
    <t>Stabilization</t>
  </si>
  <si>
    <t>Payroll</t>
  </si>
  <si>
    <t>Europe</t>
  </si>
  <si>
    <t>Asia</t>
  </si>
  <si>
    <t>Design</t>
  </si>
  <si>
    <t>LatAm</t>
  </si>
  <si>
    <t>Revenue</t>
  </si>
  <si>
    <t>EBITDA_%</t>
  </si>
  <si>
    <t>Target_Labor_Cost_%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</si>
</sst>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 vertical="center" indent="1"/>
    </xf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pivotButton="1"/>
    <xf numFmtId="10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56">
    <dxf>
      <numFmt numFmtId="13" formatCode="0%"/>
    </dxf>
    <dxf>
      <numFmt numFmtId="13" formatCode="0%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ús G." refreshedDate="46074.34585636574" backgroundQuery="1" createdVersion="8" refreshedVersion="8" minRefreshableVersion="3" recordCount="0" supportSubquery="1" supportAdvancedDrill="1" xr:uid="{1BB84DFE-AB94-40AC-8B52-222E6D928CAA}">
  <cacheSource type="external" connectionId="1"/>
  <cacheFields count="2">
    <cacheField name="[Range].[Division].[Division]" caption="Division" numFmtId="0" hierarchy="3" level="1">
      <sharedItems count="6">
        <s v="Finance"/>
        <s v="HR"/>
        <s v="IT"/>
        <s v="Operations"/>
        <s v="Sales"/>
        <s v="Supply Chain"/>
      </sharedItems>
    </cacheField>
    <cacheField name="[Measures].[Average of Early_Tenure_Flag]" caption="Average of Early_Tenure_Flag" numFmtId="0" hierarchy="30" level="32767"/>
  </cacheFields>
  <cacheHierarchies count="31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Division]" caption="Division" attribute="1" defaultMemberUniqueName="[Range].[Division].[All]" allUniqueName="[Range].[Divis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Job_Level]" caption="Job_Level" attribute="1" defaultMemberUniqueName="[Range].[Job_Level].[All]" allUniqueName="[Range].[Job_Level].[All]" dimensionUniqueName="[Range]" displayFolder="" count="0" memberValueDatatype="130" unbalanced="0"/>
    <cacheHierarchy uniqueName="[Range].[Manager_ID]" caption="Manager_ID" attribute="1" defaultMemberUniqueName="[Range].[Manager_ID].[All]" allUniqueName="[Range].[Manager_ID].[All]" dimensionUniqueName="[Range]" displayFolder="" count="0" memberValueDatatype="130" unbalanced="0"/>
    <cacheHierarchy uniqueName="[Range].[Employment_Type (FTE/Contractor)]" caption="Employment_Type (FTE/Contractor)" attribute="1" defaultMemberUniqueName="[Range].[Employment_Type (FTE/Contractor)].[All]" allUniqueName="[Range].[Employment_Type (FTE/Contractor)].[All]" dimensionUniqueName="[Range]" displayFolder="" count="0" memberValueDatatype="130" unbalanced="0"/>
    <cacheHierarchy uniqueName="[Range].[Hire_Date]" caption="Hire_Date" attribute="1" time="1" defaultMemberUniqueName="[Range].[Hire_Date].[All]" allUniqueName="[Range].[Hire_Date].[All]" dimensionUniqueName="[Range]" displayFolder="" count="0" memberValueDatatype="7" unbalanced="0"/>
    <cacheHierarchy uniqueName="[Range].[Status (Active/Inactive)]" caption="Status (Active/Inactive)" attribute="1" defaultMemberUniqueName="[Range].[Status (Active/Inactive)].[All]" allUniqueName="[Range].[Status (Active/Inactive)].[All]" dimensionUniqueName="[Range]" displayFolder="" count="0" memberValueDatatype="130" unbalanced="0"/>
    <cacheHierarchy uniqueName="[Range].[Function]" caption="Function" attribute="1" defaultMemberUniqueName="[Range].[Function].[All]" allUniqueName="[Range].[Function].[All]" dimensionUniqueName="[Range]" displayFolder="" count="0" memberValueDatatype="130" unbalanced="0"/>
    <cacheHierarchy uniqueName="[Range].[Cost_Center]" caption="Cost_Center" attribute="1" defaultMemberUniqueName="[Range].[Cost_Center].[All]" allUniqueName="[Range].[Cost_Center].[All]" dimensionUniqueName="[Range]" displayFolder="" count="0" memberValueDatatype="130" unbalanced="0"/>
    <cacheHierarchy uniqueName="[Range].[Layer]" caption="Layer" attribute="1" defaultMemberUniqueName="[Range].[Layer].[All]" allUniqueName="[Range].[Layer].[All]" dimensionUniqueName="[Range]" displayFolder="" count="0" memberValueDatatype="20" unbalanced="0"/>
    <cacheHierarchy uniqueName="[Range].[Termination_Date]" caption="Termination_Date" attribute="1" defaultMemberUniqueName="[Range].[Termination_Date].[All]" allUniqueName="[Range].[Termination_Date].[All]" dimensionUniqueName="[Range]" displayFolder="" count="0" memberValueDatatype="130" unbalanced="0"/>
    <cacheHierarchy uniqueName="[Range].[Tenure_Years]" caption="Tenure_Years" attribute="1" defaultMemberUniqueName="[Range].[Tenure_Years].[All]" allUniqueName="[Range].[Tenure_Years].[All]" dimensionUniqueName="[Range]" displayFolder="" count="0" memberValueDatatype="20" unbalanced="0"/>
    <cacheHierarchy uniqueName="[Range].[Tenure_Band]" caption="Tenure_Band" attribute="1" defaultMemberUniqueName="[Range].[Tenure_Band].[All]" allUniqueName="[Range].[Tenure_Band].[All]" dimensionUniqueName="[Range]" displayFolder="" count="0" memberValueDatatype="130" unbalanced="0"/>
    <cacheHierarchy uniqueName="[Range].[Early_Tenure_Flag]" caption="Early_Tenure_Flag" attribute="1" defaultMemberUniqueName="[Range].[Early_Tenure_Flag].[All]" allUniqueName="[Range].[Early_Tenure_Flag].[All]" dimensionUniqueName="[Range]" displayFolder="" count="0" memberValueDatatype="20" unbalanced="0"/>
    <cacheHierarchy uniqueName="[Range].[Termination_Type]" caption="Termination_Type" attribute="1" defaultMemberUniqueName="[Range].[Termination_Type].[All]" allUniqueName="[Range].[Termination_Type].[All]" dimensionUniqueName="[Range]" displayFolder="" count="0" memberValueDatatype="130" unbalanced="0"/>
    <cacheHierarchy uniqueName="[Range].[Performance_Ratin]" caption="Performance_Ratin" attribute="1" defaultMemberUniqueName="[Range].[Performance_Ratin].[All]" allUniqueName="[Range].[Performance_Ratin].[All]" dimensionUniqueName="[Range]" displayFolder="" count="0" memberValueDatatype="20" unbalanced="0"/>
    <cacheHierarchy uniqueName="[Range].[High_Potentia]" caption="High_Potentia" attribute="1" defaultMemberUniqueName="[Range].[High_Potentia].[All]" allUniqueName="[Range].[High_Potentia].[All]" dimensionUniqueName="[Range]" displayFolder="" count="0" memberValueDatatype="130" unbalanced="0"/>
    <cacheHierarchy uniqueName="[Range].[Critical_Role]" caption="Critical_Role" attribute="1" defaultMemberUniqueName="[Range].[Critical_Role].[All]" allUniqueName="[Range].[Critical_Role].[All]" dimensionUniqueName="[Range]" displayFolder="" count="0" memberValueDatatype="130" unbalanced="0"/>
    <cacheHierarchy uniqueName="[Range].[Succession_Ready]" caption="Succession_Ready" attribute="1" defaultMemberUniqueName="[Range].[Succession_Ready].[All]" allUniqueName="[Range].[Succession_Ready].[All]" dimensionUniqueName="[Range]" displayFolder="" count="0" memberValueDatatype="13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20" unbalanced="0"/>
    <cacheHierarchy uniqueName="[Range].[Burnout_Risk]" caption="Burnout_Risk" attribute="1" defaultMemberUniqueName="[Range].[Burnout_Risk].[All]" allUniqueName="[Range].[Burnout_Risk].[All]" dimensionUniqueName="[Range]" displayFolder="" count="0" memberValueDatatype="130" unbalanced="0"/>
    <cacheHierarchy uniqueName="[Range].[Base_Salary]" caption="Base_Salary" attribute="1" defaultMemberUniqueName="[Range].[Base_Salary].[All]" allUniqueName="[Range].[Base_Salary].[All]" dimensionUniqueName="[Range]" displayFolder="" count="0" memberValueDatatype="20" unbalanced="0"/>
    <cacheHierarchy uniqueName="[Range].[Bonus_%]" caption="Bonus_%" attribute="1" defaultMemberUniqueName="[Range].[Bonus_%].[All]" allUniqueName="[Range].[Bonus_%].[All]" dimensionUniqueName="[Range]" displayFolder="" count="0" memberValueDatatype="5" unbalanced="0"/>
    <cacheHierarchy uniqueName="[Range].[Total_Compensation]" caption="Total_Compensation" attribute="1" defaultMemberUniqueName="[Range].[Total_Compensation].[All]" allUniqueName="[Range].[Total_Compensation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Employee_ID]" caption="Count of Employe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arly_Tenure_Flag]" caption="Sum of Early_Tenure_Flag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arly_Tenure_Flag]" caption="Average of Early_Tenure_Flag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ús G." refreshedDate="46074.345857986111" createdVersion="8" refreshedVersion="8" minRefreshableVersion="3" recordCount="1200" xr:uid="{A8C663CC-BFB1-48E3-869A-3074525A604B}">
  <cacheSource type="worksheet">
    <worksheetSource ref="A1:AB1201" sheet="Employee_Master"/>
  </cacheSource>
  <cacheFields count="26">
    <cacheField name="Employee_ID" numFmtId="0">
      <sharedItems/>
    </cacheField>
    <cacheField name="Region" numFmtId="0">
      <sharedItems/>
    </cacheField>
    <cacheField name="Country" numFmtId="0">
      <sharedItems/>
    </cacheField>
    <cacheField name="Division" numFmtId="0">
      <sharedItems count="6">
        <s v="Supply Chain"/>
        <s v="Finance"/>
        <s v="Sales"/>
        <s v="Operations"/>
        <s v="HR"/>
        <s v="IT"/>
      </sharedItems>
    </cacheField>
    <cacheField name="Job_Level" numFmtId="0">
      <sharedItems/>
    </cacheField>
    <cacheField name="Manager_ID" numFmtId="0">
      <sharedItems count="259">
        <s v="EMP0010"/>
        <s v="EMP0228"/>
        <s v="EMP0153"/>
        <s v="EMP0136"/>
        <s v="EMP0084"/>
        <s v="EMP007"/>
        <s v="EMP0134"/>
        <s v="EMP0219"/>
        <s v="EMP0245"/>
        <s v="EMP0124"/>
        <s v="EMP0088"/>
        <s v="EMP0015"/>
        <s v="EMP0100"/>
        <s v="EMP0237"/>
        <s v="EMP0203"/>
        <s v="EMP0229"/>
        <s v="EMP021"/>
        <s v="EMP0132"/>
        <s v="EMP0147"/>
        <s v="EMP0093"/>
        <s v="EMP0106"/>
        <s v="EMP0120"/>
        <s v="EMP0104"/>
        <s v="EMP0180"/>
        <s v="EMP0099"/>
        <s v="EMP0184"/>
        <s v="EMP0190"/>
        <s v="EMP0107"/>
        <s v="EMP0139"/>
        <s v="EMP0236"/>
        <s v="EMP0144"/>
        <s v="EMP0089"/>
        <s v="EMP0152"/>
        <s v="EMP065"/>
        <s v="EMP066"/>
        <s v="EMP0213"/>
        <s v="EMP0156"/>
        <s v="EMP0168"/>
        <s v="EMP0003"/>
        <s v="EMP0191"/>
        <s v="EMP0169"/>
        <s v="EMP0126"/>
        <s v="EMP0118"/>
        <s v="EMP0014"/>
        <s v="EMP0223"/>
        <s v="EMP0198"/>
        <s v="EMP0174"/>
        <s v="EMP0175"/>
        <s v="EMP0207"/>
        <s v="EMP0131"/>
        <s v="EMP050"/>
        <s v="EMP0085"/>
        <s v="EMP0177"/>
        <s v="EMP0016"/>
        <s v="EMP023"/>
        <s v="EMP0256"/>
        <s v="EMP043"/>
        <s v="EMP0195"/>
        <s v="EMP0259"/>
        <s v="EMP0199"/>
        <s v="EMP0159"/>
        <s v="EMP0121"/>
        <s v="EMP0098"/>
        <s v="EMP0086"/>
        <s v="EMP0109"/>
        <s v="EMP062"/>
        <s v="EMP0108"/>
        <s v="EMP0154"/>
        <s v="EMP0166"/>
        <s v="EMP0161"/>
        <s v="EMP0224"/>
        <s v="EMP0122"/>
        <s v="EMP045"/>
        <s v="EMP0196"/>
        <s v="EMP0119"/>
        <s v="EMP055"/>
        <s v="EMP039"/>
        <s v="EMP0232"/>
        <s v="EMP0133"/>
        <s v="EMP041"/>
        <s v="EMP0230"/>
        <s v="EMP035"/>
        <s v="EMP0214"/>
        <s v="EMP0095"/>
        <s v="EMP0105"/>
        <s v="EMP0094"/>
        <s v="EMP0083"/>
        <s v="EMP0115"/>
        <s v="EMP0239"/>
        <s v="EMP0216"/>
        <s v="EMP060"/>
        <s v="EMP0188"/>
        <s v="EMP072"/>
        <s v="EMP0252"/>
        <s v="EMP0155"/>
        <s v="EMP0128"/>
        <s v="EMP067"/>
        <s v="EMP0193"/>
        <s v="EMP0250"/>
        <s v="EMP0143"/>
        <s v="EMP069"/>
        <s v="EMP0231"/>
        <s v="EMP0137"/>
        <s v="EMP064"/>
        <s v="EMP0151"/>
        <s v="EMP0192"/>
        <s v="EMP077"/>
        <s v="EMP0103"/>
        <s v="EMP0241"/>
        <s v="EMP0149"/>
        <s v="EMP0012"/>
        <s v="EMP0255"/>
        <s v="EMP080"/>
        <s v="EMP0185"/>
        <s v="EMP0002"/>
        <s v="EMP0182"/>
        <s v="EMP0158"/>
        <s v="EMP0242"/>
        <s v="EMP0123"/>
        <s v="EMP0206"/>
        <s v="EMP0235"/>
        <s v="EMP0179"/>
        <s v="EMP0171"/>
        <s v="EMP0218"/>
        <s v="EMP0129"/>
        <s v="EMP022"/>
        <s v="EMP0238"/>
        <s v="EMP0167"/>
        <s v="EMP074"/>
        <s v="EMP0157"/>
        <s v="EMP0217"/>
        <s v="EMP0249"/>
        <s v="EMP044"/>
        <s v="EMP075"/>
        <s v="EMP0164"/>
        <s v="EMP0091"/>
        <s v="EMP0220"/>
        <s v="EMP063"/>
        <s v="EMP0222"/>
        <s v="EMP052"/>
        <s v="EMP0004"/>
        <s v="EMP028"/>
        <s v="EMP0018"/>
        <s v="EMP0146"/>
        <s v="EMP0173"/>
        <s v="EMP0202"/>
        <s v="EMP0125"/>
        <s v="EMP0260"/>
        <s v="EMP0226"/>
        <s v="EMP0020"/>
        <s v="EMP0183"/>
        <s v="EMP0142"/>
        <s v="EMP0187"/>
        <s v="EMP0234"/>
        <s v="EMP0011"/>
        <s v="EMP0254"/>
        <s v="EMP0178"/>
        <s v="EMP0092"/>
        <s v="EMP0200"/>
        <s v="EMP0162"/>
        <s v="EMP057"/>
        <s v="EMP0205"/>
        <s v="EMP0210"/>
        <s v="EMP006"/>
        <s v="EMP0111"/>
        <s v="EMP0101"/>
        <s v="EMP0081"/>
        <s v="EMP0244"/>
        <s v="EMP008"/>
        <s v="EMP0096"/>
        <s v="EMP0110"/>
        <s v="EMP0194"/>
        <s v="EMP054"/>
        <s v="EMP0172"/>
        <s v="EMP025"/>
        <s v="EMP0165"/>
        <s v="EMP0233"/>
        <s v="EMP0257"/>
        <s v="EMP0251"/>
        <s v="EMP0201"/>
        <s v="EMP0204"/>
        <s v="EMP0253"/>
        <s v="EMP0211"/>
        <s v=""/>
        <s v="EMP0258"/>
        <s v="EMP0248"/>
        <s v="EMP0117"/>
        <s v="EMP0112"/>
        <s v="EMP0227"/>
        <s v="EMP009"/>
        <s v="EMP0221"/>
        <s v="EMP0090"/>
        <s v="EMP0209"/>
        <s v="EMP073"/>
        <s v="EMP032"/>
        <s v="EMP0116"/>
        <s v="EMP031"/>
        <s v="EMP0181"/>
        <s v="EMP059"/>
        <s v="EMP0097"/>
        <s v="EMP029"/>
        <s v="EMP0176"/>
        <s v="EMP0127"/>
        <s v="EMP0130"/>
        <s v="EMP0186"/>
        <s v="EMP068"/>
        <s v="EMP0013"/>
        <s v="EMP037"/>
        <s v="EMP053"/>
        <s v="EMP027"/>
        <s v="EMP0150"/>
        <s v="EMP0189"/>
        <s v="EMP0160"/>
        <s v="EMP0082"/>
        <s v="EMP0163"/>
        <s v="EMP030"/>
        <s v="EMP079"/>
        <s v="EMP0170"/>
        <s v="EMP076"/>
        <s v="EMP038"/>
        <s v="EMP051"/>
        <s v="EMP078"/>
        <s v="EMP0247"/>
        <s v="EMP0017"/>
        <s v="EMP0208"/>
        <s v="EMP0005"/>
        <s v="EMP061"/>
        <s v="EMP040"/>
        <s v="EMP0243"/>
        <s v="EMP0135"/>
        <s v="EMP0138"/>
        <s v="EMP0113"/>
        <s v="EMP024"/>
        <s v="EMP0145"/>
        <s v="EMP026"/>
        <s v="EMP036"/>
        <s v="EMP0114"/>
        <s v="EMP0087"/>
        <s v="EMP0240"/>
        <s v="EMP070"/>
        <s v="EMP0215"/>
        <s v="EMP0140"/>
        <s v="EMP046"/>
        <s v="EMP0148"/>
        <s v="EMP0246"/>
        <s v="EMP048"/>
        <s v="EMP049"/>
        <s v="EMP0225"/>
        <s v="EMP058"/>
        <s v="EMP0001"/>
        <s v="EMP042"/>
        <s v="EMP056"/>
        <s v="EMP071"/>
        <s v="EMP047"/>
        <s v="EMP0197"/>
        <s v="EMP0141"/>
        <s v="EMP0102"/>
        <s v="EMP0019"/>
        <s v="EMP033"/>
      </sharedItems>
    </cacheField>
    <cacheField name="Employment_Type (FTE/Contractor)" numFmtId="0">
      <sharedItems/>
    </cacheField>
    <cacheField name="Hire_Date" numFmtId="14">
      <sharedItems containsSemiMixedTypes="0" containsNonDate="0" containsDate="1" containsString="0" minDate="2015-01-03T00:00:00" maxDate="2026-02-22T00:00:00"/>
    </cacheField>
    <cacheField name="Status (Active/Inactive)" numFmtId="0">
      <sharedItems/>
    </cacheField>
    <cacheField name="Function" numFmtId="0">
      <sharedItems/>
    </cacheField>
    <cacheField name="Cost_Center" numFmtId="0">
      <sharedItems/>
    </cacheField>
    <cacheField name="Layer" numFmtId="0">
      <sharedItems containsSemiMixedTypes="0" containsString="0" containsNumber="1" containsInteger="1" minValue="1" maxValue="5"/>
    </cacheField>
    <cacheField name="Termination_Date" numFmtId="14">
      <sharedItems containsDate="1" containsMixedTypes="1" minDate="2016-10-19T00:00:00" maxDate="2026-02-19T00:00:00"/>
    </cacheField>
    <cacheField name="Tenure_Years" numFmtId="2">
      <sharedItems containsSemiMixedTypes="0" containsString="0" containsNumber="1" containsInteger="1" minValue="0" maxValue="11"/>
    </cacheField>
    <cacheField name="Tenure_Band" numFmtId="2">
      <sharedItems count="4">
        <s v="0-2 Years"/>
        <s v="3-5 Years"/>
        <s v="6-10 Years"/>
        <s v="10+ Years"/>
      </sharedItems>
    </cacheField>
    <cacheField name="Early_Tenure_Flag" numFmtId="0">
      <sharedItems containsSemiMixedTypes="0" containsString="0" containsNumber="1" containsInteger="1" minValue="0" maxValue="1"/>
    </cacheField>
    <cacheField name="Termination_Type" numFmtId="0">
      <sharedItems/>
    </cacheField>
    <cacheField name="Performance_Ratin" numFmtId="0">
      <sharedItems containsSemiMixedTypes="0" containsString="0" containsNumber="1" containsInteger="1" minValue="1" maxValue="5"/>
    </cacheField>
    <cacheField name="High_Potentia" numFmtId="0">
      <sharedItems/>
    </cacheField>
    <cacheField name="Critical_Role" numFmtId="0">
      <sharedItems/>
    </cacheField>
    <cacheField name="Succession_Ready" numFmtId="0">
      <sharedItems/>
    </cacheField>
    <cacheField name="Engagement_Score" numFmtId="0">
      <sharedItems containsSemiMixedTypes="0" containsString="0" containsNumber="1" containsInteger="1" minValue="1" maxValue="5"/>
    </cacheField>
    <cacheField name="Burnout_Risk" numFmtId="0">
      <sharedItems/>
    </cacheField>
    <cacheField name="Base_Salary" numFmtId="0">
      <sharedItems containsSemiMixedTypes="0" containsString="0" containsNumber="1" containsInteger="1" minValue="20012" maxValue="265583"/>
    </cacheField>
    <cacheField name="Bonus_%" numFmtId="0">
      <sharedItems containsSemiMixedTypes="0" containsString="0" containsNumber="1" minValue="0.1" maxValue="0.3"/>
    </cacheField>
    <cacheField name="Total_Compensation" numFmtId="0">
      <sharedItems containsSemiMixedTypes="0" containsString="0" containsNumber="1" minValue="22013.200000000001" maxValue="345257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esús G." refreshedDate="46074.34585636574" backgroundQuery="1" createdVersion="8" refreshedVersion="8" minRefreshableVersion="3" recordCount="0" supportSubquery="1" supportAdvancedDrill="1" xr:uid="{962554E5-AE42-4B3A-BC69-905CE5D08E62}">
  <cacheSource type="external" connectionId="1"/>
  <cacheFields count="2">
    <cacheField name="[Range].[Division].[Division]" caption="Division" numFmtId="0" hierarchy="3" level="1">
      <sharedItems count="6">
        <s v="Finance"/>
        <s v="HR"/>
        <s v="IT"/>
        <s v="Operations"/>
        <s v="Sales"/>
        <s v="Supply Chain"/>
      </sharedItems>
    </cacheField>
    <cacheField name="[Measures].[Average of Early_Tenure_Flag]" caption="Average of Early_Tenure_Flag" numFmtId="0" hierarchy="30" level="32767"/>
  </cacheFields>
  <cacheHierarchies count="31">
    <cacheHierarchy uniqueName="[Range].[Employee_ID]" caption="Employee_ID" attribute="1" defaultMemberUniqueName="[Range].[Employee_ID].[All]" allUniqueName="[Range].[Employee_ID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Country]" caption="Country" attribute="1" defaultMemberUniqueName="[Range].[Country].[All]" allUniqueName="[Range].[Country].[All]" dimensionUniqueName="[Range]" displayFolder="" count="0" memberValueDatatype="130" unbalanced="0"/>
    <cacheHierarchy uniqueName="[Range].[Division]" caption="Division" attribute="1" defaultMemberUniqueName="[Range].[Division].[All]" allUniqueName="[Range].[Divis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Job_Level]" caption="Job_Level" attribute="1" defaultMemberUniqueName="[Range].[Job_Level].[All]" allUniqueName="[Range].[Job_Level].[All]" dimensionUniqueName="[Range]" displayFolder="" count="0" memberValueDatatype="130" unbalanced="0"/>
    <cacheHierarchy uniqueName="[Range].[Manager_ID]" caption="Manager_ID" attribute="1" defaultMemberUniqueName="[Range].[Manager_ID].[All]" allUniqueName="[Range].[Manager_ID].[All]" dimensionUniqueName="[Range]" displayFolder="" count="0" memberValueDatatype="130" unbalanced="0"/>
    <cacheHierarchy uniqueName="[Range].[Employment_Type (FTE/Contractor)]" caption="Employment_Type (FTE/Contractor)" attribute="1" defaultMemberUniqueName="[Range].[Employment_Type (FTE/Contractor)].[All]" allUniqueName="[Range].[Employment_Type (FTE/Contractor)].[All]" dimensionUniqueName="[Range]" displayFolder="" count="0" memberValueDatatype="130" unbalanced="0"/>
    <cacheHierarchy uniqueName="[Range].[Hire_Date]" caption="Hire_Date" attribute="1" time="1" defaultMemberUniqueName="[Range].[Hire_Date].[All]" allUniqueName="[Range].[Hire_Date].[All]" dimensionUniqueName="[Range]" displayFolder="" count="0" memberValueDatatype="7" unbalanced="0"/>
    <cacheHierarchy uniqueName="[Range].[Status (Active/Inactive)]" caption="Status (Active/Inactive)" attribute="1" defaultMemberUniqueName="[Range].[Status (Active/Inactive)].[All]" allUniqueName="[Range].[Status (Active/Inactive)].[All]" dimensionUniqueName="[Range]" displayFolder="" count="0" memberValueDatatype="130" unbalanced="0"/>
    <cacheHierarchy uniqueName="[Range].[Function]" caption="Function" attribute="1" defaultMemberUniqueName="[Range].[Function].[All]" allUniqueName="[Range].[Function].[All]" dimensionUniqueName="[Range]" displayFolder="" count="0" memberValueDatatype="130" unbalanced="0"/>
    <cacheHierarchy uniqueName="[Range].[Cost_Center]" caption="Cost_Center" attribute="1" defaultMemberUniqueName="[Range].[Cost_Center].[All]" allUniqueName="[Range].[Cost_Center].[All]" dimensionUniqueName="[Range]" displayFolder="" count="0" memberValueDatatype="130" unbalanced="0"/>
    <cacheHierarchy uniqueName="[Range].[Layer]" caption="Layer" attribute="1" defaultMemberUniqueName="[Range].[Layer].[All]" allUniqueName="[Range].[Layer].[All]" dimensionUniqueName="[Range]" displayFolder="" count="0" memberValueDatatype="20" unbalanced="0"/>
    <cacheHierarchy uniqueName="[Range].[Termination_Date]" caption="Termination_Date" attribute="1" defaultMemberUniqueName="[Range].[Termination_Date].[All]" allUniqueName="[Range].[Termination_Date].[All]" dimensionUniqueName="[Range]" displayFolder="" count="0" memberValueDatatype="130" unbalanced="0"/>
    <cacheHierarchy uniqueName="[Range].[Tenure_Years]" caption="Tenure_Years" attribute="1" defaultMemberUniqueName="[Range].[Tenure_Years].[All]" allUniqueName="[Range].[Tenure_Years].[All]" dimensionUniqueName="[Range]" displayFolder="" count="0" memberValueDatatype="20" unbalanced="0"/>
    <cacheHierarchy uniqueName="[Range].[Tenure_Band]" caption="Tenure_Band" attribute="1" defaultMemberUniqueName="[Range].[Tenure_Band].[All]" allUniqueName="[Range].[Tenure_Band].[All]" dimensionUniqueName="[Range]" displayFolder="" count="0" memberValueDatatype="130" unbalanced="0"/>
    <cacheHierarchy uniqueName="[Range].[Early_Tenure_Flag]" caption="Early_Tenure_Flag" attribute="1" defaultMemberUniqueName="[Range].[Early_Tenure_Flag].[All]" allUniqueName="[Range].[Early_Tenure_Flag].[All]" dimensionUniqueName="[Range]" displayFolder="" count="0" memberValueDatatype="20" unbalanced="0"/>
    <cacheHierarchy uniqueName="[Range].[Termination_Type]" caption="Termination_Type" attribute="1" defaultMemberUniqueName="[Range].[Termination_Type].[All]" allUniqueName="[Range].[Termination_Type].[All]" dimensionUniqueName="[Range]" displayFolder="" count="0" memberValueDatatype="130" unbalanced="0"/>
    <cacheHierarchy uniqueName="[Range].[Performance_Ratin]" caption="Performance_Ratin" attribute="1" defaultMemberUniqueName="[Range].[Performance_Ratin].[All]" allUniqueName="[Range].[Performance_Ratin].[All]" dimensionUniqueName="[Range]" displayFolder="" count="0" memberValueDatatype="20" unbalanced="0"/>
    <cacheHierarchy uniqueName="[Range].[High_Potentia]" caption="High_Potentia" attribute="1" defaultMemberUniqueName="[Range].[High_Potentia].[All]" allUniqueName="[Range].[High_Potentia].[All]" dimensionUniqueName="[Range]" displayFolder="" count="0" memberValueDatatype="130" unbalanced="0"/>
    <cacheHierarchy uniqueName="[Range].[Critical_Role]" caption="Critical_Role" attribute="1" defaultMemberUniqueName="[Range].[Critical_Role].[All]" allUniqueName="[Range].[Critical_Role].[All]" dimensionUniqueName="[Range]" displayFolder="" count="0" memberValueDatatype="130" unbalanced="0"/>
    <cacheHierarchy uniqueName="[Range].[Succession_Ready]" caption="Succession_Ready" attribute="1" defaultMemberUniqueName="[Range].[Succession_Ready].[All]" allUniqueName="[Range].[Succession_Ready].[All]" dimensionUniqueName="[Range]" displayFolder="" count="0" memberValueDatatype="130" unbalanced="0"/>
    <cacheHierarchy uniqueName="[Range].[Engagement_Score]" caption="Engagement_Score" attribute="1" defaultMemberUniqueName="[Range].[Engagement_Score].[All]" allUniqueName="[Range].[Engagement_Score].[All]" dimensionUniqueName="[Range]" displayFolder="" count="0" memberValueDatatype="20" unbalanced="0"/>
    <cacheHierarchy uniqueName="[Range].[Burnout_Risk]" caption="Burnout_Risk" attribute="1" defaultMemberUniqueName="[Range].[Burnout_Risk].[All]" allUniqueName="[Range].[Burnout_Risk].[All]" dimensionUniqueName="[Range]" displayFolder="" count="0" memberValueDatatype="130" unbalanced="0"/>
    <cacheHierarchy uniqueName="[Range].[Base_Salary]" caption="Base_Salary" attribute="1" defaultMemberUniqueName="[Range].[Base_Salary].[All]" allUniqueName="[Range].[Base_Salary].[All]" dimensionUniqueName="[Range]" displayFolder="" count="0" memberValueDatatype="20" unbalanced="0"/>
    <cacheHierarchy uniqueName="[Range].[Bonus_%]" caption="Bonus_%" attribute="1" defaultMemberUniqueName="[Range].[Bonus_%].[All]" allUniqueName="[Range].[Bonus_%].[All]" dimensionUniqueName="[Range]" displayFolder="" count="0" memberValueDatatype="5" unbalanced="0"/>
    <cacheHierarchy uniqueName="[Range].[Total_Compensation]" caption="Total_Compensation" attribute="1" defaultMemberUniqueName="[Range].[Total_Compensation].[All]" allUniqueName="[Range].[Total_Compensation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Employee_ID]" caption="Count of Employee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arly_Tenure_Flag]" caption="Sum of Early_Tenure_Flag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Average of Early_Tenure_Flag]" caption="Average of Early_Tenure_Flag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EMP0001"/>
    <s v="NA"/>
    <s v="USA"/>
    <x v="0"/>
    <s v="Director"/>
    <x v="0"/>
    <s v="FTE"/>
    <d v="2026-02-21T00:00:00"/>
    <s v="Active"/>
    <s v="Logistics"/>
    <s v="CC-Sup-664"/>
    <n v="3"/>
    <s v=""/>
    <n v="0"/>
    <x v="0"/>
    <n v="1"/>
    <s v=""/>
    <n v="3"/>
    <s v="No"/>
    <s v="Yes"/>
    <s v="No"/>
    <n v="3"/>
    <s v="Medium"/>
    <n v="109203"/>
    <n v="0.2"/>
    <n v="131043.59999999999"/>
  </r>
  <r>
    <s v="EMP0002"/>
    <s v="NA"/>
    <s v="USA"/>
    <x v="1"/>
    <s v="IC"/>
    <x v="1"/>
    <s v="FTE"/>
    <d v="2026-02-18T00:00:00"/>
    <s v="Inactive"/>
    <s v="Controlling"/>
    <s v="CC-Fin-299"/>
    <n v="5"/>
    <d v="2026-02-18T00:00:00"/>
    <n v="0"/>
    <x v="0"/>
    <n v="1"/>
    <s v="Voluntary"/>
    <n v="4"/>
    <s v="No"/>
    <s v="No"/>
    <s v="No"/>
    <n v="2"/>
    <s v="High"/>
    <n v="24040"/>
    <n v="0.1"/>
    <n v="26444.000000000004"/>
  </r>
  <r>
    <s v="EMP0003"/>
    <s v="NA"/>
    <s v="USA"/>
    <x v="1"/>
    <s v="IC"/>
    <x v="2"/>
    <s v="FTE"/>
    <d v="2026-02-17T00:00:00"/>
    <s v="Active"/>
    <s v="Controlling"/>
    <s v="CC-Fin-628"/>
    <n v="5"/>
    <s v=""/>
    <n v="0"/>
    <x v="0"/>
    <n v="1"/>
    <s v=""/>
    <n v="4"/>
    <s v="No"/>
    <s v="No"/>
    <s v="No"/>
    <n v="5"/>
    <s v="Low"/>
    <n v="23443"/>
    <n v="0.1"/>
    <n v="25787.300000000003"/>
  </r>
  <r>
    <s v="EMP0004"/>
    <s v="NA"/>
    <s v="USA"/>
    <x v="2"/>
    <s v="IC"/>
    <x v="3"/>
    <s v="Contractor"/>
    <d v="2026-02-15T00:00:00"/>
    <s v="Active"/>
    <s v="Commercial"/>
    <s v="CC-Sal-841"/>
    <n v="5"/>
    <s v=""/>
    <n v="0"/>
    <x v="0"/>
    <n v="1"/>
    <s v=""/>
    <n v="5"/>
    <s v="No"/>
    <s v="No"/>
    <s v="No"/>
    <n v="1"/>
    <s v="High"/>
    <n v="39199"/>
    <n v="0.1"/>
    <n v="43118.9"/>
  </r>
  <r>
    <s v="EMP0005"/>
    <s v="NA"/>
    <s v="USA"/>
    <x v="1"/>
    <s v="IC"/>
    <x v="4"/>
    <s v="FTE"/>
    <d v="2026-02-15T00:00:00"/>
    <s v="Active"/>
    <s v="Controlling"/>
    <s v="CC-Fin-317"/>
    <n v="5"/>
    <s v=""/>
    <n v="0"/>
    <x v="0"/>
    <n v="1"/>
    <s v=""/>
    <n v="4"/>
    <s v="No"/>
    <s v="No"/>
    <s v="No"/>
    <n v="2"/>
    <s v="High"/>
    <n v="49738"/>
    <n v="0.1"/>
    <n v="54711.8"/>
  </r>
  <r>
    <s v="EMP0006"/>
    <s v="NA"/>
    <s v="USA"/>
    <x v="2"/>
    <s v="Director"/>
    <x v="5"/>
    <s v="FTE"/>
    <d v="2026-01-27T00:00:00"/>
    <s v="Inactive"/>
    <s v="Commercial"/>
    <s v="CC-Sal-141"/>
    <n v="3"/>
    <d v="2026-02-18T00:00:00"/>
    <n v="0"/>
    <x v="0"/>
    <n v="1"/>
    <s v="Voluntary"/>
    <n v="4"/>
    <s v="No"/>
    <s v="Yes"/>
    <s v="No"/>
    <n v="4"/>
    <s v="Low"/>
    <n v="105176"/>
    <n v="0.2"/>
    <n v="126211.2"/>
  </r>
  <r>
    <s v="EMP0007"/>
    <s v="NA"/>
    <s v="USA"/>
    <x v="3"/>
    <s v="IC"/>
    <x v="6"/>
    <s v="FTE"/>
    <d v="2026-01-27T00:00:00"/>
    <s v="Active"/>
    <s v="Manufacturing"/>
    <s v="CC-Ope-377"/>
    <n v="5"/>
    <s v=""/>
    <n v="0"/>
    <x v="0"/>
    <n v="1"/>
    <s v=""/>
    <n v="2"/>
    <s v="No"/>
    <s v="No"/>
    <s v="No"/>
    <n v="5"/>
    <s v="Low"/>
    <n v="43942"/>
    <n v="0.1"/>
    <n v="48336.200000000004"/>
  </r>
  <r>
    <s v="EMP0008"/>
    <s v="NA"/>
    <s v="USA"/>
    <x v="0"/>
    <s v="IC"/>
    <x v="7"/>
    <s v="FTE"/>
    <d v="2026-01-25T00:00:00"/>
    <s v="Active"/>
    <s v="Logistics"/>
    <s v="CC-Sup-518"/>
    <n v="5"/>
    <s v=""/>
    <n v="0"/>
    <x v="0"/>
    <n v="1"/>
    <s v=""/>
    <n v="3"/>
    <s v="No"/>
    <s v="No"/>
    <s v="No"/>
    <n v="3"/>
    <s v="Medium"/>
    <n v="30007"/>
    <n v="0.1"/>
    <n v="33007.700000000004"/>
  </r>
  <r>
    <s v="EMP0009"/>
    <s v="NA"/>
    <s v="USA"/>
    <x v="1"/>
    <s v="IC"/>
    <x v="8"/>
    <s v="FTE"/>
    <d v="2026-01-17T00:00:00"/>
    <s v="Active"/>
    <s v="Controlling"/>
    <s v="CC-Fin-626"/>
    <n v="5"/>
    <s v=""/>
    <n v="0"/>
    <x v="0"/>
    <n v="1"/>
    <s v=""/>
    <n v="3"/>
    <s v="No"/>
    <s v="No"/>
    <s v="No"/>
    <n v="5"/>
    <s v="Low"/>
    <n v="34468"/>
    <n v="0.1"/>
    <n v="37914.800000000003"/>
  </r>
  <r>
    <s v="EMP0010"/>
    <s v="NA"/>
    <s v="USA"/>
    <x v="4"/>
    <s v="IC"/>
    <x v="9"/>
    <s v="FTE"/>
    <d v="2026-01-17T00:00:00"/>
    <s v="Active"/>
    <s v="People Operations"/>
    <s v="CC-HR-670"/>
    <n v="5"/>
    <s v=""/>
    <n v="0"/>
    <x v="0"/>
    <n v="1"/>
    <s v=""/>
    <n v="3"/>
    <s v="No"/>
    <s v="No"/>
    <s v="No"/>
    <n v="4"/>
    <s v="Low"/>
    <n v="38836"/>
    <n v="0.1"/>
    <n v="42719.600000000006"/>
  </r>
  <r>
    <s v="EMP0011"/>
    <s v="NA"/>
    <s v="USA"/>
    <x v="1"/>
    <s v="IC"/>
    <x v="10"/>
    <s v="FTE"/>
    <d v="2026-01-16T00:00:00"/>
    <s v="Active"/>
    <s v="Controlling"/>
    <s v="CC-Fin-963"/>
    <n v="5"/>
    <s v=""/>
    <n v="0"/>
    <x v="0"/>
    <n v="1"/>
    <s v=""/>
    <n v="3"/>
    <s v="No"/>
    <s v="No"/>
    <s v="No"/>
    <n v="1"/>
    <s v="High"/>
    <n v="32947"/>
    <n v="0.1"/>
    <n v="36241.700000000004"/>
  </r>
  <r>
    <s v="EMP0012"/>
    <s v="NA"/>
    <s v="USA"/>
    <x v="5"/>
    <s v="Director"/>
    <x v="11"/>
    <s v="FTE"/>
    <d v="2026-01-10T00:00:00"/>
    <s v="Active"/>
    <s v="Technology"/>
    <s v="CC-IT-167"/>
    <n v="3"/>
    <s v=""/>
    <n v="0"/>
    <x v="0"/>
    <n v="1"/>
    <s v=""/>
    <n v="5"/>
    <s v="No"/>
    <s v="No"/>
    <s v="No"/>
    <n v="5"/>
    <s v="Low"/>
    <n v="99511"/>
    <n v="0.2"/>
    <n v="119413.2"/>
  </r>
  <r>
    <s v="EMP0013"/>
    <s v="NA"/>
    <s v="USA"/>
    <x v="2"/>
    <s v="IC"/>
    <x v="12"/>
    <s v="FTE"/>
    <d v="2025-12-27T00:00:00"/>
    <s v="Active"/>
    <s v="Commercial"/>
    <s v="CC-Sal-417"/>
    <n v="5"/>
    <s v=""/>
    <n v="0"/>
    <x v="0"/>
    <n v="1"/>
    <s v=""/>
    <n v="3"/>
    <s v="No"/>
    <s v="No"/>
    <s v="No"/>
    <n v="1"/>
    <s v="High"/>
    <n v="42013"/>
    <n v="0.1"/>
    <n v="46214.3"/>
  </r>
  <r>
    <s v="EMP0014"/>
    <s v="NA"/>
    <s v="USA"/>
    <x v="3"/>
    <s v="IC"/>
    <x v="13"/>
    <s v="Contractor"/>
    <d v="2025-12-25T00:00:00"/>
    <s v="Active"/>
    <s v="Manufacturing"/>
    <s v="CC-Ope-688"/>
    <n v="5"/>
    <s v=""/>
    <n v="0"/>
    <x v="0"/>
    <n v="1"/>
    <s v=""/>
    <n v="4"/>
    <s v="No"/>
    <s v="No"/>
    <s v="No"/>
    <n v="1"/>
    <s v="High"/>
    <n v="32692"/>
    <n v="0.1"/>
    <n v="35961.200000000004"/>
  </r>
  <r>
    <s v="EMP0015"/>
    <s v="NA"/>
    <s v="USA"/>
    <x v="3"/>
    <s v="IC"/>
    <x v="14"/>
    <s v="FTE"/>
    <d v="2025-12-23T00:00:00"/>
    <s v="Active"/>
    <s v="Manufacturing"/>
    <s v="CC-Ope-277"/>
    <n v="5"/>
    <s v=""/>
    <n v="0"/>
    <x v="0"/>
    <n v="1"/>
    <s v=""/>
    <n v="5"/>
    <s v="No"/>
    <s v="No"/>
    <s v="No"/>
    <n v="5"/>
    <s v="Low"/>
    <n v="46394"/>
    <n v="0.1"/>
    <n v="51033.4"/>
  </r>
  <r>
    <s v="EMP0016"/>
    <s v="NA"/>
    <s v="USA"/>
    <x v="4"/>
    <s v="IC"/>
    <x v="15"/>
    <s v="FTE"/>
    <d v="2025-12-22T00:00:00"/>
    <s v="Active"/>
    <s v="People Operations"/>
    <s v="CC-HR-935"/>
    <n v="5"/>
    <s v=""/>
    <n v="0"/>
    <x v="0"/>
    <n v="1"/>
    <s v=""/>
    <n v="4"/>
    <s v="No"/>
    <s v="No"/>
    <s v="No"/>
    <n v="2"/>
    <s v="High"/>
    <n v="21665"/>
    <n v="0.1"/>
    <n v="23831.500000000004"/>
  </r>
  <r>
    <s v="EMP0017"/>
    <s v="NA"/>
    <s v="USA"/>
    <x v="5"/>
    <s v="Manager"/>
    <x v="16"/>
    <s v="FTE"/>
    <d v="2025-12-22T00:00:00"/>
    <s v="Active"/>
    <s v="Technology"/>
    <s v="CC-IT-737"/>
    <n v="4"/>
    <s v=""/>
    <n v="0"/>
    <x v="0"/>
    <n v="1"/>
    <s v=""/>
    <n v="3"/>
    <s v="No"/>
    <s v="No"/>
    <s v="No"/>
    <n v="4"/>
    <s v="Low"/>
    <n v="78796"/>
    <n v="0.15"/>
    <n v="90615.4"/>
  </r>
  <r>
    <s v="EMP0018"/>
    <s v="NA"/>
    <s v="USA"/>
    <x v="1"/>
    <s v="IC"/>
    <x v="14"/>
    <s v="FTE"/>
    <d v="2025-12-19T00:00:00"/>
    <s v="Active"/>
    <s v="Controlling"/>
    <s v="CC-Fin-310"/>
    <n v="5"/>
    <s v=""/>
    <n v="0"/>
    <x v="0"/>
    <n v="1"/>
    <s v=""/>
    <n v="3"/>
    <s v="No"/>
    <s v="No"/>
    <s v="No"/>
    <n v="3"/>
    <s v="Medium"/>
    <n v="44061"/>
    <n v="0.1"/>
    <n v="48467.100000000006"/>
  </r>
  <r>
    <s v="EMP0019"/>
    <s v="NA"/>
    <s v="USA"/>
    <x v="0"/>
    <s v="IC"/>
    <x v="17"/>
    <s v="FTE"/>
    <d v="2025-12-15T00:00:00"/>
    <s v="Active"/>
    <s v="Logistics"/>
    <s v="CC-Sup-540"/>
    <n v="5"/>
    <s v=""/>
    <n v="0"/>
    <x v="0"/>
    <n v="1"/>
    <s v=""/>
    <n v="3"/>
    <s v="No"/>
    <s v="No"/>
    <s v="No"/>
    <n v="4"/>
    <s v="Low"/>
    <n v="34572"/>
    <n v="0.1"/>
    <n v="38029.200000000004"/>
  </r>
  <r>
    <s v="EMP0020"/>
    <s v="NA"/>
    <s v="USA"/>
    <x v="3"/>
    <s v="IC"/>
    <x v="18"/>
    <s v="FTE"/>
    <d v="2025-12-14T00:00:00"/>
    <s v="Active"/>
    <s v="Manufacturing"/>
    <s v="CC-Ope-640"/>
    <n v="5"/>
    <s v=""/>
    <n v="0"/>
    <x v="0"/>
    <n v="1"/>
    <s v=""/>
    <n v="2"/>
    <s v="No"/>
    <s v="No"/>
    <s v="No"/>
    <n v="4"/>
    <s v="Low"/>
    <n v="42033"/>
    <n v="0.1"/>
    <n v="46236.3"/>
  </r>
  <r>
    <s v="EMP0021"/>
    <s v="NA"/>
    <s v="USA"/>
    <x v="4"/>
    <s v="IC"/>
    <x v="10"/>
    <s v="FTE"/>
    <d v="2025-12-14T00:00:00"/>
    <s v="Active"/>
    <s v="People Operations"/>
    <s v="CC-HR-878"/>
    <n v="5"/>
    <s v=""/>
    <n v="0"/>
    <x v="0"/>
    <n v="1"/>
    <s v=""/>
    <n v="5"/>
    <s v="No"/>
    <s v="No"/>
    <s v="No"/>
    <n v="5"/>
    <s v="Low"/>
    <n v="37837"/>
    <n v="0.1"/>
    <n v="41620.700000000004"/>
  </r>
  <r>
    <s v="EMP0022"/>
    <s v="NA"/>
    <s v="USA"/>
    <x v="2"/>
    <s v="IC"/>
    <x v="19"/>
    <s v="FTE"/>
    <d v="2025-12-11T00:00:00"/>
    <s v="Active"/>
    <s v="Commercial"/>
    <s v="CC-Sal-471"/>
    <n v="5"/>
    <s v=""/>
    <n v="0"/>
    <x v="0"/>
    <n v="1"/>
    <s v=""/>
    <n v="4"/>
    <s v="Yes"/>
    <s v="Yes"/>
    <s v="No"/>
    <n v="5"/>
    <s v="Low"/>
    <n v="25470"/>
    <n v="0.1"/>
    <n v="28017.000000000004"/>
  </r>
  <r>
    <s v="EMP0023"/>
    <s v="NA"/>
    <s v="USA"/>
    <x v="5"/>
    <s v="IC"/>
    <x v="20"/>
    <s v="FTE"/>
    <d v="2025-12-10T00:00:00"/>
    <s v="Active"/>
    <s v="Technology"/>
    <s v="CC-IT-594"/>
    <n v="5"/>
    <s v=""/>
    <n v="0"/>
    <x v="0"/>
    <n v="1"/>
    <s v=""/>
    <n v="5"/>
    <s v="No"/>
    <s v="No"/>
    <s v="No"/>
    <n v="4"/>
    <s v="Low"/>
    <n v="25103"/>
    <n v="0.1"/>
    <n v="27613.300000000003"/>
  </r>
  <r>
    <s v="EMP0024"/>
    <s v="NA"/>
    <s v="USA"/>
    <x v="0"/>
    <s v="IC"/>
    <x v="21"/>
    <s v="FTE"/>
    <d v="2025-12-10T00:00:00"/>
    <s v="Active"/>
    <s v="Logistics"/>
    <s v="CC-Sup-320"/>
    <n v="5"/>
    <s v=""/>
    <n v="0"/>
    <x v="0"/>
    <n v="1"/>
    <s v=""/>
    <n v="3"/>
    <s v="No"/>
    <s v="No"/>
    <s v="No"/>
    <n v="3"/>
    <s v="Medium"/>
    <n v="21350"/>
    <n v="0.1"/>
    <n v="23485.000000000004"/>
  </r>
  <r>
    <s v="EMP0025"/>
    <s v="NA"/>
    <s v="USA"/>
    <x v="4"/>
    <s v="IC"/>
    <x v="22"/>
    <s v="FTE"/>
    <d v="2025-12-10T00:00:00"/>
    <s v="Active"/>
    <s v="People Operations"/>
    <s v="CC-HR-218"/>
    <n v="5"/>
    <s v=""/>
    <n v="0"/>
    <x v="0"/>
    <n v="1"/>
    <s v=""/>
    <n v="5"/>
    <s v="No"/>
    <s v="No"/>
    <s v="No"/>
    <n v="1"/>
    <s v="High"/>
    <n v="41533"/>
    <n v="0.1"/>
    <n v="45686.3"/>
  </r>
  <r>
    <s v="EMP0026"/>
    <s v="NA"/>
    <s v="USA"/>
    <x v="0"/>
    <s v="IC"/>
    <x v="23"/>
    <s v="FTE"/>
    <d v="2025-12-05T00:00:00"/>
    <s v="Active"/>
    <s v="Logistics"/>
    <s v="CC-Sup-560"/>
    <n v="5"/>
    <s v=""/>
    <n v="0"/>
    <x v="0"/>
    <n v="1"/>
    <s v=""/>
    <n v="4"/>
    <s v="Yes"/>
    <s v="No"/>
    <s v="No"/>
    <n v="3"/>
    <s v="Medium"/>
    <n v="24725"/>
    <n v="0.1"/>
    <n v="27197.500000000004"/>
  </r>
  <r>
    <s v="EMP0027"/>
    <s v="NA"/>
    <s v="USA"/>
    <x v="4"/>
    <s v="IC"/>
    <x v="24"/>
    <s v="FTE"/>
    <d v="2025-12-05T00:00:00"/>
    <s v="Active"/>
    <s v="People Operations"/>
    <s v="CC-HR-427"/>
    <n v="5"/>
    <s v=""/>
    <n v="0"/>
    <x v="0"/>
    <n v="1"/>
    <s v=""/>
    <n v="4"/>
    <s v="No"/>
    <s v="No"/>
    <s v="No"/>
    <n v="4"/>
    <s v="Low"/>
    <n v="33356"/>
    <n v="0.1"/>
    <n v="36691.600000000006"/>
  </r>
  <r>
    <s v="EMP0028"/>
    <s v="NA"/>
    <s v="USA"/>
    <x v="0"/>
    <s v="IC"/>
    <x v="25"/>
    <s v="FTE"/>
    <d v="2025-12-04T00:00:00"/>
    <s v="Active"/>
    <s v="Logistics"/>
    <s v="CC-Sup-982"/>
    <n v="5"/>
    <s v=""/>
    <n v="0"/>
    <x v="0"/>
    <n v="1"/>
    <s v=""/>
    <n v="3"/>
    <s v="No"/>
    <s v="No"/>
    <s v="No"/>
    <n v="1"/>
    <s v="High"/>
    <n v="25671"/>
    <n v="0.1"/>
    <n v="28238.100000000002"/>
  </r>
  <r>
    <s v="EMP0029"/>
    <s v="NA"/>
    <s v="USA"/>
    <x v="3"/>
    <s v="IC"/>
    <x v="21"/>
    <s v="FTE"/>
    <d v="2025-12-03T00:00:00"/>
    <s v="Active"/>
    <s v="Manufacturing"/>
    <s v="CC-Ope-655"/>
    <n v="5"/>
    <s v=""/>
    <n v="0"/>
    <x v="0"/>
    <n v="1"/>
    <s v=""/>
    <n v="4"/>
    <s v="No"/>
    <s v="No"/>
    <s v="No"/>
    <n v="2"/>
    <s v="High"/>
    <n v="20827"/>
    <n v="0.1"/>
    <n v="22909.7"/>
  </r>
  <r>
    <s v="EMP0030"/>
    <s v="NA"/>
    <s v="USA"/>
    <x v="0"/>
    <s v="IC"/>
    <x v="26"/>
    <s v="FTE"/>
    <d v="2025-12-02T00:00:00"/>
    <s v="Active"/>
    <s v="Logistics"/>
    <s v="CC-Sup-425"/>
    <n v="5"/>
    <s v=""/>
    <n v="0"/>
    <x v="0"/>
    <n v="1"/>
    <s v=""/>
    <n v="3"/>
    <s v="No"/>
    <s v="No"/>
    <s v="No"/>
    <n v="5"/>
    <s v="Low"/>
    <n v="45288"/>
    <n v="0.1"/>
    <n v="49816.800000000003"/>
  </r>
  <r>
    <s v="EMP0031"/>
    <s v="NA"/>
    <s v="USA"/>
    <x v="1"/>
    <s v="IC"/>
    <x v="27"/>
    <s v="FTE"/>
    <d v="2025-11-28T00:00:00"/>
    <s v="Active"/>
    <s v="Controlling"/>
    <s v="CC-Fin-572"/>
    <n v="5"/>
    <s v=""/>
    <n v="0"/>
    <x v="0"/>
    <n v="1"/>
    <s v=""/>
    <n v="3"/>
    <s v="No"/>
    <s v="No"/>
    <s v="No"/>
    <n v="2"/>
    <s v="High"/>
    <n v="35896"/>
    <n v="0.1"/>
    <n v="39485.600000000006"/>
  </r>
  <r>
    <s v="EMP0032"/>
    <s v="NA"/>
    <s v="USA"/>
    <x v="3"/>
    <s v="IC"/>
    <x v="28"/>
    <s v="FTE"/>
    <d v="2025-11-28T00:00:00"/>
    <s v="Active"/>
    <s v="Manufacturing"/>
    <s v="CC-Ope-725"/>
    <n v="5"/>
    <s v=""/>
    <n v="0"/>
    <x v="0"/>
    <n v="1"/>
    <s v=""/>
    <n v="3"/>
    <s v="No"/>
    <s v="No"/>
    <s v="No"/>
    <n v="4"/>
    <s v="Low"/>
    <n v="22544"/>
    <n v="0.1"/>
    <n v="24798.400000000001"/>
  </r>
  <r>
    <s v="EMP0033"/>
    <s v="NA"/>
    <s v="USA"/>
    <x v="2"/>
    <s v="IC"/>
    <x v="29"/>
    <s v="FTE"/>
    <d v="2025-11-19T00:00:00"/>
    <s v="Active"/>
    <s v="Commercial"/>
    <s v="CC-Sal-201"/>
    <n v="5"/>
    <s v=""/>
    <n v="0"/>
    <x v="0"/>
    <n v="1"/>
    <s v=""/>
    <n v="3"/>
    <s v="No"/>
    <s v="No"/>
    <s v="No"/>
    <n v="3"/>
    <s v="Medium"/>
    <n v="39207"/>
    <n v="0.1"/>
    <n v="43127.700000000004"/>
  </r>
  <r>
    <s v="EMP0034"/>
    <s v="NA"/>
    <s v="USA"/>
    <x v="3"/>
    <s v="IC"/>
    <x v="30"/>
    <s v="FTE"/>
    <d v="2025-11-18T00:00:00"/>
    <s v="Active"/>
    <s v="Manufacturing"/>
    <s v="CC-Ope-449"/>
    <n v="5"/>
    <s v=""/>
    <n v="0"/>
    <x v="0"/>
    <n v="1"/>
    <s v=""/>
    <n v="4"/>
    <s v="No"/>
    <s v="No"/>
    <s v="No"/>
    <n v="2"/>
    <s v="High"/>
    <n v="38298"/>
    <n v="0.1"/>
    <n v="42127.8"/>
  </r>
  <r>
    <s v="EMP0035"/>
    <s v="NA"/>
    <s v="USA"/>
    <x v="2"/>
    <s v="IC"/>
    <x v="31"/>
    <s v="FTE"/>
    <d v="2025-11-16T00:00:00"/>
    <s v="Active"/>
    <s v="Commercial"/>
    <s v="CC-Sal-864"/>
    <n v="5"/>
    <s v=""/>
    <n v="0"/>
    <x v="0"/>
    <n v="1"/>
    <s v=""/>
    <n v="3"/>
    <s v="No"/>
    <s v="No"/>
    <s v="No"/>
    <n v="1"/>
    <s v="High"/>
    <n v="22807"/>
    <n v="0.1"/>
    <n v="25087.7"/>
  </r>
  <r>
    <s v="EMP0036"/>
    <s v="NA"/>
    <s v="USA"/>
    <x v="3"/>
    <s v="IC"/>
    <x v="32"/>
    <s v="FTE"/>
    <d v="2025-11-16T00:00:00"/>
    <s v="Active"/>
    <s v="Manufacturing"/>
    <s v="CC-Ope-955"/>
    <n v="5"/>
    <s v=""/>
    <n v="0"/>
    <x v="0"/>
    <n v="1"/>
    <s v=""/>
    <n v="3"/>
    <s v="No"/>
    <s v="No"/>
    <s v="No"/>
    <n v="4"/>
    <s v="Low"/>
    <n v="34599"/>
    <n v="0.1"/>
    <n v="38058.9"/>
  </r>
  <r>
    <s v="EMP0037"/>
    <s v="NA"/>
    <s v="USA"/>
    <x v="1"/>
    <s v="Manager"/>
    <x v="33"/>
    <s v="FTE"/>
    <d v="2025-11-13T00:00:00"/>
    <s v="Inactive"/>
    <s v="Controlling"/>
    <s v="CC-Fin-177"/>
    <n v="4"/>
    <d v="2026-02-18T00:00:00"/>
    <n v="0"/>
    <x v="0"/>
    <n v="1"/>
    <s v="Voluntary"/>
    <n v="3"/>
    <s v="No"/>
    <s v="No"/>
    <s v="No"/>
    <n v="4"/>
    <s v="Low"/>
    <n v="84163"/>
    <n v="0.15"/>
    <n v="96787.45"/>
  </r>
  <r>
    <s v="EMP0038"/>
    <s v="NA"/>
    <s v="USA"/>
    <x v="1"/>
    <s v="Manager"/>
    <x v="34"/>
    <s v="Contractor"/>
    <d v="2025-11-12T00:00:00"/>
    <s v="Active"/>
    <s v="Controlling"/>
    <s v="CC-Fin-629"/>
    <n v="4"/>
    <s v=""/>
    <n v="0"/>
    <x v="0"/>
    <n v="1"/>
    <s v=""/>
    <n v="4"/>
    <s v="Yes"/>
    <s v="No"/>
    <s v="No"/>
    <n v="4"/>
    <s v="Low"/>
    <n v="78600"/>
    <n v="0.15"/>
    <n v="90390"/>
  </r>
  <r>
    <s v="EMP0039"/>
    <s v="NA"/>
    <s v="USA"/>
    <x v="1"/>
    <s v="IC"/>
    <x v="35"/>
    <s v="FTE"/>
    <d v="2025-11-09T00:00:00"/>
    <s v="Active"/>
    <s v="Controlling"/>
    <s v="CC-Fin-544"/>
    <n v="5"/>
    <s v=""/>
    <n v="0"/>
    <x v="0"/>
    <n v="1"/>
    <s v=""/>
    <n v="2"/>
    <s v="No"/>
    <s v="No"/>
    <s v="No"/>
    <n v="4"/>
    <s v="Low"/>
    <n v="38088"/>
    <n v="0.1"/>
    <n v="41896.800000000003"/>
  </r>
  <r>
    <s v="EMP0040"/>
    <s v="NA"/>
    <s v="USA"/>
    <x v="0"/>
    <s v="IC"/>
    <x v="20"/>
    <s v="FTE"/>
    <d v="2025-11-05T00:00:00"/>
    <s v="Active"/>
    <s v="Logistics"/>
    <s v="CC-Sup-461"/>
    <n v="5"/>
    <s v=""/>
    <n v="0"/>
    <x v="0"/>
    <n v="1"/>
    <s v=""/>
    <n v="2"/>
    <s v="No"/>
    <s v="No"/>
    <s v="No"/>
    <n v="1"/>
    <s v="High"/>
    <n v="44874"/>
    <n v="0.1"/>
    <n v="49361.4"/>
  </r>
  <r>
    <s v="EMP0041"/>
    <s v="NA"/>
    <s v="USA"/>
    <x v="1"/>
    <s v="IC"/>
    <x v="36"/>
    <s v="FTE"/>
    <d v="2025-11-03T00:00:00"/>
    <s v="Active"/>
    <s v="Controlling"/>
    <s v="CC-Fin-874"/>
    <n v="5"/>
    <s v=""/>
    <n v="0"/>
    <x v="0"/>
    <n v="1"/>
    <s v=""/>
    <n v="3"/>
    <s v="No"/>
    <s v="No"/>
    <s v="No"/>
    <n v="2"/>
    <s v="High"/>
    <n v="33190"/>
    <n v="0.1"/>
    <n v="36509"/>
  </r>
  <r>
    <s v="EMP0042"/>
    <s v="NA"/>
    <s v="USA"/>
    <x v="3"/>
    <s v="IC"/>
    <x v="1"/>
    <s v="FTE"/>
    <d v="2025-11-01T00:00:00"/>
    <s v="Active"/>
    <s v="Manufacturing"/>
    <s v="CC-Ope-237"/>
    <n v="5"/>
    <s v=""/>
    <n v="0"/>
    <x v="0"/>
    <n v="1"/>
    <s v=""/>
    <n v="4"/>
    <s v="No"/>
    <s v="No"/>
    <s v="No"/>
    <n v="3"/>
    <s v="Medium"/>
    <n v="46561"/>
    <n v="0.1"/>
    <n v="51217.100000000006"/>
  </r>
  <r>
    <s v="EMP0043"/>
    <s v="NA"/>
    <s v="USA"/>
    <x v="4"/>
    <s v="IC"/>
    <x v="37"/>
    <s v="FTE"/>
    <d v="2025-10-28T00:00:00"/>
    <s v="Active"/>
    <s v="People Operations"/>
    <s v="CC-HR-796"/>
    <n v="5"/>
    <s v=""/>
    <n v="0"/>
    <x v="0"/>
    <n v="1"/>
    <s v=""/>
    <n v="4"/>
    <s v="No"/>
    <s v="No"/>
    <s v="No"/>
    <n v="2"/>
    <s v="High"/>
    <n v="34324"/>
    <n v="0.1"/>
    <n v="37756.400000000001"/>
  </r>
  <r>
    <s v="EMP0044"/>
    <s v="NA"/>
    <s v="USA"/>
    <x v="5"/>
    <s v="VP"/>
    <x v="38"/>
    <s v="FTE"/>
    <d v="2025-10-27T00:00:00"/>
    <s v="Active"/>
    <s v="Technology"/>
    <s v="CC-IT-415"/>
    <n v="2"/>
    <s v=""/>
    <n v="0"/>
    <x v="0"/>
    <n v="1"/>
    <s v=""/>
    <n v="4"/>
    <s v="No"/>
    <s v="No"/>
    <s v="No"/>
    <n v="4"/>
    <s v="Low"/>
    <n v="179756"/>
    <n v="0.25"/>
    <n v="224695"/>
  </r>
  <r>
    <s v="EMP0045"/>
    <s v="NA"/>
    <s v="USA"/>
    <x v="0"/>
    <s v="IC"/>
    <x v="39"/>
    <s v="FTE"/>
    <d v="2025-10-27T00:00:00"/>
    <s v="Active"/>
    <s v="Logistics"/>
    <s v="CC-Sup-562"/>
    <n v="5"/>
    <s v=""/>
    <n v="0"/>
    <x v="0"/>
    <n v="1"/>
    <s v=""/>
    <n v="4"/>
    <s v="Yes"/>
    <s v="No"/>
    <s v="No"/>
    <n v="4"/>
    <s v="Low"/>
    <n v="36231"/>
    <n v="0.1"/>
    <n v="39854.100000000006"/>
  </r>
  <r>
    <s v="EMP0046"/>
    <s v="NA"/>
    <s v="USA"/>
    <x v="0"/>
    <s v="IC"/>
    <x v="40"/>
    <s v="FTE"/>
    <d v="2025-10-20T00:00:00"/>
    <s v="Active"/>
    <s v="Logistics"/>
    <s v="CC-Sup-961"/>
    <n v="5"/>
    <s v=""/>
    <n v="0"/>
    <x v="0"/>
    <n v="1"/>
    <s v=""/>
    <n v="3"/>
    <s v="No"/>
    <s v="No"/>
    <s v="No"/>
    <n v="2"/>
    <s v="High"/>
    <n v="20724"/>
    <n v="0.1"/>
    <n v="22796.400000000001"/>
  </r>
  <r>
    <s v="EMP0047"/>
    <s v="NA"/>
    <s v="USA"/>
    <x v="0"/>
    <s v="IC"/>
    <x v="29"/>
    <s v="FTE"/>
    <d v="2025-10-18T00:00:00"/>
    <s v="Active"/>
    <s v="Logistics"/>
    <s v="CC-Sup-657"/>
    <n v="5"/>
    <s v=""/>
    <n v="0"/>
    <x v="0"/>
    <n v="1"/>
    <s v=""/>
    <n v="2"/>
    <s v="No"/>
    <s v="No"/>
    <s v="No"/>
    <n v="5"/>
    <s v="Low"/>
    <n v="47017"/>
    <n v="0.1"/>
    <n v="51718.700000000004"/>
  </r>
  <r>
    <s v="EMP0048"/>
    <s v="NA"/>
    <s v="USA"/>
    <x v="0"/>
    <s v="IC"/>
    <x v="41"/>
    <s v="FTE"/>
    <d v="2025-10-14T00:00:00"/>
    <s v="Active"/>
    <s v="Logistics"/>
    <s v="CC-Sup-154"/>
    <n v="5"/>
    <s v=""/>
    <n v="0"/>
    <x v="0"/>
    <n v="1"/>
    <s v=""/>
    <n v="5"/>
    <s v="No"/>
    <s v="No"/>
    <s v="No"/>
    <n v="1"/>
    <s v="High"/>
    <n v="20716"/>
    <n v="0.1"/>
    <n v="22787.600000000002"/>
  </r>
  <r>
    <s v="EMP0049"/>
    <s v="NA"/>
    <s v="USA"/>
    <x v="2"/>
    <s v="IC"/>
    <x v="42"/>
    <s v="FTE"/>
    <d v="2025-10-13T00:00:00"/>
    <s v="Active"/>
    <s v="Commercial"/>
    <s v="CC-Sal-150"/>
    <n v="5"/>
    <s v=""/>
    <n v="0"/>
    <x v="0"/>
    <n v="1"/>
    <s v=""/>
    <n v="3"/>
    <s v="No"/>
    <s v="No"/>
    <s v="No"/>
    <n v="1"/>
    <s v="High"/>
    <n v="26080"/>
    <n v="0.1"/>
    <n v="28688.000000000004"/>
  </r>
  <r>
    <s v="EMP0050"/>
    <s v="NA"/>
    <s v="USA"/>
    <x v="5"/>
    <s v="Director"/>
    <x v="43"/>
    <s v="Contractor"/>
    <d v="2025-10-12T00:00:00"/>
    <s v="Active"/>
    <s v="Technology"/>
    <s v="CC-IT-363"/>
    <n v="3"/>
    <s v=""/>
    <n v="0"/>
    <x v="0"/>
    <n v="1"/>
    <s v=""/>
    <n v="3"/>
    <s v="Yes"/>
    <s v="Yes"/>
    <s v="Yes"/>
    <n v="2"/>
    <s v="High"/>
    <n v="135037"/>
    <n v="0.2"/>
    <n v="162044.4"/>
  </r>
  <r>
    <s v="EMP0051"/>
    <s v="NA"/>
    <s v="USA"/>
    <x v="4"/>
    <s v="IC"/>
    <x v="44"/>
    <s v="FTE"/>
    <d v="2025-10-11T00:00:00"/>
    <s v="Active"/>
    <s v="People Operations"/>
    <s v="CC-HR-559"/>
    <n v="5"/>
    <s v=""/>
    <n v="0"/>
    <x v="0"/>
    <n v="1"/>
    <s v=""/>
    <n v="2"/>
    <s v="No"/>
    <s v="No"/>
    <s v="No"/>
    <n v="5"/>
    <s v="Low"/>
    <n v="22081"/>
    <n v="0.1"/>
    <n v="24289.100000000002"/>
  </r>
  <r>
    <s v="EMP0052"/>
    <s v="NA"/>
    <s v="USA"/>
    <x v="5"/>
    <s v="IC"/>
    <x v="45"/>
    <s v="FTE"/>
    <d v="2025-10-11T00:00:00"/>
    <s v="Active"/>
    <s v="Technology"/>
    <s v="CC-IT-908"/>
    <n v="5"/>
    <s v=""/>
    <n v="0"/>
    <x v="0"/>
    <n v="1"/>
    <s v=""/>
    <n v="4"/>
    <s v="No"/>
    <s v="No"/>
    <s v="No"/>
    <n v="2"/>
    <s v="High"/>
    <n v="47571"/>
    <n v="0.1"/>
    <n v="52328.100000000006"/>
  </r>
  <r>
    <s v="EMP0053"/>
    <s v="NA"/>
    <s v="USA"/>
    <x v="1"/>
    <s v="IC"/>
    <x v="46"/>
    <s v="FTE"/>
    <d v="2025-10-07T00:00:00"/>
    <s v="Inactive"/>
    <s v="Controlling"/>
    <s v="CC-Fin-153"/>
    <n v="5"/>
    <d v="2026-02-18T00:00:00"/>
    <n v="0"/>
    <x v="0"/>
    <n v="1"/>
    <s v="Voluntary"/>
    <n v="4"/>
    <s v="No"/>
    <s v="Yes"/>
    <s v="No"/>
    <n v="4"/>
    <s v="Low"/>
    <n v="49106"/>
    <n v="0.1"/>
    <n v="54016.600000000006"/>
  </r>
  <r>
    <s v="EMP0054"/>
    <s v="NA"/>
    <s v="USA"/>
    <x v="3"/>
    <s v="IC"/>
    <x v="17"/>
    <s v="FTE"/>
    <d v="2025-10-05T00:00:00"/>
    <s v="Active"/>
    <s v="Manufacturing"/>
    <s v="CC-Ope-934"/>
    <n v="5"/>
    <s v=""/>
    <n v="0"/>
    <x v="0"/>
    <n v="1"/>
    <s v=""/>
    <n v="5"/>
    <s v="No"/>
    <s v="No"/>
    <s v="No"/>
    <n v="5"/>
    <s v="Low"/>
    <n v="37714"/>
    <n v="0.1"/>
    <n v="41485.4"/>
  </r>
  <r>
    <s v="EMP0055"/>
    <s v="NA"/>
    <s v="USA"/>
    <x v="4"/>
    <s v="IC"/>
    <x v="47"/>
    <s v="Contractor"/>
    <d v="2025-10-04T00:00:00"/>
    <s v="Active"/>
    <s v="People Operations"/>
    <s v="CC-HR-596"/>
    <n v="5"/>
    <s v=""/>
    <n v="0"/>
    <x v="0"/>
    <n v="1"/>
    <s v=""/>
    <n v="4"/>
    <s v="No"/>
    <s v="No"/>
    <s v="No"/>
    <n v="1"/>
    <s v="High"/>
    <n v="43274"/>
    <n v="0.1"/>
    <n v="47601.4"/>
  </r>
  <r>
    <s v="EMP0056"/>
    <s v="NA"/>
    <s v="USA"/>
    <x v="1"/>
    <s v="IC"/>
    <x v="48"/>
    <s v="FTE"/>
    <d v="2025-10-04T00:00:00"/>
    <s v="Active"/>
    <s v="Controlling"/>
    <s v="CC-Fin-749"/>
    <n v="5"/>
    <s v=""/>
    <n v="0"/>
    <x v="0"/>
    <n v="1"/>
    <s v=""/>
    <n v="4"/>
    <s v="No"/>
    <s v="No"/>
    <s v="No"/>
    <n v="5"/>
    <s v="Low"/>
    <n v="35460"/>
    <n v="0.1"/>
    <n v="39006"/>
  </r>
  <r>
    <s v="EMP0057"/>
    <s v="NA"/>
    <s v="USA"/>
    <x v="3"/>
    <s v="IC"/>
    <x v="49"/>
    <s v="FTE"/>
    <d v="2025-10-04T00:00:00"/>
    <s v="Active"/>
    <s v="Manufacturing"/>
    <s v="CC-Ope-987"/>
    <n v="5"/>
    <s v=""/>
    <n v="0"/>
    <x v="0"/>
    <n v="1"/>
    <s v=""/>
    <n v="3"/>
    <s v="No"/>
    <s v="No"/>
    <s v="No"/>
    <n v="3"/>
    <s v="Medium"/>
    <n v="30761"/>
    <n v="0.1"/>
    <n v="33837.100000000006"/>
  </r>
  <r>
    <s v="EMP0058"/>
    <s v="NA"/>
    <s v="USA"/>
    <x v="5"/>
    <s v="IC"/>
    <x v="30"/>
    <s v="FTE"/>
    <d v="2025-10-02T00:00:00"/>
    <s v="Active"/>
    <s v="Technology"/>
    <s v="CC-IT-810"/>
    <n v="5"/>
    <s v=""/>
    <n v="0"/>
    <x v="0"/>
    <n v="1"/>
    <s v=""/>
    <n v="4"/>
    <s v="No"/>
    <s v="No"/>
    <s v="No"/>
    <n v="2"/>
    <s v="High"/>
    <n v="22644"/>
    <n v="0.1"/>
    <n v="24908.400000000001"/>
  </r>
  <r>
    <s v="EMP0059"/>
    <s v="NA"/>
    <s v="USA"/>
    <x v="0"/>
    <s v="Manager"/>
    <x v="50"/>
    <s v="Contractor"/>
    <d v="2025-09-26T00:00:00"/>
    <s v="Active"/>
    <s v="Logistics"/>
    <s v="CC-Sup-129"/>
    <n v="4"/>
    <s v=""/>
    <n v="0"/>
    <x v="0"/>
    <n v="1"/>
    <s v=""/>
    <n v="4"/>
    <s v="No"/>
    <s v="Yes"/>
    <s v="Yes"/>
    <n v="3"/>
    <s v="Medium"/>
    <n v="83295"/>
    <n v="0.15"/>
    <n v="95789.249999999985"/>
  </r>
  <r>
    <s v="EMP0060"/>
    <s v="NA"/>
    <s v="USA"/>
    <x v="2"/>
    <s v="IC"/>
    <x v="51"/>
    <s v="FTE"/>
    <d v="2025-09-24T00:00:00"/>
    <s v="Active"/>
    <s v="Commercial"/>
    <s v="CC-Sal-246"/>
    <n v="5"/>
    <s v=""/>
    <n v="0"/>
    <x v="0"/>
    <n v="1"/>
    <s v=""/>
    <n v="3"/>
    <s v="No"/>
    <s v="No"/>
    <s v="No"/>
    <n v="5"/>
    <s v="Low"/>
    <n v="46683"/>
    <n v="0.1"/>
    <n v="51351.3"/>
  </r>
  <r>
    <s v="EMP0061"/>
    <s v="NA"/>
    <s v="USA"/>
    <x v="2"/>
    <s v="IC"/>
    <x v="23"/>
    <s v="FTE"/>
    <d v="2025-09-22T00:00:00"/>
    <s v="Inactive"/>
    <s v="Commercial"/>
    <s v="CC-Sal-183"/>
    <n v="5"/>
    <d v="2026-02-18T00:00:00"/>
    <n v="0"/>
    <x v="0"/>
    <n v="1"/>
    <s v="Voluntary"/>
    <n v="4"/>
    <s v="No"/>
    <s v="No"/>
    <s v="No"/>
    <n v="3"/>
    <s v="Medium"/>
    <n v="38027"/>
    <n v="0.1"/>
    <n v="41829.700000000004"/>
  </r>
  <r>
    <s v="EMP0062"/>
    <s v="NA"/>
    <s v="USA"/>
    <x v="2"/>
    <s v="IC"/>
    <x v="41"/>
    <s v="FTE"/>
    <d v="2025-09-19T00:00:00"/>
    <s v="Active"/>
    <s v="Commercial"/>
    <s v="CC-Sal-639"/>
    <n v="5"/>
    <s v=""/>
    <n v="0"/>
    <x v="0"/>
    <n v="1"/>
    <s v=""/>
    <n v="2"/>
    <s v="No"/>
    <s v="No"/>
    <s v="No"/>
    <n v="1"/>
    <s v="High"/>
    <n v="33294"/>
    <n v="0.1"/>
    <n v="36623.4"/>
  </r>
  <r>
    <s v="EMP0063"/>
    <s v="NA"/>
    <s v="USA"/>
    <x v="4"/>
    <s v="IC"/>
    <x v="52"/>
    <s v="FTE"/>
    <d v="2025-09-19T00:00:00"/>
    <s v="Active"/>
    <s v="People Operations"/>
    <s v="CC-HR-290"/>
    <n v="5"/>
    <s v=""/>
    <n v="0"/>
    <x v="0"/>
    <n v="1"/>
    <s v=""/>
    <n v="4"/>
    <s v="No"/>
    <s v="Yes"/>
    <s v="No"/>
    <n v="4"/>
    <s v="Low"/>
    <n v="31289"/>
    <n v="0.1"/>
    <n v="34417.9"/>
  </r>
  <r>
    <s v="EMP0064"/>
    <s v="NA"/>
    <s v="USA"/>
    <x v="5"/>
    <s v="Director"/>
    <x v="53"/>
    <s v="FTE"/>
    <d v="2025-09-17T00:00:00"/>
    <s v="Active"/>
    <s v="Technology"/>
    <s v="CC-IT-334"/>
    <n v="3"/>
    <s v=""/>
    <n v="0"/>
    <x v="0"/>
    <n v="1"/>
    <s v=""/>
    <n v="4"/>
    <s v="No"/>
    <s v="No"/>
    <s v="No"/>
    <n v="4"/>
    <s v="Low"/>
    <n v="99185"/>
    <n v="0.2"/>
    <n v="119022"/>
  </r>
  <r>
    <s v="EMP0065"/>
    <s v="NA"/>
    <s v="USA"/>
    <x v="5"/>
    <s v="IC"/>
    <x v="45"/>
    <s v="FTE"/>
    <d v="2025-09-15T00:00:00"/>
    <s v="Active"/>
    <s v="Technology"/>
    <s v="CC-IT-492"/>
    <n v="5"/>
    <s v=""/>
    <n v="0"/>
    <x v="0"/>
    <n v="1"/>
    <s v=""/>
    <n v="5"/>
    <s v="Yes"/>
    <s v="No"/>
    <s v="No"/>
    <n v="4"/>
    <s v="Low"/>
    <n v="33716"/>
    <n v="0.1"/>
    <n v="37087.600000000006"/>
  </r>
  <r>
    <s v="EMP0066"/>
    <s v="NA"/>
    <s v="USA"/>
    <x v="2"/>
    <s v="Manager"/>
    <x v="54"/>
    <s v="FTE"/>
    <d v="2025-09-14T00:00:00"/>
    <s v="Active"/>
    <s v="Commercial"/>
    <s v="CC-Sal-685"/>
    <n v="4"/>
    <s v=""/>
    <n v="0"/>
    <x v="0"/>
    <n v="1"/>
    <s v=""/>
    <n v="5"/>
    <s v="No"/>
    <s v="No"/>
    <s v="No"/>
    <n v="3"/>
    <s v="Medium"/>
    <n v="86670"/>
    <n v="0.15"/>
    <n v="99670.499999999985"/>
  </r>
  <r>
    <s v="EMP0067"/>
    <s v="NA"/>
    <s v="USA"/>
    <x v="0"/>
    <s v="IC"/>
    <x v="55"/>
    <s v="FTE"/>
    <d v="2025-09-13T00:00:00"/>
    <s v="Active"/>
    <s v="Logistics"/>
    <s v="CC-Sup-588"/>
    <n v="5"/>
    <s v=""/>
    <n v="0"/>
    <x v="0"/>
    <n v="1"/>
    <s v=""/>
    <n v="4"/>
    <s v="Yes"/>
    <s v="No"/>
    <s v="No"/>
    <n v="2"/>
    <s v="High"/>
    <n v="38866"/>
    <n v="0.1"/>
    <n v="42752.600000000006"/>
  </r>
  <r>
    <s v="EMP0068"/>
    <s v="NA"/>
    <s v="USA"/>
    <x v="4"/>
    <s v="Manager"/>
    <x v="56"/>
    <s v="FTE"/>
    <d v="2025-09-13T00:00:00"/>
    <s v="Active"/>
    <s v="People Operations"/>
    <s v="CC-HR-842"/>
    <n v="4"/>
    <s v=""/>
    <n v="0"/>
    <x v="0"/>
    <n v="1"/>
    <s v=""/>
    <n v="3"/>
    <s v="No"/>
    <s v="No"/>
    <s v="No"/>
    <n v="1"/>
    <s v="High"/>
    <n v="77627"/>
    <n v="0.15"/>
    <n v="89271.049999999988"/>
  </r>
  <r>
    <s v="EMP0069"/>
    <s v="NA"/>
    <s v="USA"/>
    <x v="5"/>
    <s v="IC"/>
    <x v="57"/>
    <s v="FTE"/>
    <d v="2025-09-12T00:00:00"/>
    <s v="Active"/>
    <s v="Technology"/>
    <s v="CC-IT-544"/>
    <n v="5"/>
    <s v=""/>
    <n v="0"/>
    <x v="0"/>
    <n v="1"/>
    <s v=""/>
    <n v="3"/>
    <s v="No"/>
    <s v="No"/>
    <s v="No"/>
    <n v="2"/>
    <s v="High"/>
    <n v="41612"/>
    <n v="0.1"/>
    <n v="45773.200000000004"/>
  </r>
  <r>
    <s v="EMP0070"/>
    <s v="NA"/>
    <s v="USA"/>
    <x v="1"/>
    <s v="IC"/>
    <x v="58"/>
    <s v="FTE"/>
    <d v="2025-09-10T00:00:00"/>
    <s v="Active"/>
    <s v="Controlling"/>
    <s v="CC-Fin-690"/>
    <n v="5"/>
    <s v=""/>
    <n v="0"/>
    <x v="0"/>
    <n v="1"/>
    <s v=""/>
    <n v="3"/>
    <s v="No"/>
    <s v="No"/>
    <s v="No"/>
    <n v="1"/>
    <s v="High"/>
    <n v="25571"/>
    <n v="0.1"/>
    <n v="28128.100000000002"/>
  </r>
  <r>
    <s v="EMP0071"/>
    <s v="NA"/>
    <s v="USA"/>
    <x v="2"/>
    <s v="IC"/>
    <x v="59"/>
    <s v="Contractor"/>
    <d v="2025-09-10T00:00:00"/>
    <s v="Active"/>
    <s v="Commercial"/>
    <s v="CC-Sal-526"/>
    <n v="5"/>
    <s v=""/>
    <n v="0"/>
    <x v="0"/>
    <n v="1"/>
    <s v=""/>
    <n v="3"/>
    <s v="No"/>
    <s v="No"/>
    <s v="No"/>
    <n v="5"/>
    <s v="Low"/>
    <n v="30605"/>
    <n v="0.1"/>
    <n v="33665.5"/>
  </r>
  <r>
    <s v="EMP0072"/>
    <s v="NA"/>
    <s v="USA"/>
    <x v="4"/>
    <s v="IC"/>
    <x v="60"/>
    <s v="FTE"/>
    <d v="2025-09-09T00:00:00"/>
    <s v="Active"/>
    <s v="People Operations"/>
    <s v="CC-HR-508"/>
    <n v="5"/>
    <s v=""/>
    <n v="0"/>
    <x v="0"/>
    <n v="1"/>
    <s v=""/>
    <n v="4"/>
    <s v="No"/>
    <s v="Yes"/>
    <s v="Yes"/>
    <n v="4"/>
    <s v="Low"/>
    <n v="30352"/>
    <n v="0.1"/>
    <n v="33387.200000000004"/>
  </r>
  <r>
    <s v="EMP0073"/>
    <s v="NA"/>
    <s v="USA"/>
    <x v="0"/>
    <s v="IC"/>
    <x v="61"/>
    <s v="FTE"/>
    <d v="2025-09-09T00:00:00"/>
    <s v="Active"/>
    <s v="Logistics"/>
    <s v="CC-Sup-715"/>
    <n v="5"/>
    <s v=""/>
    <n v="0"/>
    <x v="0"/>
    <n v="1"/>
    <s v=""/>
    <n v="4"/>
    <s v="No"/>
    <s v="No"/>
    <s v="No"/>
    <n v="5"/>
    <s v="Low"/>
    <n v="34311"/>
    <n v="0.1"/>
    <n v="37742.100000000006"/>
  </r>
  <r>
    <s v="EMP0074"/>
    <s v="NA"/>
    <s v="USA"/>
    <x v="5"/>
    <s v="IC"/>
    <x v="62"/>
    <s v="Contractor"/>
    <d v="2025-09-06T00:00:00"/>
    <s v="Active"/>
    <s v="Technology"/>
    <s v="CC-IT-249"/>
    <n v="5"/>
    <s v=""/>
    <n v="0"/>
    <x v="0"/>
    <n v="1"/>
    <s v=""/>
    <n v="3"/>
    <s v="No"/>
    <s v="No"/>
    <s v="No"/>
    <n v="2"/>
    <s v="High"/>
    <n v="35045"/>
    <n v="0.1"/>
    <n v="38549.5"/>
  </r>
  <r>
    <s v="EMP0075"/>
    <s v="NA"/>
    <s v="USA"/>
    <x v="2"/>
    <s v="IC"/>
    <x v="63"/>
    <s v="FTE"/>
    <d v="2025-09-04T00:00:00"/>
    <s v="Active"/>
    <s v="Commercial"/>
    <s v="CC-Sal-607"/>
    <n v="5"/>
    <s v=""/>
    <n v="0"/>
    <x v="0"/>
    <n v="1"/>
    <s v=""/>
    <n v="2"/>
    <s v="No"/>
    <s v="No"/>
    <s v="No"/>
    <n v="5"/>
    <s v="Low"/>
    <n v="39122"/>
    <n v="0.1"/>
    <n v="43034.200000000004"/>
  </r>
  <r>
    <s v="EMP0076"/>
    <s v="NA"/>
    <s v="USA"/>
    <x v="5"/>
    <s v="IC"/>
    <x v="64"/>
    <s v="FTE"/>
    <d v="2025-09-03T00:00:00"/>
    <s v="Active"/>
    <s v="Technology"/>
    <s v="CC-IT-605"/>
    <n v="5"/>
    <s v=""/>
    <n v="0"/>
    <x v="0"/>
    <n v="1"/>
    <s v=""/>
    <n v="1"/>
    <s v="No"/>
    <s v="No"/>
    <s v="No"/>
    <n v="4"/>
    <s v="Low"/>
    <n v="22199"/>
    <n v="0.1"/>
    <n v="24418.9"/>
  </r>
  <r>
    <s v="EMP0077"/>
    <s v="NA"/>
    <s v="USA"/>
    <x v="2"/>
    <s v="Manager"/>
    <x v="65"/>
    <s v="FTE"/>
    <d v="2025-08-26T00:00:00"/>
    <s v="Active"/>
    <s v="Commercial"/>
    <s v="CC-Sal-449"/>
    <n v="4"/>
    <s v=""/>
    <n v="0"/>
    <x v="0"/>
    <n v="1"/>
    <s v=""/>
    <n v="3"/>
    <s v="No"/>
    <s v="No"/>
    <s v="No"/>
    <n v="4"/>
    <s v="Low"/>
    <n v="81061"/>
    <n v="0.15"/>
    <n v="93220.15"/>
  </r>
  <r>
    <s v="EMP0078"/>
    <s v="NA"/>
    <s v="USA"/>
    <x v="1"/>
    <s v="IC"/>
    <x v="21"/>
    <s v="FTE"/>
    <d v="2025-08-26T00:00:00"/>
    <s v="Active"/>
    <s v="Controlling"/>
    <s v="CC-Fin-456"/>
    <n v="5"/>
    <s v=""/>
    <n v="0"/>
    <x v="0"/>
    <n v="1"/>
    <s v=""/>
    <n v="3"/>
    <s v="No"/>
    <s v="Yes"/>
    <s v="No"/>
    <n v="4"/>
    <s v="Low"/>
    <n v="39442"/>
    <n v="0.1"/>
    <n v="43386.200000000004"/>
  </r>
  <r>
    <s v="EMP0079"/>
    <s v="NA"/>
    <s v="USA"/>
    <x v="4"/>
    <s v="IC"/>
    <x v="40"/>
    <s v="FTE"/>
    <d v="2025-08-24T00:00:00"/>
    <s v="Active"/>
    <s v="People Operations"/>
    <s v="CC-HR-701"/>
    <n v="5"/>
    <s v=""/>
    <n v="0"/>
    <x v="0"/>
    <n v="1"/>
    <s v=""/>
    <n v="4"/>
    <s v="No"/>
    <s v="Yes"/>
    <s v="No"/>
    <n v="3"/>
    <s v="Medium"/>
    <n v="49168"/>
    <n v="0.1"/>
    <n v="54084.800000000003"/>
  </r>
  <r>
    <s v="EMP0080"/>
    <s v="NA"/>
    <s v="USA"/>
    <x v="0"/>
    <s v="IC"/>
    <x v="66"/>
    <s v="FTE"/>
    <d v="2025-08-24T00:00:00"/>
    <s v="Inactive"/>
    <s v="Logistics"/>
    <s v="CC-Sup-310"/>
    <n v="5"/>
    <d v="2026-02-18T00:00:00"/>
    <n v="0"/>
    <x v="0"/>
    <n v="1"/>
    <s v="Voluntary"/>
    <n v="3"/>
    <s v="No"/>
    <s v="No"/>
    <s v="No"/>
    <n v="1"/>
    <s v="High"/>
    <n v="29046"/>
    <n v="0.1"/>
    <n v="31950.600000000002"/>
  </r>
  <r>
    <s v="EMP0081"/>
    <s v="NA"/>
    <s v="USA"/>
    <x v="4"/>
    <s v="IC"/>
    <x v="67"/>
    <s v="Contractor"/>
    <d v="2025-08-23T00:00:00"/>
    <s v="Inactive"/>
    <s v="People Operations"/>
    <s v="CC-HR-979"/>
    <n v="5"/>
    <d v="2026-02-18T00:00:00"/>
    <n v="0"/>
    <x v="0"/>
    <n v="1"/>
    <s v="Voluntary"/>
    <n v="3"/>
    <s v="No"/>
    <s v="No"/>
    <s v="No"/>
    <n v="2"/>
    <s v="High"/>
    <n v="35020"/>
    <n v="0.1"/>
    <n v="38522"/>
  </r>
  <r>
    <s v="EMP0082"/>
    <s v="NA"/>
    <s v="USA"/>
    <x v="3"/>
    <s v="IC"/>
    <x v="68"/>
    <s v="FTE"/>
    <d v="2025-08-22T00:00:00"/>
    <s v="Active"/>
    <s v="Manufacturing"/>
    <s v="CC-Ope-342"/>
    <n v="5"/>
    <s v=""/>
    <n v="0"/>
    <x v="0"/>
    <n v="1"/>
    <s v=""/>
    <n v="3"/>
    <s v="No"/>
    <s v="No"/>
    <s v="No"/>
    <n v="3"/>
    <s v="Medium"/>
    <n v="31160"/>
    <n v="0.1"/>
    <n v="34276"/>
  </r>
  <r>
    <s v="EMP0083"/>
    <s v="NA"/>
    <s v="USA"/>
    <x v="0"/>
    <s v="IC"/>
    <x v="69"/>
    <s v="FTE"/>
    <d v="2025-08-13T00:00:00"/>
    <s v="Active"/>
    <s v="Logistics"/>
    <s v="CC-Sup-728"/>
    <n v="5"/>
    <s v=""/>
    <n v="0"/>
    <x v="0"/>
    <n v="1"/>
    <s v=""/>
    <n v="4"/>
    <s v="Yes"/>
    <s v="No"/>
    <s v="No"/>
    <n v="4"/>
    <s v="Low"/>
    <n v="22095"/>
    <n v="0.1"/>
    <n v="24304.500000000004"/>
  </r>
  <r>
    <s v="EMP0084"/>
    <s v="NA"/>
    <s v="USA"/>
    <x v="1"/>
    <s v="IC"/>
    <x v="70"/>
    <s v="FTE"/>
    <d v="2025-08-13T00:00:00"/>
    <s v="Active"/>
    <s v="Controlling"/>
    <s v="CC-Fin-644"/>
    <n v="5"/>
    <s v=""/>
    <n v="0"/>
    <x v="0"/>
    <n v="1"/>
    <s v=""/>
    <n v="3"/>
    <s v="No"/>
    <s v="No"/>
    <s v="No"/>
    <n v="3"/>
    <s v="Medium"/>
    <n v="40507"/>
    <n v="0.1"/>
    <n v="44557.700000000004"/>
  </r>
  <r>
    <s v="EMP0085"/>
    <s v="NA"/>
    <s v="USA"/>
    <x v="4"/>
    <s v="IC"/>
    <x v="71"/>
    <s v="Contractor"/>
    <d v="2025-08-11T00:00:00"/>
    <s v="Active"/>
    <s v="People Operations"/>
    <s v="CC-HR-472"/>
    <n v="5"/>
    <s v=""/>
    <n v="0"/>
    <x v="0"/>
    <n v="1"/>
    <s v=""/>
    <n v="4"/>
    <s v="No"/>
    <s v="No"/>
    <s v="No"/>
    <n v="5"/>
    <s v="Low"/>
    <n v="28054"/>
    <n v="0.1"/>
    <n v="30859.4"/>
  </r>
  <r>
    <s v="EMP0086"/>
    <s v="NA"/>
    <s v="USA"/>
    <x v="3"/>
    <s v="Director"/>
    <x v="11"/>
    <s v="FTE"/>
    <d v="2025-08-08T00:00:00"/>
    <s v="Active"/>
    <s v="Manufacturing"/>
    <s v="CC-Ope-272"/>
    <n v="3"/>
    <s v=""/>
    <n v="0"/>
    <x v="0"/>
    <n v="1"/>
    <s v=""/>
    <n v="3"/>
    <s v="No"/>
    <s v="Yes"/>
    <s v="Yes"/>
    <n v="5"/>
    <s v="Low"/>
    <n v="103096"/>
    <n v="0.2"/>
    <n v="123715.2"/>
  </r>
  <r>
    <s v="EMP0087"/>
    <s v="NA"/>
    <s v="USA"/>
    <x v="0"/>
    <s v="Manager"/>
    <x v="72"/>
    <s v="FTE"/>
    <d v="2025-08-08T00:00:00"/>
    <s v="Active"/>
    <s v="Logistics"/>
    <s v="CC-Sup-190"/>
    <n v="4"/>
    <s v=""/>
    <n v="0"/>
    <x v="0"/>
    <n v="1"/>
    <s v=""/>
    <n v="3"/>
    <s v="Yes"/>
    <s v="No"/>
    <s v="No"/>
    <n v="5"/>
    <s v="Low"/>
    <n v="82524"/>
    <n v="0.15"/>
    <n v="94902.599999999991"/>
  </r>
  <r>
    <s v="EMP0088"/>
    <s v="NA"/>
    <s v="USA"/>
    <x v="4"/>
    <s v="IC"/>
    <x v="73"/>
    <s v="FTE"/>
    <d v="2025-08-07T00:00:00"/>
    <s v="Active"/>
    <s v="People Operations"/>
    <s v="CC-HR-478"/>
    <n v="5"/>
    <s v=""/>
    <n v="0"/>
    <x v="0"/>
    <n v="1"/>
    <s v=""/>
    <n v="4"/>
    <s v="No"/>
    <s v="No"/>
    <s v="No"/>
    <n v="1"/>
    <s v="High"/>
    <n v="43724"/>
    <n v="0.1"/>
    <n v="48096.4"/>
  </r>
  <r>
    <s v="EMP0089"/>
    <s v="NA"/>
    <s v="USA"/>
    <x v="5"/>
    <s v="IC"/>
    <x v="74"/>
    <s v="FTE"/>
    <d v="2025-08-06T00:00:00"/>
    <s v="Active"/>
    <s v="Technology"/>
    <s v="CC-IT-173"/>
    <n v="5"/>
    <s v=""/>
    <n v="0"/>
    <x v="0"/>
    <n v="1"/>
    <s v=""/>
    <n v="3"/>
    <s v="No"/>
    <s v="No"/>
    <s v="No"/>
    <n v="1"/>
    <s v="High"/>
    <n v="25971"/>
    <n v="0.1"/>
    <n v="28568.100000000002"/>
  </r>
  <r>
    <s v="EMP0090"/>
    <s v="NA"/>
    <s v="USA"/>
    <x v="1"/>
    <s v="IC"/>
    <x v="58"/>
    <s v="FTE"/>
    <d v="2025-08-06T00:00:00"/>
    <s v="Active"/>
    <s v="Controlling"/>
    <s v="CC-Fin-302"/>
    <n v="5"/>
    <s v=""/>
    <n v="0"/>
    <x v="0"/>
    <n v="1"/>
    <s v=""/>
    <n v="3"/>
    <s v="No"/>
    <s v="No"/>
    <s v="No"/>
    <n v="4"/>
    <s v="Low"/>
    <n v="46139"/>
    <n v="0.1"/>
    <n v="50752.9"/>
  </r>
  <r>
    <s v="EMP0091"/>
    <s v="NA"/>
    <s v="USA"/>
    <x v="2"/>
    <s v="IC"/>
    <x v="64"/>
    <s v="FTE"/>
    <d v="2025-07-28T00:00:00"/>
    <s v="Active"/>
    <s v="Commercial"/>
    <s v="CC-Sal-939"/>
    <n v="5"/>
    <s v=""/>
    <n v="0"/>
    <x v="0"/>
    <n v="1"/>
    <s v=""/>
    <n v="3"/>
    <s v="No"/>
    <s v="No"/>
    <s v="No"/>
    <n v="1"/>
    <s v="High"/>
    <n v="21827"/>
    <n v="0.1"/>
    <n v="24009.7"/>
  </r>
  <r>
    <s v="EMP0092"/>
    <s v="NA"/>
    <s v="USA"/>
    <x v="4"/>
    <s v="IC"/>
    <x v="71"/>
    <s v="FTE"/>
    <d v="2025-07-24T00:00:00"/>
    <s v="Active"/>
    <s v="People Operations"/>
    <s v="CC-HR-835"/>
    <n v="5"/>
    <s v=""/>
    <n v="0"/>
    <x v="0"/>
    <n v="1"/>
    <s v=""/>
    <n v="3"/>
    <s v="No"/>
    <s v="No"/>
    <s v="No"/>
    <n v="1"/>
    <s v="High"/>
    <n v="36004"/>
    <n v="0.1"/>
    <n v="39604.400000000001"/>
  </r>
  <r>
    <s v="EMP0093"/>
    <s v="NA"/>
    <s v="USA"/>
    <x v="0"/>
    <s v="IC"/>
    <x v="46"/>
    <s v="FTE"/>
    <d v="2025-07-23T00:00:00"/>
    <s v="Active"/>
    <s v="Logistics"/>
    <s v="CC-Sup-417"/>
    <n v="5"/>
    <s v=""/>
    <n v="0"/>
    <x v="0"/>
    <n v="1"/>
    <s v=""/>
    <n v="3"/>
    <s v="No"/>
    <s v="Yes"/>
    <s v="Yes"/>
    <n v="4"/>
    <s v="Low"/>
    <n v="37438"/>
    <n v="0.1"/>
    <n v="41181.800000000003"/>
  </r>
  <r>
    <s v="EMP0094"/>
    <s v="NA"/>
    <s v="USA"/>
    <x v="0"/>
    <s v="Manager"/>
    <x v="75"/>
    <s v="FTE"/>
    <d v="2025-07-22T00:00:00"/>
    <s v="Active"/>
    <s v="Logistics"/>
    <s v="CC-Sup-587"/>
    <n v="4"/>
    <s v=""/>
    <n v="0"/>
    <x v="0"/>
    <n v="1"/>
    <s v=""/>
    <n v="4"/>
    <s v="No"/>
    <s v="No"/>
    <s v="No"/>
    <n v="2"/>
    <s v="High"/>
    <n v="66955"/>
    <n v="0.15"/>
    <n v="76998.25"/>
  </r>
  <r>
    <s v="EMP0095"/>
    <s v="NA"/>
    <s v="USA"/>
    <x v="2"/>
    <s v="Manager"/>
    <x v="76"/>
    <s v="FTE"/>
    <d v="2025-07-21T00:00:00"/>
    <s v="Active"/>
    <s v="Commercial"/>
    <s v="CC-Sal-645"/>
    <n v="4"/>
    <s v=""/>
    <n v="0"/>
    <x v="0"/>
    <n v="1"/>
    <s v=""/>
    <n v="4"/>
    <s v="No"/>
    <s v="No"/>
    <s v="No"/>
    <n v="1"/>
    <s v="High"/>
    <n v="63810"/>
    <n v="0.15"/>
    <n v="73381.5"/>
  </r>
  <r>
    <s v="EMP0096"/>
    <s v="NA"/>
    <s v="USA"/>
    <x v="2"/>
    <s v="IC"/>
    <x v="22"/>
    <s v="Contractor"/>
    <d v="2025-07-20T00:00:00"/>
    <s v="Active"/>
    <s v="Commercial"/>
    <s v="CC-Sal-909"/>
    <n v="5"/>
    <s v=""/>
    <n v="0"/>
    <x v="0"/>
    <n v="1"/>
    <s v=""/>
    <n v="3"/>
    <s v="No"/>
    <s v="No"/>
    <s v="No"/>
    <n v="5"/>
    <s v="Low"/>
    <n v="38466"/>
    <n v="0.1"/>
    <n v="42312.600000000006"/>
  </r>
  <r>
    <s v="EMP0097"/>
    <s v="NA"/>
    <s v="USA"/>
    <x v="0"/>
    <s v="IC"/>
    <x v="77"/>
    <s v="FTE"/>
    <d v="2025-07-19T00:00:00"/>
    <s v="Active"/>
    <s v="Logistics"/>
    <s v="CC-Sup-215"/>
    <n v="5"/>
    <s v=""/>
    <n v="0"/>
    <x v="0"/>
    <n v="1"/>
    <s v=""/>
    <n v="3"/>
    <s v="No"/>
    <s v="No"/>
    <s v="No"/>
    <n v="3"/>
    <s v="Medium"/>
    <n v="38934"/>
    <n v="0.1"/>
    <n v="42827.4"/>
  </r>
  <r>
    <s v="EMP0098"/>
    <s v="NA"/>
    <s v="USA"/>
    <x v="0"/>
    <s v="IC"/>
    <x v="78"/>
    <s v="FTE"/>
    <d v="2025-07-18T00:00:00"/>
    <s v="Inactive"/>
    <s v="Logistics"/>
    <s v="CC-Sup-370"/>
    <n v="5"/>
    <d v="2026-02-18T00:00:00"/>
    <n v="0"/>
    <x v="0"/>
    <n v="1"/>
    <s v="Voluntary"/>
    <n v="2"/>
    <s v="No"/>
    <s v="No"/>
    <s v="No"/>
    <n v="3"/>
    <s v="Medium"/>
    <n v="34199"/>
    <n v="0.1"/>
    <n v="37618.9"/>
  </r>
  <r>
    <s v="EMP0099"/>
    <s v="NA"/>
    <s v="USA"/>
    <x v="0"/>
    <s v="Manager"/>
    <x v="79"/>
    <s v="FTE"/>
    <d v="2025-07-17T00:00:00"/>
    <s v="Active"/>
    <s v="Logistics"/>
    <s v="CC-Sup-468"/>
    <n v="4"/>
    <s v=""/>
    <n v="0"/>
    <x v="0"/>
    <n v="1"/>
    <s v=""/>
    <n v="3"/>
    <s v="No"/>
    <s v="No"/>
    <s v="No"/>
    <n v="2"/>
    <s v="High"/>
    <n v="52539"/>
    <n v="0.15"/>
    <n v="60419.85"/>
  </r>
  <r>
    <s v="EMP0100"/>
    <s v="NA"/>
    <s v="USA"/>
    <x v="4"/>
    <s v="IC"/>
    <x v="39"/>
    <s v="FTE"/>
    <d v="2025-07-17T00:00:00"/>
    <s v="Active"/>
    <s v="People Operations"/>
    <s v="CC-HR-276"/>
    <n v="5"/>
    <s v=""/>
    <n v="0"/>
    <x v="0"/>
    <n v="1"/>
    <s v=""/>
    <n v="3"/>
    <s v="No"/>
    <s v="No"/>
    <s v="No"/>
    <n v="5"/>
    <s v="Low"/>
    <n v="33706"/>
    <n v="0.1"/>
    <n v="37076.600000000006"/>
  </r>
  <r>
    <s v="EMP0101"/>
    <s v="NA"/>
    <s v="USA"/>
    <x v="4"/>
    <s v="IC"/>
    <x v="47"/>
    <s v="FTE"/>
    <d v="2025-07-16T00:00:00"/>
    <s v="Active"/>
    <s v="People Operations"/>
    <s v="CC-HR-551"/>
    <n v="5"/>
    <s v=""/>
    <n v="0"/>
    <x v="0"/>
    <n v="1"/>
    <s v=""/>
    <n v="4"/>
    <s v="No"/>
    <s v="No"/>
    <s v="No"/>
    <n v="3"/>
    <s v="Medium"/>
    <n v="45759"/>
    <n v="0.1"/>
    <n v="50334.9"/>
  </r>
  <r>
    <s v="EMP0102"/>
    <s v="NA"/>
    <s v="USA"/>
    <x v="3"/>
    <s v="IC"/>
    <x v="66"/>
    <s v="Contractor"/>
    <d v="2025-07-14T00:00:00"/>
    <s v="Active"/>
    <s v="Manufacturing"/>
    <s v="CC-Ope-386"/>
    <n v="5"/>
    <s v=""/>
    <n v="0"/>
    <x v="0"/>
    <n v="1"/>
    <s v=""/>
    <n v="4"/>
    <s v="No"/>
    <s v="No"/>
    <s v="No"/>
    <n v="5"/>
    <s v="Low"/>
    <n v="37885"/>
    <n v="0.1"/>
    <n v="41673.5"/>
  </r>
  <r>
    <s v="EMP0103"/>
    <s v="NA"/>
    <s v="USA"/>
    <x v="2"/>
    <s v="IC"/>
    <x v="80"/>
    <s v="FTE"/>
    <d v="2025-07-09T00:00:00"/>
    <s v="Active"/>
    <s v="Commercial"/>
    <s v="CC-Sal-579"/>
    <n v="5"/>
    <s v=""/>
    <n v="0"/>
    <x v="0"/>
    <n v="1"/>
    <s v=""/>
    <n v="4"/>
    <s v="No"/>
    <s v="No"/>
    <s v="No"/>
    <n v="2"/>
    <s v="High"/>
    <n v="35111"/>
    <n v="0.1"/>
    <n v="38622.100000000006"/>
  </r>
  <r>
    <s v="EMP0104"/>
    <s v="NA"/>
    <s v="USA"/>
    <x v="1"/>
    <s v="Manager"/>
    <x v="81"/>
    <s v="FTE"/>
    <d v="2025-07-07T00:00:00"/>
    <s v="Active"/>
    <s v="Controlling"/>
    <s v="CC-Fin-215"/>
    <n v="4"/>
    <s v=""/>
    <n v="0"/>
    <x v="0"/>
    <n v="1"/>
    <s v=""/>
    <n v="5"/>
    <s v="No"/>
    <s v="No"/>
    <s v="No"/>
    <n v="4"/>
    <s v="Low"/>
    <n v="74315"/>
    <n v="0.15"/>
    <n v="85462.25"/>
  </r>
  <r>
    <s v="EMP0105"/>
    <s v="NA"/>
    <s v="USA"/>
    <x v="3"/>
    <s v="IC"/>
    <x v="82"/>
    <s v="FTE"/>
    <d v="2025-07-06T00:00:00"/>
    <s v="Active"/>
    <s v="Manufacturing"/>
    <s v="CC-Ope-761"/>
    <n v="5"/>
    <s v=""/>
    <n v="0"/>
    <x v="0"/>
    <n v="1"/>
    <s v=""/>
    <n v="2"/>
    <s v="Yes"/>
    <s v="No"/>
    <s v="No"/>
    <n v="2"/>
    <s v="High"/>
    <n v="41698"/>
    <n v="0.1"/>
    <n v="45867.8"/>
  </r>
  <r>
    <s v="EMP0106"/>
    <s v="NA"/>
    <s v="USA"/>
    <x v="0"/>
    <s v="IC"/>
    <x v="83"/>
    <s v="FTE"/>
    <d v="2025-07-05T00:00:00"/>
    <s v="Active"/>
    <s v="Logistics"/>
    <s v="CC-Sup-554"/>
    <n v="5"/>
    <s v=""/>
    <n v="0"/>
    <x v="0"/>
    <n v="1"/>
    <s v=""/>
    <n v="3"/>
    <s v="No"/>
    <s v="No"/>
    <s v="No"/>
    <n v="3"/>
    <s v="Medium"/>
    <n v="22786"/>
    <n v="0.1"/>
    <n v="25064.600000000002"/>
  </r>
  <r>
    <s v="EMP0107"/>
    <s v="NA"/>
    <s v="USA"/>
    <x v="3"/>
    <s v="IC"/>
    <x v="84"/>
    <s v="FTE"/>
    <d v="2025-07-05T00:00:00"/>
    <s v="Active"/>
    <s v="Manufacturing"/>
    <s v="CC-Ope-632"/>
    <n v="5"/>
    <s v=""/>
    <n v="0"/>
    <x v="0"/>
    <n v="1"/>
    <s v=""/>
    <n v="4"/>
    <s v="No"/>
    <s v="No"/>
    <s v="No"/>
    <n v="4"/>
    <s v="Low"/>
    <n v="30541"/>
    <n v="0.1"/>
    <n v="33595.100000000006"/>
  </r>
  <r>
    <s v="EMP0108"/>
    <s v="NA"/>
    <s v="USA"/>
    <x v="5"/>
    <s v="IC"/>
    <x v="85"/>
    <s v="FTE"/>
    <d v="2025-07-04T00:00:00"/>
    <s v="Active"/>
    <s v="Technology"/>
    <s v="CC-IT-391"/>
    <n v="5"/>
    <s v=""/>
    <n v="0"/>
    <x v="0"/>
    <n v="1"/>
    <s v=""/>
    <n v="3"/>
    <s v="No"/>
    <s v="No"/>
    <s v="No"/>
    <n v="4"/>
    <s v="Low"/>
    <n v="33594"/>
    <n v="0.1"/>
    <n v="36953.4"/>
  </r>
  <r>
    <s v="EMP0109"/>
    <s v="NA"/>
    <s v="USA"/>
    <x v="5"/>
    <s v="IC"/>
    <x v="86"/>
    <s v="FTE"/>
    <d v="2025-06-26T00:00:00"/>
    <s v="Active"/>
    <s v="Technology"/>
    <s v="CC-IT-294"/>
    <n v="5"/>
    <s v=""/>
    <n v="0"/>
    <x v="0"/>
    <n v="1"/>
    <s v=""/>
    <n v="3"/>
    <s v="No"/>
    <s v="No"/>
    <s v="No"/>
    <n v="5"/>
    <s v="Low"/>
    <n v="46628"/>
    <n v="0.1"/>
    <n v="51290.8"/>
  </r>
  <r>
    <s v="EMP0110"/>
    <s v="NA"/>
    <s v="USA"/>
    <x v="1"/>
    <s v="IC"/>
    <x v="87"/>
    <s v="FTE"/>
    <d v="2025-06-25T00:00:00"/>
    <s v="Active"/>
    <s v="Controlling"/>
    <s v="CC-Fin-925"/>
    <n v="5"/>
    <s v=""/>
    <n v="0"/>
    <x v="0"/>
    <n v="1"/>
    <s v=""/>
    <n v="4"/>
    <s v="No"/>
    <s v="No"/>
    <s v="No"/>
    <n v="3"/>
    <s v="Medium"/>
    <n v="26890"/>
    <n v="0.1"/>
    <n v="29579.000000000004"/>
  </r>
  <r>
    <s v="EMP0111"/>
    <s v="NA"/>
    <s v="USA"/>
    <x v="4"/>
    <s v="IC"/>
    <x v="88"/>
    <s v="FTE"/>
    <d v="2025-06-24T00:00:00"/>
    <s v="Active"/>
    <s v="People Operations"/>
    <s v="CC-HR-156"/>
    <n v="5"/>
    <s v=""/>
    <n v="0"/>
    <x v="0"/>
    <n v="1"/>
    <s v=""/>
    <n v="4"/>
    <s v="Yes"/>
    <s v="Yes"/>
    <s v="Yes"/>
    <n v="1"/>
    <s v="High"/>
    <n v="47697"/>
    <n v="0.1"/>
    <n v="52466.700000000004"/>
  </r>
  <r>
    <s v="EMP0112"/>
    <s v="NA"/>
    <s v="USA"/>
    <x v="4"/>
    <s v="IC"/>
    <x v="89"/>
    <s v="FTE"/>
    <d v="2025-06-22T00:00:00"/>
    <s v="Active"/>
    <s v="People Operations"/>
    <s v="CC-HR-246"/>
    <n v="5"/>
    <s v=""/>
    <n v="0"/>
    <x v="0"/>
    <n v="1"/>
    <s v=""/>
    <n v="4"/>
    <s v="No"/>
    <s v="No"/>
    <s v="No"/>
    <n v="2"/>
    <s v="High"/>
    <n v="22662"/>
    <n v="0.1"/>
    <n v="24928.2"/>
  </r>
  <r>
    <s v="EMP0113"/>
    <s v="NA"/>
    <s v="USA"/>
    <x v="5"/>
    <s v="Manager"/>
    <x v="90"/>
    <s v="FTE"/>
    <d v="2025-06-21T00:00:00"/>
    <s v="Inactive"/>
    <s v="Technology"/>
    <s v="CC-IT-665"/>
    <n v="4"/>
    <d v="2026-02-18T00:00:00"/>
    <n v="0"/>
    <x v="0"/>
    <n v="1"/>
    <s v="Voluntary"/>
    <n v="5"/>
    <s v="No"/>
    <s v="No"/>
    <s v="No"/>
    <n v="3"/>
    <s v="Medium"/>
    <n v="66880"/>
    <n v="0.15"/>
    <n v="76912"/>
  </r>
  <r>
    <s v="EMP0114"/>
    <s v="NA"/>
    <s v="USA"/>
    <x v="0"/>
    <s v="IC"/>
    <x v="24"/>
    <s v="Contractor"/>
    <d v="2025-06-21T00:00:00"/>
    <s v="Active"/>
    <s v="Logistics"/>
    <s v="CC-Sup-466"/>
    <n v="5"/>
    <s v=""/>
    <n v="0"/>
    <x v="0"/>
    <n v="1"/>
    <s v=""/>
    <n v="4"/>
    <s v="No"/>
    <s v="No"/>
    <s v="No"/>
    <n v="2"/>
    <s v="High"/>
    <n v="37724"/>
    <n v="0.1"/>
    <n v="41496.400000000001"/>
  </r>
  <r>
    <s v="EMP0115"/>
    <s v="NA"/>
    <s v="USA"/>
    <x v="5"/>
    <s v="IC"/>
    <x v="91"/>
    <s v="FTE"/>
    <d v="2025-06-19T00:00:00"/>
    <s v="Active"/>
    <s v="Technology"/>
    <s v="CC-IT-501"/>
    <n v="5"/>
    <s v=""/>
    <n v="0"/>
    <x v="0"/>
    <n v="1"/>
    <s v=""/>
    <n v="2"/>
    <s v="Yes"/>
    <s v="No"/>
    <s v="No"/>
    <n v="5"/>
    <s v="Low"/>
    <n v="40883"/>
    <n v="0.1"/>
    <n v="44971.3"/>
  </r>
  <r>
    <s v="EMP0116"/>
    <s v="NA"/>
    <s v="USA"/>
    <x v="1"/>
    <s v="Manager"/>
    <x v="92"/>
    <s v="FTE"/>
    <d v="2025-06-17T00:00:00"/>
    <s v="Active"/>
    <s v="Controlling"/>
    <s v="CC-Fin-660"/>
    <n v="4"/>
    <s v=""/>
    <n v="0"/>
    <x v="0"/>
    <n v="1"/>
    <s v=""/>
    <n v="3"/>
    <s v="No"/>
    <s v="No"/>
    <s v="No"/>
    <n v="4"/>
    <s v="Low"/>
    <n v="56030"/>
    <n v="0.15"/>
    <n v="64434.499999999993"/>
  </r>
  <r>
    <s v="EMP0117"/>
    <s v="NA"/>
    <s v="USA"/>
    <x v="5"/>
    <s v="IC"/>
    <x v="93"/>
    <s v="FTE"/>
    <d v="2025-06-17T00:00:00"/>
    <s v="Active"/>
    <s v="Technology"/>
    <s v="CC-IT-113"/>
    <n v="5"/>
    <s v=""/>
    <n v="0"/>
    <x v="0"/>
    <n v="1"/>
    <s v=""/>
    <n v="3"/>
    <s v="No"/>
    <s v="No"/>
    <s v="No"/>
    <n v="4"/>
    <s v="Low"/>
    <n v="40893"/>
    <n v="0.1"/>
    <n v="44982.3"/>
  </r>
  <r>
    <s v="EMP0118"/>
    <s v="NA"/>
    <s v="USA"/>
    <x v="2"/>
    <s v="IC"/>
    <x v="94"/>
    <s v="FTE"/>
    <d v="2025-06-15T00:00:00"/>
    <s v="Active"/>
    <s v="Commercial"/>
    <s v="CC-Sal-134"/>
    <n v="5"/>
    <s v=""/>
    <n v="0"/>
    <x v="0"/>
    <n v="1"/>
    <s v=""/>
    <n v="3"/>
    <s v="No"/>
    <s v="Yes"/>
    <s v="No"/>
    <n v="5"/>
    <s v="Low"/>
    <n v="39909"/>
    <n v="0.1"/>
    <n v="43899.9"/>
  </r>
  <r>
    <s v="EMP0119"/>
    <s v="NA"/>
    <s v="USA"/>
    <x v="1"/>
    <s v="IC"/>
    <x v="95"/>
    <s v="FTE"/>
    <d v="2025-06-13T00:00:00"/>
    <s v="Inactive"/>
    <s v="Controlling"/>
    <s v="CC-Fin-187"/>
    <n v="5"/>
    <d v="2026-02-18T00:00:00"/>
    <n v="0"/>
    <x v="0"/>
    <n v="1"/>
    <s v="Voluntary"/>
    <n v="4"/>
    <s v="No"/>
    <s v="No"/>
    <s v="No"/>
    <n v="3"/>
    <s v="Medium"/>
    <n v="47489"/>
    <n v="0.1"/>
    <n v="52237.9"/>
  </r>
  <r>
    <s v="EMP0120"/>
    <s v="NA"/>
    <s v="USA"/>
    <x v="5"/>
    <s v="IC"/>
    <x v="58"/>
    <s v="FTE"/>
    <d v="2025-06-12T00:00:00"/>
    <s v="Active"/>
    <s v="Technology"/>
    <s v="CC-IT-337"/>
    <n v="5"/>
    <s v=""/>
    <n v="0"/>
    <x v="0"/>
    <n v="1"/>
    <s v=""/>
    <n v="3"/>
    <s v="No"/>
    <s v="No"/>
    <s v="No"/>
    <n v="1"/>
    <s v="High"/>
    <n v="29922"/>
    <n v="0.1"/>
    <n v="32914.200000000004"/>
  </r>
  <r>
    <s v="EMP0121"/>
    <s v="NA"/>
    <s v="USA"/>
    <x v="4"/>
    <s v="IC"/>
    <x v="37"/>
    <s v="FTE"/>
    <d v="2025-06-08T00:00:00"/>
    <s v="Active"/>
    <s v="People Operations"/>
    <s v="CC-HR-766"/>
    <n v="5"/>
    <s v=""/>
    <n v="0"/>
    <x v="0"/>
    <n v="1"/>
    <s v=""/>
    <n v="3"/>
    <s v="No"/>
    <s v="No"/>
    <s v="No"/>
    <n v="2"/>
    <s v="High"/>
    <n v="27258"/>
    <n v="0.1"/>
    <n v="29983.800000000003"/>
  </r>
  <r>
    <s v="EMP0122"/>
    <s v="NA"/>
    <s v="USA"/>
    <x v="3"/>
    <s v="Manager"/>
    <x v="96"/>
    <s v="FTE"/>
    <d v="2025-06-04T00:00:00"/>
    <s v="Active"/>
    <s v="Manufacturing"/>
    <s v="CC-Ope-713"/>
    <n v="4"/>
    <s v=""/>
    <n v="0"/>
    <x v="0"/>
    <n v="1"/>
    <s v=""/>
    <n v="3"/>
    <s v="No"/>
    <s v="No"/>
    <s v="No"/>
    <n v="3"/>
    <s v="Medium"/>
    <n v="76427"/>
    <n v="0.15"/>
    <n v="87891.049999999988"/>
  </r>
  <r>
    <s v="EMP0123"/>
    <s v="NA"/>
    <s v="USA"/>
    <x v="5"/>
    <s v="IC"/>
    <x v="97"/>
    <s v="FTE"/>
    <d v="2025-06-02T00:00:00"/>
    <s v="Active"/>
    <s v="Technology"/>
    <s v="CC-IT-282"/>
    <n v="5"/>
    <s v=""/>
    <n v="0"/>
    <x v="0"/>
    <n v="1"/>
    <s v=""/>
    <n v="4"/>
    <s v="No"/>
    <s v="No"/>
    <s v="No"/>
    <n v="5"/>
    <s v="Low"/>
    <n v="41655"/>
    <n v="0.1"/>
    <n v="45820.500000000007"/>
  </r>
  <r>
    <s v="EMP0124"/>
    <s v="NA"/>
    <s v="USA"/>
    <x v="0"/>
    <s v="IC"/>
    <x v="98"/>
    <s v="FTE"/>
    <d v="2025-06-01T00:00:00"/>
    <s v="Active"/>
    <s v="Logistics"/>
    <s v="CC-Sup-531"/>
    <n v="5"/>
    <s v=""/>
    <n v="0"/>
    <x v="0"/>
    <n v="1"/>
    <s v=""/>
    <n v="4"/>
    <s v="No"/>
    <s v="No"/>
    <s v="No"/>
    <n v="3"/>
    <s v="Medium"/>
    <n v="33441"/>
    <n v="0.1"/>
    <n v="36785.100000000006"/>
  </r>
  <r>
    <s v="EMP0125"/>
    <s v="NA"/>
    <s v="USA"/>
    <x v="1"/>
    <s v="IC"/>
    <x v="41"/>
    <s v="FTE"/>
    <d v="2025-05-26T00:00:00"/>
    <s v="Active"/>
    <s v="Controlling"/>
    <s v="CC-Fin-263"/>
    <n v="5"/>
    <s v=""/>
    <n v="0"/>
    <x v="0"/>
    <n v="1"/>
    <s v=""/>
    <n v="3"/>
    <s v="No"/>
    <s v="No"/>
    <s v="No"/>
    <n v="5"/>
    <s v="Low"/>
    <n v="36023"/>
    <n v="0.1"/>
    <n v="39625.300000000003"/>
  </r>
  <r>
    <s v="EMP0126"/>
    <s v="NA"/>
    <s v="USA"/>
    <x v="4"/>
    <s v="IC"/>
    <x v="97"/>
    <s v="FTE"/>
    <d v="2025-05-24T00:00:00"/>
    <s v="Inactive"/>
    <s v="People Operations"/>
    <s v="CC-HR-861"/>
    <n v="5"/>
    <d v="2026-02-18T00:00:00"/>
    <n v="0"/>
    <x v="0"/>
    <n v="1"/>
    <s v="Voluntary"/>
    <n v="3"/>
    <s v="No"/>
    <s v="No"/>
    <s v="No"/>
    <n v="5"/>
    <s v="Low"/>
    <n v="44041"/>
    <n v="0.1"/>
    <n v="48445.100000000006"/>
  </r>
  <r>
    <s v="EMP0127"/>
    <s v="NA"/>
    <s v="USA"/>
    <x v="0"/>
    <s v="IC"/>
    <x v="26"/>
    <s v="FTE"/>
    <d v="2025-05-21T00:00:00"/>
    <s v="Active"/>
    <s v="Logistics"/>
    <s v="CC-Sup-415"/>
    <n v="5"/>
    <s v=""/>
    <n v="0"/>
    <x v="0"/>
    <n v="1"/>
    <s v=""/>
    <n v="3"/>
    <s v="No"/>
    <s v="No"/>
    <s v="No"/>
    <n v="2"/>
    <s v="High"/>
    <n v="49641"/>
    <n v="0.1"/>
    <n v="54605.100000000006"/>
  </r>
  <r>
    <s v="EMP0128"/>
    <s v="NA"/>
    <s v="USA"/>
    <x v="2"/>
    <s v="Director"/>
    <x v="53"/>
    <s v="FTE"/>
    <d v="2025-05-21T00:00:00"/>
    <s v="Active"/>
    <s v="Commercial"/>
    <s v="CC-Sal-336"/>
    <n v="3"/>
    <s v=""/>
    <n v="0"/>
    <x v="0"/>
    <n v="1"/>
    <s v=""/>
    <n v="4"/>
    <s v="No"/>
    <s v="No"/>
    <s v="No"/>
    <n v="4"/>
    <s v="Low"/>
    <n v="133335"/>
    <n v="0.2"/>
    <n v="160002"/>
  </r>
  <r>
    <s v="EMP0129"/>
    <s v="NA"/>
    <s v="USA"/>
    <x v="2"/>
    <s v="IC"/>
    <x v="99"/>
    <s v="FTE"/>
    <d v="2025-05-20T00:00:00"/>
    <s v="Active"/>
    <s v="Commercial"/>
    <s v="CC-Sal-917"/>
    <n v="5"/>
    <s v=""/>
    <n v="0"/>
    <x v="0"/>
    <n v="1"/>
    <s v=""/>
    <n v="2"/>
    <s v="No"/>
    <s v="No"/>
    <s v="No"/>
    <n v="3"/>
    <s v="Medium"/>
    <n v="40805"/>
    <n v="0.1"/>
    <n v="44885.5"/>
  </r>
  <r>
    <s v="EMP0130"/>
    <s v="NA"/>
    <s v="USA"/>
    <x v="5"/>
    <s v="Manager"/>
    <x v="100"/>
    <s v="FTE"/>
    <d v="2025-05-19T00:00:00"/>
    <s v="Active"/>
    <s v="Technology"/>
    <s v="CC-IT-941"/>
    <n v="4"/>
    <s v=""/>
    <n v="0"/>
    <x v="0"/>
    <n v="1"/>
    <s v=""/>
    <n v="4"/>
    <s v="No"/>
    <s v="No"/>
    <s v="No"/>
    <n v="3"/>
    <s v="Medium"/>
    <n v="84048"/>
    <n v="0.15"/>
    <n v="96655.2"/>
  </r>
  <r>
    <s v="EMP0131"/>
    <s v="NA"/>
    <s v="USA"/>
    <x v="2"/>
    <s v="Manager"/>
    <x v="92"/>
    <s v="FTE"/>
    <d v="2025-05-09T00:00:00"/>
    <s v="Active"/>
    <s v="Commercial"/>
    <s v="CC-Sal-314"/>
    <n v="4"/>
    <s v=""/>
    <n v="0"/>
    <x v="0"/>
    <n v="1"/>
    <s v=""/>
    <n v="4"/>
    <s v="No"/>
    <s v="No"/>
    <s v="No"/>
    <n v="5"/>
    <s v="Low"/>
    <n v="59451"/>
    <n v="0.15"/>
    <n v="68368.649999999994"/>
  </r>
  <r>
    <s v="EMP0132"/>
    <s v="NA"/>
    <s v="USA"/>
    <x v="2"/>
    <s v="IC"/>
    <x v="101"/>
    <s v="FTE"/>
    <d v="2025-05-08T00:00:00"/>
    <s v="Active"/>
    <s v="Commercial"/>
    <s v="CC-Sal-913"/>
    <n v="5"/>
    <s v=""/>
    <n v="0"/>
    <x v="0"/>
    <n v="1"/>
    <s v=""/>
    <n v="4"/>
    <s v="No"/>
    <s v="No"/>
    <s v="No"/>
    <n v="3"/>
    <s v="Medium"/>
    <n v="41099"/>
    <n v="0.1"/>
    <n v="45208.9"/>
  </r>
  <r>
    <s v="EMP0133"/>
    <s v="NA"/>
    <s v="USA"/>
    <x v="5"/>
    <s v="IC"/>
    <x v="31"/>
    <s v="FTE"/>
    <d v="2025-05-07T00:00:00"/>
    <s v="Active"/>
    <s v="Technology"/>
    <s v="CC-IT-458"/>
    <n v="5"/>
    <s v=""/>
    <n v="0"/>
    <x v="0"/>
    <n v="1"/>
    <s v=""/>
    <n v="3"/>
    <s v="No"/>
    <s v="No"/>
    <s v="No"/>
    <n v="4"/>
    <s v="Low"/>
    <n v="23120"/>
    <n v="0.1"/>
    <n v="25432.000000000004"/>
  </r>
  <r>
    <s v="EMP0134"/>
    <s v="NA"/>
    <s v="USA"/>
    <x v="5"/>
    <s v="IC"/>
    <x v="85"/>
    <s v="FTE"/>
    <d v="2025-05-03T00:00:00"/>
    <s v="Active"/>
    <s v="Technology"/>
    <s v="CC-IT-139"/>
    <n v="5"/>
    <s v=""/>
    <n v="0"/>
    <x v="0"/>
    <n v="1"/>
    <s v=""/>
    <n v="3"/>
    <s v="No"/>
    <s v="No"/>
    <s v="No"/>
    <n v="4"/>
    <s v="Low"/>
    <n v="22706"/>
    <n v="0.1"/>
    <n v="24976.600000000002"/>
  </r>
  <r>
    <s v="EMP0135"/>
    <s v="NA"/>
    <s v="USA"/>
    <x v="3"/>
    <s v="IC"/>
    <x v="91"/>
    <s v="FTE"/>
    <d v="2025-04-26T00:00:00"/>
    <s v="Active"/>
    <s v="Manufacturing"/>
    <s v="CC-Ope-307"/>
    <n v="5"/>
    <s v=""/>
    <n v="0"/>
    <x v="0"/>
    <n v="1"/>
    <s v=""/>
    <n v="3"/>
    <s v="No"/>
    <s v="No"/>
    <s v="No"/>
    <n v="3"/>
    <s v="Medium"/>
    <n v="30328"/>
    <n v="0.1"/>
    <n v="33360.800000000003"/>
  </r>
  <r>
    <s v="EMP0136"/>
    <s v="NA"/>
    <s v="USA"/>
    <x v="0"/>
    <s v="IC"/>
    <x v="102"/>
    <s v="FTE"/>
    <d v="2025-04-25T00:00:00"/>
    <s v="Active"/>
    <s v="Logistics"/>
    <s v="CC-Sup-914"/>
    <n v="5"/>
    <s v=""/>
    <n v="0"/>
    <x v="0"/>
    <n v="1"/>
    <s v=""/>
    <n v="5"/>
    <s v="No"/>
    <s v="No"/>
    <s v="No"/>
    <n v="2"/>
    <s v="High"/>
    <n v="45590"/>
    <n v="0.1"/>
    <n v="50149.000000000007"/>
  </r>
  <r>
    <s v="EMP0137"/>
    <s v="NA"/>
    <s v="USA"/>
    <x v="1"/>
    <s v="Manager"/>
    <x v="81"/>
    <s v="FTE"/>
    <d v="2025-04-17T00:00:00"/>
    <s v="Active"/>
    <s v="Controlling"/>
    <s v="CC-Fin-777"/>
    <n v="4"/>
    <s v=""/>
    <n v="0"/>
    <x v="0"/>
    <n v="1"/>
    <s v=""/>
    <n v="5"/>
    <s v="Yes"/>
    <s v="No"/>
    <s v="No"/>
    <n v="3"/>
    <s v="Medium"/>
    <n v="67910"/>
    <n v="0.15"/>
    <n v="78096.5"/>
  </r>
  <r>
    <s v="EMP0138"/>
    <s v="NA"/>
    <s v="USA"/>
    <x v="3"/>
    <s v="IC"/>
    <x v="21"/>
    <s v="FTE"/>
    <d v="2025-04-16T00:00:00"/>
    <s v="Inactive"/>
    <s v="Manufacturing"/>
    <s v="CC-Ope-895"/>
    <n v="5"/>
    <d v="2026-02-18T00:00:00"/>
    <n v="0"/>
    <x v="0"/>
    <n v="1"/>
    <s v="Voluntary"/>
    <n v="3"/>
    <s v="Yes"/>
    <s v="Yes"/>
    <s v="No"/>
    <n v="4"/>
    <s v="Low"/>
    <n v="38368"/>
    <n v="0.1"/>
    <n v="42204.800000000003"/>
  </r>
  <r>
    <s v="EMP0139"/>
    <s v="NA"/>
    <s v="USA"/>
    <x v="5"/>
    <s v="IC"/>
    <x v="82"/>
    <s v="Contractor"/>
    <d v="2025-04-10T00:00:00"/>
    <s v="Active"/>
    <s v="Technology"/>
    <s v="CC-IT-857"/>
    <n v="5"/>
    <s v=""/>
    <n v="0"/>
    <x v="0"/>
    <n v="1"/>
    <s v=""/>
    <n v="4"/>
    <s v="No"/>
    <s v="No"/>
    <s v="No"/>
    <n v="5"/>
    <s v="Low"/>
    <n v="27551"/>
    <n v="0.1"/>
    <n v="30306.100000000002"/>
  </r>
  <r>
    <s v="EMP0140"/>
    <s v="NA"/>
    <s v="USA"/>
    <x v="2"/>
    <s v="Manager"/>
    <x v="103"/>
    <s v="FTE"/>
    <d v="2025-04-07T00:00:00"/>
    <s v="Inactive"/>
    <s v="Commercial"/>
    <s v="CC-Sal-878"/>
    <n v="4"/>
    <d v="2026-02-18T00:00:00"/>
    <n v="0"/>
    <x v="0"/>
    <n v="1"/>
    <s v="Voluntary"/>
    <n v="3"/>
    <s v="No"/>
    <s v="No"/>
    <s v="No"/>
    <n v="4"/>
    <s v="Low"/>
    <n v="51867"/>
    <n v="0.15"/>
    <n v="59647.049999999996"/>
  </r>
  <r>
    <s v="EMP0141"/>
    <s v="NA"/>
    <s v="USA"/>
    <x v="1"/>
    <s v="IC"/>
    <x v="104"/>
    <s v="Contractor"/>
    <d v="2025-04-05T00:00:00"/>
    <s v="Active"/>
    <s v="Controlling"/>
    <s v="CC-Fin-640"/>
    <n v="5"/>
    <s v=""/>
    <n v="0"/>
    <x v="0"/>
    <n v="1"/>
    <s v=""/>
    <n v="3"/>
    <s v="Yes"/>
    <s v="No"/>
    <s v="No"/>
    <n v="3"/>
    <s v="Medium"/>
    <n v="21518"/>
    <n v="0.1"/>
    <n v="23669.800000000003"/>
  </r>
  <r>
    <s v="EMP0142"/>
    <s v="NA"/>
    <s v="USA"/>
    <x v="4"/>
    <s v="IC"/>
    <x v="105"/>
    <s v="FTE"/>
    <d v="2025-04-01T00:00:00"/>
    <s v="Inactive"/>
    <s v="People Operations"/>
    <s v="CC-HR-738"/>
    <n v="5"/>
    <d v="2026-02-18T00:00:00"/>
    <n v="0"/>
    <x v="0"/>
    <n v="1"/>
    <s v="Voluntary"/>
    <n v="4"/>
    <s v="No"/>
    <s v="Yes"/>
    <s v="No"/>
    <n v="2"/>
    <s v="High"/>
    <n v="20143"/>
    <n v="0.1"/>
    <n v="22157.300000000003"/>
  </r>
  <r>
    <s v="EMP0143"/>
    <s v="NA"/>
    <s v="USA"/>
    <x v="2"/>
    <s v="Director"/>
    <x v="43"/>
    <s v="FTE"/>
    <d v="2025-03-25T00:00:00"/>
    <s v="Inactive"/>
    <s v="Commercial"/>
    <s v="CC-Sal-459"/>
    <n v="3"/>
    <d v="2026-02-18T00:00:00"/>
    <n v="0"/>
    <x v="0"/>
    <n v="1"/>
    <s v="Involuntary"/>
    <n v="3"/>
    <s v="No"/>
    <s v="No"/>
    <s v="No"/>
    <n v="3"/>
    <s v="Medium"/>
    <n v="102606"/>
    <n v="0.2"/>
    <n v="123127.2"/>
  </r>
  <r>
    <s v="EMP0144"/>
    <s v="NA"/>
    <s v="USA"/>
    <x v="2"/>
    <s v="Manager"/>
    <x v="106"/>
    <s v="FTE"/>
    <d v="2025-03-19T00:00:00"/>
    <s v="Active"/>
    <s v="Commercial"/>
    <s v="CC-Sal-426"/>
    <n v="4"/>
    <s v=""/>
    <n v="0"/>
    <x v="0"/>
    <n v="1"/>
    <s v=""/>
    <n v="3"/>
    <s v="No"/>
    <s v="No"/>
    <s v="No"/>
    <n v="2"/>
    <s v="High"/>
    <n v="54937"/>
    <n v="0.15"/>
    <n v="63177.549999999996"/>
  </r>
  <r>
    <s v="EMP0145"/>
    <s v="NA"/>
    <s v="USA"/>
    <x v="4"/>
    <s v="IC"/>
    <x v="107"/>
    <s v="FTE"/>
    <d v="2025-03-19T00:00:00"/>
    <s v="Active"/>
    <s v="People Operations"/>
    <s v="CC-HR-847"/>
    <n v="5"/>
    <s v=""/>
    <n v="0"/>
    <x v="0"/>
    <n v="1"/>
    <s v=""/>
    <n v="3"/>
    <s v="No"/>
    <s v="No"/>
    <s v="No"/>
    <n v="1"/>
    <s v="High"/>
    <n v="32327"/>
    <n v="0.1"/>
    <n v="35559.700000000004"/>
  </r>
  <r>
    <s v="EMP0146"/>
    <s v="NA"/>
    <s v="USA"/>
    <x v="2"/>
    <s v="IC"/>
    <x v="108"/>
    <s v="FTE"/>
    <d v="2025-03-16T00:00:00"/>
    <s v="Active"/>
    <s v="Commercial"/>
    <s v="CC-Sal-425"/>
    <n v="5"/>
    <s v=""/>
    <n v="0"/>
    <x v="0"/>
    <n v="1"/>
    <s v=""/>
    <n v="4"/>
    <s v="No"/>
    <s v="No"/>
    <s v="No"/>
    <n v="3"/>
    <s v="Medium"/>
    <n v="32283"/>
    <n v="0.1"/>
    <n v="35511.300000000003"/>
  </r>
  <r>
    <s v="EMP0147"/>
    <s v="NA"/>
    <s v="USA"/>
    <x v="0"/>
    <s v="IC"/>
    <x v="69"/>
    <s v="FTE"/>
    <d v="2025-03-15T00:00:00"/>
    <s v="Active"/>
    <s v="Logistics"/>
    <s v="CC-Sup-478"/>
    <n v="5"/>
    <s v=""/>
    <n v="0"/>
    <x v="0"/>
    <n v="1"/>
    <s v=""/>
    <n v="3"/>
    <s v="No"/>
    <s v="No"/>
    <s v="No"/>
    <n v="3"/>
    <s v="Medium"/>
    <n v="21969"/>
    <n v="0.1"/>
    <n v="24165.9"/>
  </r>
  <r>
    <s v="EMP0148"/>
    <s v="NA"/>
    <s v="USA"/>
    <x v="4"/>
    <s v="IC"/>
    <x v="49"/>
    <s v="Contractor"/>
    <d v="2025-03-13T00:00:00"/>
    <s v="Active"/>
    <s v="People Operations"/>
    <s v="CC-HR-669"/>
    <n v="5"/>
    <s v=""/>
    <n v="0"/>
    <x v="0"/>
    <n v="1"/>
    <s v=""/>
    <n v="3"/>
    <s v="No"/>
    <s v="No"/>
    <s v="No"/>
    <n v="2"/>
    <s v="High"/>
    <n v="25228"/>
    <n v="0.1"/>
    <n v="27750.800000000003"/>
  </r>
  <r>
    <s v="EMP0149"/>
    <s v="NA"/>
    <s v="USA"/>
    <x v="1"/>
    <s v="IC"/>
    <x v="23"/>
    <s v="FTE"/>
    <d v="2025-03-10T00:00:00"/>
    <s v="Active"/>
    <s v="Controlling"/>
    <s v="CC-Fin-962"/>
    <n v="5"/>
    <s v=""/>
    <n v="0"/>
    <x v="0"/>
    <n v="1"/>
    <s v=""/>
    <n v="5"/>
    <s v="No"/>
    <s v="No"/>
    <s v="No"/>
    <n v="4"/>
    <s v="Low"/>
    <n v="36668"/>
    <n v="0.1"/>
    <n v="40334.800000000003"/>
  </r>
  <r>
    <s v="EMP0150"/>
    <s v="NA"/>
    <s v="USA"/>
    <x v="2"/>
    <s v="IC"/>
    <x v="109"/>
    <s v="FTE"/>
    <d v="2025-03-08T00:00:00"/>
    <s v="Inactive"/>
    <s v="Commercial"/>
    <s v="CC-Sal-605"/>
    <n v="5"/>
    <d v="2026-02-18T00:00:00"/>
    <n v="0"/>
    <x v="0"/>
    <n v="1"/>
    <s v="Involuntary"/>
    <n v="3"/>
    <s v="No"/>
    <s v="No"/>
    <s v="No"/>
    <n v="3"/>
    <s v="Medium"/>
    <n v="45323"/>
    <n v="0.1"/>
    <n v="49855.3"/>
  </r>
  <r>
    <s v="EMP0151"/>
    <s v="NA"/>
    <s v="USA"/>
    <x v="0"/>
    <s v="Director"/>
    <x v="5"/>
    <s v="FTE"/>
    <d v="2025-03-02T00:00:00"/>
    <s v="Active"/>
    <s v="Logistics"/>
    <s v="CC-Sup-814"/>
    <n v="3"/>
    <s v=""/>
    <n v="0"/>
    <x v="0"/>
    <n v="1"/>
    <s v=""/>
    <n v="3"/>
    <s v="No"/>
    <s v="No"/>
    <s v="No"/>
    <n v="3"/>
    <s v="Medium"/>
    <n v="137995"/>
    <n v="0.2"/>
    <n v="165594"/>
  </r>
  <r>
    <s v="EMP0152"/>
    <s v="NA"/>
    <s v="USA"/>
    <x v="0"/>
    <s v="Director"/>
    <x v="110"/>
    <s v="FTE"/>
    <d v="2025-03-02T00:00:00"/>
    <s v="Active"/>
    <s v="Logistics"/>
    <s v="CC-Sup-940"/>
    <n v="3"/>
    <s v=""/>
    <n v="0"/>
    <x v="0"/>
    <n v="1"/>
    <s v=""/>
    <n v="3"/>
    <s v="No"/>
    <s v="No"/>
    <s v="No"/>
    <n v="3"/>
    <s v="Medium"/>
    <n v="122870"/>
    <n v="0.2"/>
    <n v="147444"/>
  </r>
  <r>
    <s v="EMP0153"/>
    <s v="NA"/>
    <s v="USA"/>
    <x v="5"/>
    <s v="IC"/>
    <x v="111"/>
    <s v="Contractor"/>
    <d v="2025-03-01T00:00:00"/>
    <s v="Inactive"/>
    <s v="Technology"/>
    <s v="CC-IT-337"/>
    <n v="5"/>
    <d v="2026-02-18T00:00:00"/>
    <n v="0"/>
    <x v="0"/>
    <n v="1"/>
    <s v="Voluntary"/>
    <n v="3"/>
    <s v="No"/>
    <s v="Yes"/>
    <s v="No"/>
    <n v="4"/>
    <s v="Low"/>
    <n v="32319"/>
    <n v="0.1"/>
    <n v="35550.9"/>
  </r>
  <r>
    <s v="EMP0154"/>
    <s v="NA"/>
    <s v="USA"/>
    <x v="2"/>
    <s v="IC"/>
    <x v="74"/>
    <s v="FTE"/>
    <d v="2025-02-23T00:00:00"/>
    <s v="Active"/>
    <s v="Commercial"/>
    <s v="CC-Sal-861"/>
    <n v="5"/>
    <s v=""/>
    <n v="0"/>
    <x v="0"/>
    <n v="1"/>
    <s v=""/>
    <n v="5"/>
    <s v="No"/>
    <s v="No"/>
    <s v="No"/>
    <n v="5"/>
    <s v="Low"/>
    <n v="34524"/>
    <n v="0.1"/>
    <n v="37976.400000000001"/>
  </r>
  <r>
    <s v="EMP0155"/>
    <s v="NA"/>
    <s v="USA"/>
    <x v="0"/>
    <s v="IC"/>
    <x v="2"/>
    <s v="Contractor"/>
    <d v="2025-02-19T00:00:00"/>
    <s v="Active"/>
    <s v="Logistics"/>
    <s v="CC-Sup-395"/>
    <n v="5"/>
    <s v=""/>
    <n v="1"/>
    <x v="0"/>
    <n v="1"/>
    <s v=""/>
    <n v="2"/>
    <s v="No"/>
    <s v="No"/>
    <s v="No"/>
    <n v="1"/>
    <s v="High"/>
    <n v="47766"/>
    <n v="0.1"/>
    <n v="52542.600000000006"/>
  </r>
  <r>
    <s v="EMP0156"/>
    <s v="NA"/>
    <s v="USA"/>
    <x v="2"/>
    <s v="Manager"/>
    <x v="112"/>
    <s v="FTE"/>
    <d v="2025-02-12T00:00:00"/>
    <s v="Inactive"/>
    <s v="Commercial"/>
    <s v="CC-Sal-454"/>
    <n v="4"/>
    <d v="2026-02-18T00:00:00"/>
    <n v="1"/>
    <x v="0"/>
    <n v="1"/>
    <s v="Voluntary"/>
    <n v="3"/>
    <s v="Yes"/>
    <s v="No"/>
    <s v="No"/>
    <n v="2"/>
    <s v="High"/>
    <n v="74982"/>
    <n v="0.15"/>
    <n v="86229.299999999988"/>
  </r>
  <r>
    <s v="EMP0157"/>
    <s v="NA"/>
    <s v="USA"/>
    <x v="1"/>
    <s v="IC"/>
    <x v="113"/>
    <s v="FTE"/>
    <d v="2025-02-12T00:00:00"/>
    <s v="Active"/>
    <s v="Controlling"/>
    <s v="CC-Fin-222"/>
    <n v="5"/>
    <s v=""/>
    <n v="1"/>
    <x v="0"/>
    <n v="1"/>
    <s v=""/>
    <n v="3"/>
    <s v="No"/>
    <s v="Yes"/>
    <s v="No"/>
    <n v="5"/>
    <s v="Low"/>
    <n v="32579"/>
    <n v="0.1"/>
    <n v="35836.9"/>
  </r>
  <r>
    <s v="EMP0158"/>
    <s v="NA"/>
    <s v="USA"/>
    <x v="2"/>
    <s v="VP"/>
    <x v="114"/>
    <s v="FTE"/>
    <d v="2025-02-09T00:00:00"/>
    <s v="Active"/>
    <s v="Commercial"/>
    <s v="CC-Sal-458"/>
    <n v="2"/>
    <s v=""/>
    <n v="1"/>
    <x v="0"/>
    <n v="1"/>
    <s v=""/>
    <n v="4"/>
    <s v="Yes"/>
    <s v="No"/>
    <s v="No"/>
    <n v="4"/>
    <s v="Low"/>
    <n v="175461"/>
    <n v="0.25"/>
    <n v="219326.25"/>
  </r>
  <r>
    <s v="EMP0159"/>
    <s v="NA"/>
    <s v="USA"/>
    <x v="5"/>
    <s v="IC"/>
    <x v="115"/>
    <s v="Contractor"/>
    <d v="2025-02-08T00:00:00"/>
    <s v="Active"/>
    <s v="Technology"/>
    <s v="CC-IT-684"/>
    <n v="5"/>
    <s v=""/>
    <n v="1"/>
    <x v="0"/>
    <n v="1"/>
    <s v=""/>
    <n v="4"/>
    <s v="No"/>
    <s v="No"/>
    <s v="No"/>
    <n v="5"/>
    <s v="Low"/>
    <n v="34473"/>
    <n v="0.1"/>
    <n v="37920.300000000003"/>
  </r>
  <r>
    <s v="EMP0160"/>
    <s v="NA"/>
    <s v="USA"/>
    <x v="3"/>
    <s v="IC"/>
    <x v="116"/>
    <s v="FTE"/>
    <d v="2025-02-05T00:00:00"/>
    <s v="Active"/>
    <s v="Manufacturing"/>
    <s v="CC-Ope-124"/>
    <n v="5"/>
    <s v=""/>
    <n v="1"/>
    <x v="0"/>
    <n v="1"/>
    <s v=""/>
    <n v="2"/>
    <s v="No"/>
    <s v="No"/>
    <s v="No"/>
    <n v="2"/>
    <s v="High"/>
    <n v="49531"/>
    <n v="0.1"/>
    <n v="54484.100000000006"/>
  </r>
  <r>
    <s v="EMP0161"/>
    <s v="NA"/>
    <s v="USA"/>
    <x v="3"/>
    <s v="IC"/>
    <x v="117"/>
    <s v="Contractor"/>
    <d v="2025-01-23T00:00:00"/>
    <s v="Active"/>
    <s v="Manufacturing"/>
    <s v="CC-Ope-656"/>
    <n v="5"/>
    <s v=""/>
    <n v="1"/>
    <x v="0"/>
    <n v="1"/>
    <s v=""/>
    <n v="2"/>
    <s v="No"/>
    <s v="No"/>
    <s v="No"/>
    <n v="5"/>
    <s v="Low"/>
    <n v="25272"/>
    <n v="0.1"/>
    <n v="27799.200000000001"/>
  </r>
  <r>
    <s v="EMP0162"/>
    <s v="NA"/>
    <s v="USA"/>
    <x v="3"/>
    <s v="IC"/>
    <x v="118"/>
    <s v="FTE"/>
    <d v="2025-01-22T00:00:00"/>
    <s v="Active"/>
    <s v="Manufacturing"/>
    <s v="CC-Ope-831"/>
    <n v="5"/>
    <s v=""/>
    <n v="1"/>
    <x v="0"/>
    <n v="1"/>
    <s v=""/>
    <n v="4"/>
    <s v="No"/>
    <s v="No"/>
    <s v="No"/>
    <n v="4"/>
    <s v="Low"/>
    <n v="24250"/>
    <n v="0.1"/>
    <n v="26675.000000000004"/>
  </r>
  <r>
    <s v="EMP0163"/>
    <s v="NA"/>
    <s v="USA"/>
    <x v="3"/>
    <s v="IC"/>
    <x v="46"/>
    <s v="FTE"/>
    <d v="2025-01-22T00:00:00"/>
    <s v="Active"/>
    <s v="Manufacturing"/>
    <s v="CC-Ope-367"/>
    <n v="5"/>
    <s v=""/>
    <n v="1"/>
    <x v="0"/>
    <n v="1"/>
    <s v=""/>
    <n v="4"/>
    <s v="No"/>
    <s v="No"/>
    <s v="No"/>
    <n v="5"/>
    <s v="Low"/>
    <n v="38479"/>
    <n v="0.1"/>
    <n v="42326.9"/>
  </r>
  <r>
    <s v="EMP0164"/>
    <s v="NA"/>
    <s v="USA"/>
    <x v="5"/>
    <s v="IC"/>
    <x v="55"/>
    <s v="FTE"/>
    <d v="2025-01-19T00:00:00"/>
    <s v="Inactive"/>
    <s v="Technology"/>
    <s v="CC-IT-574"/>
    <n v="5"/>
    <d v="2026-02-18T00:00:00"/>
    <n v="1"/>
    <x v="0"/>
    <n v="1"/>
    <s v="Involuntary"/>
    <n v="4"/>
    <s v="No"/>
    <s v="No"/>
    <s v="No"/>
    <n v="5"/>
    <s v="Low"/>
    <n v="23507"/>
    <n v="0.1"/>
    <n v="25857.7"/>
  </r>
  <r>
    <s v="EMP0165"/>
    <s v="NA"/>
    <s v="USA"/>
    <x v="3"/>
    <s v="IC"/>
    <x v="119"/>
    <s v="FTE"/>
    <d v="2025-01-19T00:00:00"/>
    <s v="Active"/>
    <s v="Manufacturing"/>
    <s v="CC-Ope-274"/>
    <n v="5"/>
    <s v=""/>
    <n v="1"/>
    <x v="0"/>
    <n v="1"/>
    <s v=""/>
    <n v="4"/>
    <s v="No"/>
    <s v="No"/>
    <s v="No"/>
    <n v="2"/>
    <s v="High"/>
    <n v="26716"/>
    <n v="0.1"/>
    <n v="29387.600000000002"/>
  </r>
  <r>
    <s v="EMP0166"/>
    <s v="NA"/>
    <s v="USA"/>
    <x v="2"/>
    <s v="IC"/>
    <x v="120"/>
    <s v="FTE"/>
    <d v="2025-01-18T00:00:00"/>
    <s v="Active"/>
    <s v="Commercial"/>
    <s v="CC-Sal-293"/>
    <n v="5"/>
    <s v=""/>
    <n v="1"/>
    <x v="0"/>
    <n v="1"/>
    <s v=""/>
    <n v="4"/>
    <s v="No"/>
    <s v="No"/>
    <s v="No"/>
    <n v="4"/>
    <s v="Low"/>
    <n v="25224"/>
    <n v="0.1"/>
    <n v="27746.400000000001"/>
  </r>
  <r>
    <s v="EMP0167"/>
    <s v="NA"/>
    <s v="USA"/>
    <x v="3"/>
    <s v="IC"/>
    <x v="121"/>
    <s v="Contractor"/>
    <d v="2025-01-16T00:00:00"/>
    <s v="Active"/>
    <s v="Manufacturing"/>
    <s v="CC-Ope-505"/>
    <n v="5"/>
    <s v=""/>
    <n v="1"/>
    <x v="0"/>
    <n v="1"/>
    <s v=""/>
    <n v="3"/>
    <s v="No"/>
    <s v="Yes"/>
    <s v="No"/>
    <n v="2"/>
    <s v="High"/>
    <n v="42537"/>
    <n v="0.1"/>
    <n v="46790.700000000004"/>
  </r>
  <r>
    <s v="EMP0168"/>
    <s v="NA"/>
    <s v="USA"/>
    <x v="2"/>
    <s v="IC"/>
    <x v="122"/>
    <s v="FTE"/>
    <d v="2025-01-14T00:00:00"/>
    <s v="Active"/>
    <s v="Commercial"/>
    <s v="CC-Sal-563"/>
    <n v="5"/>
    <s v=""/>
    <n v="1"/>
    <x v="0"/>
    <n v="1"/>
    <s v=""/>
    <n v="3"/>
    <s v="No"/>
    <s v="No"/>
    <s v="No"/>
    <n v="5"/>
    <s v="Low"/>
    <n v="42826"/>
    <n v="0.1"/>
    <n v="47108.600000000006"/>
  </r>
  <r>
    <s v="EMP0169"/>
    <s v="NA"/>
    <s v="USA"/>
    <x v="2"/>
    <s v="IC"/>
    <x v="61"/>
    <s v="FTE"/>
    <d v="2025-01-12T00:00:00"/>
    <s v="Active"/>
    <s v="Commercial"/>
    <s v="CC-Sal-968"/>
    <n v="5"/>
    <s v=""/>
    <n v="1"/>
    <x v="0"/>
    <n v="1"/>
    <s v=""/>
    <n v="4"/>
    <s v="No"/>
    <s v="No"/>
    <s v="No"/>
    <n v="1"/>
    <s v="High"/>
    <n v="44192"/>
    <n v="0.1"/>
    <n v="48611.200000000004"/>
  </r>
  <r>
    <s v="EMP0170"/>
    <s v="NA"/>
    <s v="USA"/>
    <x v="1"/>
    <s v="Manager"/>
    <x v="90"/>
    <s v="FTE"/>
    <d v="2025-01-08T00:00:00"/>
    <s v="Inactive"/>
    <s v="Controlling"/>
    <s v="CC-Fin-471"/>
    <n v="4"/>
    <d v="2026-02-18T00:00:00"/>
    <n v="1"/>
    <x v="0"/>
    <n v="1"/>
    <s v="Involuntary"/>
    <n v="3"/>
    <s v="No"/>
    <s v="Yes"/>
    <s v="No"/>
    <n v="1"/>
    <s v="High"/>
    <n v="70177"/>
    <n v="0.15"/>
    <n v="80703.549999999988"/>
  </r>
  <r>
    <s v="EMP0171"/>
    <s v="NA"/>
    <s v="USA"/>
    <x v="2"/>
    <s v="IC"/>
    <x v="123"/>
    <s v="FTE"/>
    <d v="2025-01-08T00:00:00"/>
    <s v="Active"/>
    <s v="Commercial"/>
    <s v="CC-Sal-193"/>
    <n v="5"/>
    <s v=""/>
    <n v="1"/>
    <x v="0"/>
    <n v="1"/>
    <s v=""/>
    <n v="3"/>
    <s v="No"/>
    <s v="No"/>
    <s v="No"/>
    <n v="2"/>
    <s v="High"/>
    <n v="47427"/>
    <n v="0.1"/>
    <n v="52169.700000000004"/>
  </r>
  <r>
    <s v="EMP0172"/>
    <s v="NA"/>
    <s v="USA"/>
    <x v="0"/>
    <s v="IC"/>
    <x v="107"/>
    <s v="FTE"/>
    <d v="2025-01-06T00:00:00"/>
    <s v="Active"/>
    <s v="Logistics"/>
    <s v="CC-Sup-203"/>
    <n v="5"/>
    <s v=""/>
    <n v="1"/>
    <x v="0"/>
    <n v="1"/>
    <s v=""/>
    <n v="4"/>
    <s v="No"/>
    <s v="No"/>
    <s v="No"/>
    <n v="3"/>
    <s v="Medium"/>
    <n v="37433"/>
    <n v="0.1"/>
    <n v="41176.300000000003"/>
  </r>
  <r>
    <s v="EMP0173"/>
    <s v="NA"/>
    <s v="USA"/>
    <x v="0"/>
    <s v="IC"/>
    <x v="101"/>
    <s v="FTE"/>
    <d v="2025-01-06T00:00:00"/>
    <s v="Active"/>
    <s v="Logistics"/>
    <s v="CC-Sup-507"/>
    <n v="5"/>
    <s v=""/>
    <n v="1"/>
    <x v="0"/>
    <n v="1"/>
    <s v=""/>
    <n v="2"/>
    <s v="No"/>
    <s v="No"/>
    <s v="No"/>
    <n v="1"/>
    <s v="High"/>
    <n v="29770"/>
    <n v="0.1"/>
    <n v="32747.000000000004"/>
  </r>
  <r>
    <s v="EMP0174"/>
    <s v="NA"/>
    <s v="USA"/>
    <x v="5"/>
    <s v="Manager"/>
    <x v="33"/>
    <s v="FTE"/>
    <d v="2025-01-05T00:00:00"/>
    <s v="Active"/>
    <s v="Technology"/>
    <s v="CC-IT-207"/>
    <n v="4"/>
    <s v=""/>
    <n v="1"/>
    <x v="0"/>
    <n v="1"/>
    <s v=""/>
    <n v="4"/>
    <s v="No"/>
    <s v="No"/>
    <s v="No"/>
    <n v="5"/>
    <s v="Low"/>
    <n v="78176"/>
    <n v="0.15"/>
    <n v="89902.399999999994"/>
  </r>
  <r>
    <s v="EMP0175"/>
    <s v="NA"/>
    <s v="USA"/>
    <x v="2"/>
    <s v="IC"/>
    <x v="124"/>
    <s v="FTE"/>
    <d v="2025-01-05T00:00:00"/>
    <s v="Active"/>
    <s v="Commercial"/>
    <s v="CC-Sal-842"/>
    <n v="5"/>
    <s v=""/>
    <n v="1"/>
    <x v="0"/>
    <n v="1"/>
    <s v=""/>
    <n v="3"/>
    <s v="No"/>
    <s v="Yes"/>
    <s v="No"/>
    <n v="2"/>
    <s v="High"/>
    <n v="21302"/>
    <n v="0.1"/>
    <n v="23432.2"/>
  </r>
  <r>
    <s v="EMP0176"/>
    <s v="NA"/>
    <s v="USA"/>
    <x v="4"/>
    <s v="Manager"/>
    <x v="125"/>
    <s v="FTE"/>
    <d v="2025-01-04T00:00:00"/>
    <s v="Active"/>
    <s v="People Operations"/>
    <s v="CC-HR-839"/>
    <n v="4"/>
    <s v=""/>
    <n v="1"/>
    <x v="0"/>
    <n v="1"/>
    <s v=""/>
    <n v="3"/>
    <s v="No"/>
    <s v="No"/>
    <s v="No"/>
    <n v="3"/>
    <s v="Medium"/>
    <n v="69530"/>
    <n v="0.15"/>
    <n v="79959.5"/>
  </r>
  <r>
    <s v="EMP0177"/>
    <s v="NA"/>
    <s v="USA"/>
    <x v="5"/>
    <s v="IC"/>
    <x v="126"/>
    <s v="FTE"/>
    <d v="2025-01-03T00:00:00"/>
    <s v="Active"/>
    <s v="Technology"/>
    <s v="CC-IT-856"/>
    <n v="5"/>
    <s v=""/>
    <n v="1"/>
    <x v="0"/>
    <n v="1"/>
    <s v=""/>
    <n v="3"/>
    <s v="No"/>
    <s v="No"/>
    <s v="No"/>
    <n v="5"/>
    <s v="Low"/>
    <n v="28775"/>
    <n v="0.1"/>
    <n v="31652.500000000004"/>
  </r>
  <r>
    <s v="EMP0178"/>
    <s v="NA"/>
    <s v="USA"/>
    <x v="3"/>
    <s v="IC"/>
    <x v="127"/>
    <s v="FTE"/>
    <d v="2025-01-01T00:00:00"/>
    <s v="Active"/>
    <s v="Manufacturing"/>
    <s v="CC-Ope-458"/>
    <n v="5"/>
    <s v=""/>
    <n v="1"/>
    <x v="0"/>
    <n v="1"/>
    <s v=""/>
    <n v="4"/>
    <s v="No"/>
    <s v="No"/>
    <s v="No"/>
    <n v="5"/>
    <s v="Low"/>
    <n v="35746"/>
    <n v="0.1"/>
    <n v="39320.600000000006"/>
  </r>
  <r>
    <s v="EMP0179"/>
    <s v="NA"/>
    <s v="USA"/>
    <x v="2"/>
    <s v="IC"/>
    <x v="30"/>
    <s v="FTE"/>
    <d v="2025-01-01T00:00:00"/>
    <s v="Active"/>
    <s v="Commercial"/>
    <s v="CC-Sal-375"/>
    <n v="5"/>
    <s v=""/>
    <n v="1"/>
    <x v="0"/>
    <n v="1"/>
    <s v=""/>
    <n v="4"/>
    <s v="Yes"/>
    <s v="No"/>
    <s v="No"/>
    <n v="1"/>
    <s v="High"/>
    <n v="28630"/>
    <n v="0.1"/>
    <n v="31493.000000000004"/>
  </r>
  <r>
    <s v="EMP0180"/>
    <s v="NA"/>
    <s v="USA"/>
    <x v="5"/>
    <s v="Manager"/>
    <x v="128"/>
    <s v="FTE"/>
    <d v="2024-12-24T00:00:00"/>
    <s v="Active"/>
    <s v="Technology"/>
    <s v="CC-IT-950"/>
    <n v="4"/>
    <s v=""/>
    <n v="1"/>
    <x v="0"/>
    <n v="1"/>
    <s v=""/>
    <n v="5"/>
    <s v="No"/>
    <s v="No"/>
    <s v="No"/>
    <n v="3"/>
    <s v="Medium"/>
    <n v="66528"/>
    <n v="0.15"/>
    <n v="76507.199999999997"/>
  </r>
  <r>
    <s v="EMP0181"/>
    <s v="NA"/>
    <s v="USA"/>
    <x v="4"/>
    <s v="IC"/>
    <x v="129"/>
    <s v="FTE"/>
    <d v="2024-12-20T00:00:00"/>
    <s v="Active"/>
    <s v="People Operations"/>
    <s v="CC-HR-291"/>
    <n v="5"/>
    <s v=""/>
    <n v="1"/>
    <x v="0"/>
    <n v="1"/>
    <s v=""/>
    <n v="3"/>
    <s v="No"/>
    <s v="No"/>
    <s v="No"/>
    <n v="5"/>
    <s v="Low"/>
    <n v="39929"/>
    <n v="0.1"/>
    <n v="43921.9"/>
  </r>
  <r>
    <s v="EMP0182"/>
    <s v="NA"/>
    <s v="USA"/>
    <x v="5"/>
    <s v="IC"/>
    <x v="130"/>
    <s v="FTE"/>
    <d v="2024-12-19T00:00:00"/>
    <s v="Active"/>
    <s v="Technology"/>
    <s v="CC-IT-610"/>
    <n v="5"/>
    <s v=""/>
    <n v="1"/>
    <x v="0"/>
    <n v="1"/>
    <s v=""/>
    <n v="3"/>
    <s v="No"/>
    <s v="Yes"/>
    <s v="No"/>
    <n v="2"/>
    <s v="High"/>
    <n v="22953"/>
    <n v="0.1"/>
    <n v="25248.300000000003"/>
  </r>
  <r>
    <s v="EMP0183"/>
    <s v="NA"/>
    <s v="USA"/>
    <x v="4"/>
    <s v="IC"/>
    <x v="131"/>
    <s v="FTE"/>
    <d v="2024-12-18T00:00:00"/>
    <s v="Active"/>
    <s v="People Operations"/>
    <s v="CC-HR-417"/>
    <n v="5"/>
    <s v=""/>
    <n v="1"/>
    <x v="0"/>
    <n v="1"/>
    <s v=""/>
    <n v="4"/>
    <s v="No"/>
    <s v="No"/>
    <s v="No"/>
    <n v="5"/>
    <s v="Low"/>
    <n v="45493"/>
    <n v="0.1"/>
    <n v="50042.3"/>
  </r>
  <r>
    <s v="EMP0184"/>
    <s v="NA"/>
    <s v="USA"/>
    <x v="2"/>
    <s v="Manager"/>
    <x v="132"/>
    <s v="FTE"/>
    <d v="2024-12-17T00:00:00"/>
    <s v="Active"/>
    <s v="Commercial"/>
    <s v="CC-Sal-903"/>
    <n v="4"/>
    <s v=""/>
    <n v="1"/>
    <x v="0"/>
    <n v="1"/>
    <s v=""/>
    <n v="2"/>
    <s v="No"/>
    <s v="No"/>
    <s v="No"/>
    <n v="3"/>
    <s v="Medium"/>
    <n v="71434"/>
    <n v="0.15"/>
    <n v="82149.099999999991"/>
  </r>
  <r>
    <s v="EMP0185"/>
    <s v="NA"/>
    <s v="USA"/>
    <x v="5"/>
    <s v="IC"/>
    <x v="98"/>
    <s v="FTE"/>
    <d v="2024-12-17T00:00:00"/>
    <s v="Active"/>
    <s v="Technology"/>
    <s v="CC-IT-553"/>
    <n v="5"/>
    <s v=""/>
    <n v="1"/>
    <x v="0"/>
    <n v="1"/>
    <s v=""/>
    <n v="3"/>
    <s v="No"/>
    <s v="No"/>
    <s v="No"/>
    <n v="5"/>
    <s v="Low"/>
    <n v="29055"/>
    <n v="0.1"/>
    <n v="31960.500000000004"/>
  </r>
  <r>
    <s v="EMP0186"/>
    <s v="NA"/>
    <s v="USA"/>
    <x v="5"/>
    <s v="Manager"/>
    <x v="96"/>
    <s v="FTE"/>
    <d v="2024-12-12T00:00:00"/>
    <s v="Active"/>
    <s v="Technology"/>
    <s v="CC-IT-709"/>
    <n v="4"/>
    <s v=""/>
    <n v="1"/>
    <x v="0"/>
    <n v="1"/>
    <s v=""/>
    <n v="5"/>
    <s v="Yes"/>
    <s v="No"/>
    <s v="No"/>
    <n v="3"/>
    <s v="Medium"/>
    <n v="67651"/>
    <n v="0.15"/>
    <n v="77798.649999999994"/>
  </r>
  <r>
    <s v="EMP0187"/>
    <s v="NA"/>
    <s v="USA"/>
    <x v="0"/>
    <s v="Manager"/>
    <x v="133"/>
    <s v="FTE"/>
    <d v="2024-12-10T00:00:00"/>
    <s v="Active"/>
    <s v="Logistics"/>
    <s v="CC-Sup-393"/>
    <n v="4"/>
    <s v=""/>
    <n v="1"/>
    <x v="0"/>
    <n v="1"/>
    <s v=""/>
    <n v="2"/>
    <s v="No"/>
    <s v="Yes"/>
    <s v="Yes"/>
    <n v="4"/>
    <s v="Low"/>
    <n v="73441"/>
    <n v="0.15"/>
    <n v="84457.15"/>
  </r>
  <r>
    <s v="EMP0188"/>
    <s v="NA"/>
    <s v="USA"/>
    <x v="3"/>
    <s v="IC"/>
    <x v="109"/>
    <s v="FTE"/>
    <d v="2024-12-10T00:00:00"/>
    <s v="Inactive"/>
    <s v="Manufacturing"/>
    <s v="CC-Ope-301"/>
    <n v="5"/>
    <d v="2026-02-18T00:00:00"/>
    <n v="1"/>
    <x v="0"/>
    <n v="1"/>
    <s v="Voluntary"/>
    <n v="4"/>
    <s v="No"/>
    <s v="No"/>
    <s v="No"/>
    <n v="2"/>
    <s v="High"/>
    <n v="20238"/>
    <n v="0.1"/>
    <n v="22261.800000000003"/>
  </r>
  <r>
    <s v="EMP0189"/>
    <s v="NA"/>
    <s v="USA"/>
    <x v="1"/>
    <s v="IC"/>
    <x v="130"/>
    <s v="FTE"/>
    <d v="2024-12-09T00:00:00"/>
    <s v="Active"/>
    <s v="Controlling"/>
    <s v="CC-Fin-623"/>
    <n v="5"/>
    <s v=""/>
    <n v="1"/>
    <x v="0"/>
    <n v="1"/>
    <s v=""/>
    <n v="4"/>
    <s v="No"/>
    <s v="No"/>
    <s v="No"/>
    <n v="4"/>
    <s v="Low"/>
    <n v="24805"/>
    <n v="0.1"/>
    <n v="27285.500000000004"/>
  </r>
  <r>
    <s v="EMP0190"/>
    <s v="NA"/>
    <s v="USA"/>
    <x v="3"/>
    <s v="IC"/>
    <x v="134"/>
    <s v="FTE"/>
    <d v="2024-12-08T00:00:00"/>
    <s v="Active"/>
    <s v="Manufacturing"/>
    <s v="CC-Ope-117"/>
    <n v="5"/>
    <s v=""/>
    <n v="1"/>
    <x v="0"/>
    <n v="1"/>
    <s v=""/>
    <n v="3"/>
    <s v="No"/>
    <s v="No"/>
    <s v="No"/>
    <n v="5"/>
    <s v="Low"/>
    <n v="47222"/>
    <n v="0.1"/>
    <n v="51944.200000000004"/>
  </r>
  <r>
    <s v="EMP0191"/>
    <s v="NA"/>
    <s v="USA"/>
    <x v="4"/>
    <s v="IC"/>
    <x v="135"/>
    <s v="FTE"/>
    <d v="2024-11-28T00:00:00"/>
    <s v="Active"/>
    <s v="People Operations"/>
    <s v="CC-HR-435"/>
    <n v="5"/>
    <s v=""/>
    <n v="1"/>
    <x v="0"/>
    <n v="1"/>
    <s v=""/>
    <n v="3"/>
    <s v="No"/>
    <s v="No"/>
    <s v="No"/>
    <n v="5"/>
    <s v="Low"/>
    <n v="33191"/>
    <n v="0.1"/>
    <n v="36510.100000000006"/>
  </r>
  <r>
    <s v="EMP0192"/>
    <s v="NA"/>
    <s v="USA"/>
    <x v="5"/>
    <s v="IC"/>
    <x v="136"/>
    <s v="FTE"/>
    <d v="2024-11-20T00:00:00"/>
    <s v="Active"/>
    <s v="Technology"/>
    <s v="CC-IT-374"/>
    <n v="5"/>
    <s v=""/>
    <n v="1"/>
    <x v="0"/>
    <n v="1"/>
    <s v=""/>
    <n v="4"/>
    <s v="No"/>
    <s v="No"/>
    <s v="No"/>
    <n v="3"/>
    <s v="Medium"/>
    <n v="42728"/>
    <n v="0.1"/>
    <n v="47000.800000000003"/>
  </r>
  <r>
    <s v="EMP0193"/>
    <s v="NA"/>
    <s v="USA"/>
    <x v="5"/>
    <s v="IC"/>
    <x v="104"/>
    <s v="FTE"/>
    <d v="2024-11-19T00:00:00"/>
    <s v="Active"/>
    <s v="Technology"/>
    <s v="CC-IT-469"/>
    <n v="5"/>
    <s v=""/>
    <n v="1"/>
    <x v="0"/>
    <n v="1"/>
    <s v=""/>
    <n v="4"/>
    <s v="Yes"/>
    <s v="No"/>
    <s v="No"/>
    <n v="3"/>
    <s v="Medium"/>
    <n v="35003"/>
    <n v="0.1"/>
    <n v="38503.300000000003"/>
  </r>
  <r>
    <s v="EMP0194"/>
    <s v="NA"/>
    <s v="USA"/>
    <x v="1"/>
    <s v="IC"/>
    <x v="120"/>
    <s v="Contractor"/>
    <d v="2024-11-15T00:00:00"/>
    <s v="Active"/>
    <s v="Controlling"/>
    <s v="CC-Fin-665"/>
    <n v="5"/>
    <s v=""/>
    <n v="1"/>
    <x v="0"/>
    <n v="1"/>
    <s v=""/>
    <n v="5"/>
    <s v="No"/>
    <s v="Yes"/>
    <s v="Yes"/>
    <n v="1"/>
    <s v="High"/>
    <n v="37451"/>
    <n v="0.1"/>
    <n v="41196.100000000006"/>
  </r>
  <r>
    <s v="EMP0195"/>
    <s v="NA"/>
    <s v="USA"/>
    <x v="1"/>
    <s v="Manager"/>
    <x v="137"/>
    <s v="FTE"/>
    <d v="2024-11-13T00:00:00"/>
    <s v="Inactive"/>
    <s v="Controlling"/>
    <s v="CC-Fin-349"/>
    <n v="4"/>
    <d v="2026-02-18T00:00:00"/>
    <n v="1"/>
    <x v="0"/>
    <n v="1"/>
    <s v="Involuntary"/>
    <n v="3"/>
    <s v="No"/>
    <s v="No"/>
    <s v="No"/>
    <n v="3"/>
    <s v="Medium"/>
    <n v="87599"/>
    <n v="0.15"/>
    <n v="100738.84999999999"/>
  </r>
  <r>
    <s v="EMP0196"/>
    <s v="NA"/>
    <s v="USA"/>
    <x v="0"/>
    <s v="IC"/>
    <x v="95"/>
    <s v="Contractor"/>
    <d v="2024-11-11T00:00:00"/>
    <s v="Active"/>
    <s v="Logistics"/>
    <s v="CC-Sup-674"/>
    <n v="5"/>
    <s v=""/>
    <n v="1"/>
    <x v="0"/>
    <n v="1"/>
    <s v=""/>
    <n v="4"/>
    <s v="No"/>
    <s v="No"/>
    <s v="No"/>
    <n v="5"/>
    <s v="Low"/>
    <n v="36083"/>
    <n v="0.1"/>
    <n v="39691.300000000003"/>
  </r>
  <r>
    <s v="EMP0197"/>
    <s v="NA"/>
    <s v="USA"/>
    <x v="3"/>
    <s v="IC"/>
    <x v="138"/>
    <s v="FTE"/>
    <d v="2024-11-05T00:00:00"/>
    <s v="Active"/>
    <s v="Manufacturing"/>
    <s v="CC-Ope-405"/>
    <n v="5"/>
    <s v=""/>
    <n v="1"/>
    <x v="0"/>
    <n v="1"/>
    <s v=""/>
    <n v="4"/>
    <s v="No"/>
    <s v="No"/>
    <s v="No"/>
    <n v="3"/>
    <s v="Medium"/>
    <n v="23168"/>
    <n v="0.1"/>
    <n v="25484.800000000003"/>
  </r>
  <r>
    <s v="EMP0198"/>
    <s v="NA"/>
    <s v="USA"/>
    <x v="5"/>
    <s v="IC"/>
    <x v="134"/>
    <s v="FTE"/>
    <d v="2024-11-04T00:00:00"/>
    <s v="Active"/>
    <s v="Technology"/>
    <s v="CC-IT-200"/>
    <n v="5"/>
    <s v=""/>
    <n v="1"/>
    <x v="0"/>
    <n v="1"/>
    <s v=""/>
    <n v="5"/>
    <s v="No"/>
    <s v="Yes"/>
    <s v="No"/>
    <n v="1"/>
    <s v="High"/>
    <n v="23921"/>
    <n v="0.1"/>
    <n v="26313.100000000002"/>
  </r>
  <r>
    <s v="EMP0199"/>
    <s v="NA"/>
    <s v="USA"/>
    <x v="0"/>
    <s v="Manager"/>
    <x v="139"/>
    <s v="FTE"/>
    <d v="2024-11-03T00:00:00"/>
    <s v="Active"/>
    <s v="Logistics"/>
    <s v="CC-Sup-904"/>
    <n v="4"/>
    <s v=""/>
    <n v="1"/>
    <x v="0"/>
    <n v="1"/>
    <s v=""/>
    <n v="3"/>
    <s v="No"/>
    <s v="No"/>
    <s v="No"/>
    <n v="2"/>
    <s v="High"/>
    <n v="70189"/>
    <n v="0.15"/>
    <n v="80717.349999999991"/>
  </r>
  <r>
    <s v="EMP0200"/>
    <s v="NA"/>
    <s v="USA"/>
    <x v="3"/>
    <s v="VP"/>
    <x v="140"/>
    <s v="FTE"/>
    <d v="2024-11-01T00:00:00"/>
    <s v="Inactive"/>
    <s v="Manufacturing"/>
    <s v="CC-Ope-707"/>
    <n v="2"/>
    <d v="2026-02-18T00:00:00"/>
    <n v="1"/>
    <x v="0"/>
    <n v="1"/>
    <s v="Voluntary"/>
    <n v="2"/>
    <s v="No"/>
    <s v="Yes"/>
    <s v="Yes"/>
    <n v="4"/>
    <s v="Low"/>
    <n v="164144"/>
    <n v="0.25"/>
    <n v="205180"/>
  </r>
  <r>
    <s v="EMP0201"/>
    <s v="NA"/>
    <s v="USA"/>
    <x v="3"/>
    <s v="IC"/>
    <x v="108"/>
    <s v="FTE"/>
    <d v="2024-10-25T00:00:00"/>
    <s v="Inactive"/>
    <s v="Manufacturing"/>
    <s v="CC-Ope-429"/>
    <n v="5"/>
    <d v="2026-02-18T00:00:00"/>
    <n v="1"/>
    <x v="0"/>
    <n v="1"/>
    <s v="Involuntary"/>
    <n v="3"/>
    <s v="No"/>
    <s v="No"/>
    <s v="No"/>
    <n v="1"/>
    <s v="High"/>
    <n v="26145"/>
    <n v="0.1"/>
    <n v="28759.500000000004"/>
  </r>
  <r>
    <s v="EMP0202"/>
    <s v="NA"/>
    <s v="USA"/>
    <x v="3"/>
    <s v="IC"/>
    <x v="12"/>
    <s v="FTE"/>
    <d v="2024-10-19T00:00:00"/>
    <s v="Active"/>
    <s v="Manufacturing"/>
    <s v="CC-Ope-158"/>
    <n v="5"/>
    <s v=""/>
    <n v="1"/>
    <x v="0"/>
    <n v="1"/>
    <s v=""/>
    <n v="2"/>
    <s v="No"/>
    <s v="No"/>
    <s v="No"/>
    <n v="5"/>
    <s v="Low"/>
    <n v="32095"/>
    <n v="0.1"/>
    <n v="35304.5"/>
  </r>
  <r>
    <s v="EMP0203"/>
    <s v="NA"/>
    <s v="USA"/>
    <x v="1"/>
    <s v="IC"/>
    <x v="29"/>
    <s v="FTE"/>
    <d v="2024-10-07T00:00:00"/>
    <s v="Active"/>
    <s v="Controlling"/>
    <s v="CC-Fin-505"/>
    <n v="5"/>
    <s v=""/>
    <n v="1"/>
    <x v="0"/>
    <n v="1"/>
    <s v=""/>
    <n v="2"/>
    <s v="No"/>
    <s v="No"/>
    <s v="No"/>
    <n v="5"/>
    <s v="Low"/>
    <n v="43851"/>
    <n v="0.1"/>
    <n v="48236.100000000006"/>
  </r>
  <r>
    <s v="EMP0204"/>
    <s v="NA"/>
    <s v="USA"/>
    <x v="2"/>
    <s v="VP"/>
    <x v="114"/>
    <s v="FTE"/>
    <d v="2024-10-03T00:00:00"/>
    <s v="Active"/>
    <s v="Commercial"/>
    <s v="CC-Sal-566"/>
    <n v="2"/>
    <s v=""/>
    <n v="1"/>
    <x v="0"/>
    <n v="1"/>
    <s v=""/>
    <n v="2"/>
    <s v="No"/>
    <s v="No"/>
    <s v="No"/>
    <n v="5"/>
    <s v="Low"/>
    <n v="184098"/>
    <n v="0.25"/>
    <n v="230122.5"/>
  </r>
  <r>
    <s v="EMP0205"/>
    <s v="NA"/>
    <s v="USA"/>
    <x v="0"/>
    <s v="IC"/>
    <x v="87"/>
    <s v="FTE"/>
    <d v="2024-10-02T00:00:00"/>
    <s v="Active"/>
    <s v="Logistics"/>
    <s v="CC-Sup-257"/>
    <n v="5"/>
    <s v=""/>
    <n v="1"/>
    <x v="0"/>
    <n v="1"/>
    <s v=""/>
    <n v="5"/>
    <s v="No"/>
    <s v="No"/>
    <s v="No"/>
    <n v="2"/>
    <s v="High"/>
    <n v="31837"/>
    <n v="0.1"/>
    <n v="35020.700000000004"/>
  </r>
  <r>
    <s v="EMP0206"/>
    <s v="NA"/>
    <s v="USA"/>
    <x v="4"/>
    <s v="Manager"/>
    <x v="141"/>
    <s v="FTE"/>
    <d v="2024-10-01T00:00:00"/>
    <s v="Active"/>
    <s v="People Operations"/>
    <s v="CC-HR-805"/>
    <n v="4"/>
    <s v=""/>
    <n v="1"/>
    <x v="0"/>
    <n v="1"/>
    <s v=""/>
    <n v="2"/>
    <s v="No"/>
    <s v="No"/>
    <s v="No"/>
    <n v="1"/>
    <s v="High"/>
    <n v="74200"/>
    <n v="0.15"/>
    <n v="85330"/>
  </r>
  <r>
    <s v="EMP0207"/>
    <s v="NA"/>
    <s v="USA"/>
    <x v="1"/>
    <s v="IC"/>
    <x v="130"/>
    <s v="FTE"/>
    <d v="2024-10-01T00:00:00"/>
    <s v="Active"/>
    <s v="Controlling"/>
    <s v="CC-Fin-475"/>
    <n v="5"/>
    <s v=""/>
    <n v="1"/>
    <x v="0"/>
    <n v="1"/>
    <s v=""/>
    <n v="4"/>
    <s v="No"/>
    <s v="No"/>
    <s v="No"/>
    <n v="3"/>
    <s v="Medium"/>
    <n v="40211"/>
    <n v="0.1"/>
    <n v="44232.100000000006"/>
  </r>
  <r>
    <s v="EMP0208"/>
    <s v="NA"/>
    <s v="USA"/>
    <x v="2"/>
    <s v="IC"/>
    <x v="29"/>
    <s v="FTE"/>
    <d v="2024-09-26T00:00:00"/>
    <s v="Active"/>
    <s v="Commercial"/>
    <s v="CC-Sal-215"/>
    <n v="5"/>
    <s v=""/>
    <n v="1"/>
    <x v="0"/>
    <n v="1"/>
    <s v=""/>
    <n v="3"/>
    <s v="No"/>
    <s v="Yes"/>
    <s v="Yes"/>
    <n v="1"/>
    <s v="High"/>
    <n v="31246"/>
    <n v="0.1"/>
    <n v="34370.600000000006"/>
  </r>
  <r>
    <s v="EMP0209"/>
    <s v="NA"/>
    <s v="USA"/>
    <x v="3"/>
    <s v="IC"/>
    <x v="98"/>
    <s v="FTE"/>
    <d v="2024-09-24T00:00:00"/>
    <s v="Inactive"/>
    <s v="Manufacturing"/>
    <s v="CC-Ope-126"/>
    <n v="5"/>
    <d v="2026-02-18T00:00:00"/>
    <n v="1"/>
    <x v="0"/>
    <n v="1"/>
    <s v="Involuntary"/>
    <n v="4"/>
    <s v="No"/>
    <s v="No"/>
    <s v="No"/>
    <n v="3"/>
    <s v="Medium"/>
    <n v="35629"/>
    <n v="0.1"/>
    <n v="39191.9"/>
  </r>
  <r>
    <s v="EMP0210"/>
    <s v="NA"/>
    <s v="USA"/>
    <x v="0"/>
    <s v="IC"/>
    <x v="80"/>
    <s v="Contractor"/>
    <d v="2024-09-22T00:00:00"/>
    <s v="Active"/>
    <s v="Logistics"/>
    <s v="CC-Sup-571"/>
    <n v="5"/>
    <s v=""/>
    <n v="1"/>
    <x v="0"/>
    <n v="1"/>
    <s v=""/>
    <n v="4"/>
    <s v="Yes"/>
    <s v="No"/>
    <s v="No"/>
    <n v="2"/>
    <s v="High"/>
    <n v="34283"/>
    <n v="0.1"/>
    <n v="37711.300000000003"/>
  </r>
  <r>
    <s v="EMP0211"/>
    <s v="NA"/>
    <s v="USA"/>
    <x v="4"/>
    <s v="IC"/>
    <x v="85"/>
    <s v="FTE"/>
    <d v="2024-09-20T00:00:00"/>
    <s v="Active"/>
    <s v="People Operations"/>
    <s v="CC-HR-982"/>
    <n v="5"/>
    <s v=""/>
    <n v="1"/>
    <x v="0"/>
    <n v="1"/>
    <s v=""/>
    <n v="3"/>
    <s v="No"/>
    <s v="Yes"/>
    <s v="No"/>
    <n v="4"/>
    <s v="Low"/>
    <n v="20312"/>
    <n v="0.1"/>
    <n v="22343.200000000001"/>
  </r>
  <r>
    <s v="EMP0212"/>
    <s v="NA"/>
    <s v="USA"/>
    <x v="5"/>
    <s v="Director"/>
    <x v="43"/>
    <s v="FTE"/>
    <d v="2024-09-19T00:00:00"/>
    <s v="Active"/>
    <s v="Technology"/>
    <s v="CC-IT-834"/>
    <n v="3"/>
    <s v=""/>
    <n v="1"/>
    <x v="0"/>
    <n v="1"/>
    <s v=""/>
    <n v="2"/>
    <s v="No"/>
    <s v="No"/>
    <s v="No"/>
    <n v="2"/>
    <s v="High"/>
    <n v="133074"/>
    <n v="0.2"/>
    <n v="159688.79999999999"/>
  </r>
  <r>
    <s v="EMP0213"/>
    <s v="NA"/>
    <s v="USA"/>
    <x v="5"/>
    <s v="IC"/>
    <x v="51"/>
    <s v="FTE"/>
    <d v="2024-09-11T00:00:00"/>
    <s v="Inactive"/>
    <s v="Technology"/>
    <s v="CC-IT-542"/>
    <n v="5"/>
    <d v="2026-02-18T00:00:00"/>
    <n v="1"/>
    <x v="0"/>
    <n v="1"/>
    <s v="Voluntary"/>
    <n v="2"/>
    <s v="Yes"/>
    <s v="No"/>
    <s v="No"/>
    <n v="1"/>
    <s v="High"/>
    <n v="38740"/>
    <n v="0.1"/>
    <n v="42614"/>
  </r>
  <r>
    <s v="EMP0214"/>
    <s v="NA"/>
    <s v="USA"/>
    <x v="1"/>
    <s v="Director"/>
    <x v="53"/>
    <s v="FTE"/>
    <d v="2024-09-10T00:00:00"/>
    <s v="Active"/>
    <s v="Controlling"/>
    <s v="CC-Fin-719"/>
    <n v="3"/>
    <s v=""/>
    <n v="1"/>
    <x v="0"/>
    <n v="1"/>
    <s v=""/>
    <n v="4"/>
    <s v="No"/>
    <s v="No"/>
    <s v="No"/>
    <n v="4"/>
    <s v="Low"/>
    <n v="96313"/>
    <n v="0.2"/>
    <n v="115575.59999999999"/>
  </r>
  <r>
    <s v="EMP0215"/>
    <s v="NA"/>
    <s v="USA"/>
    <x v="5"/>
    <s v="Director"/>
    <x v="142"/>
    <s v="FTE"/>
    <d v="2024-09-08T00:00:00"/>
    <s v="Active"/>
    <s v="Technology"/>
    <s v="CC-IT-541"/>
    <n v="3"/>
    <s v=""/>
    <n v="1"/>
    <x v="0"/>
    <n v="1"/>
    <s v=""/>
    <n v="3"/>
    <s v="Yes"/>
    <s v="No"/>
    <s v="No"/>
    <n v="1"/>
    <s v="High"/>
    <n v="137359"/>
    <n v="0.2"/>
    <n v="164830.79999999999"/>
  </r>
  <r>
    <s v="EMP0216"/>
    <s v="NA"/>
    <s v="USA"/>
    <x v="3"/>
    <s v="IC"/>
    <x v="126"/>
    <s v="FTE"/>
    <d v="2024-09-08T00:00:00"/>
    <s v="Active"/>
    <s v="Manufacturing"/>
    <s v="CC-Ope-705"/>
    <n v="5"/>
    <s v=""/>
    <n v="1"/>
    <x v="0"/>
    <n v="1"/>
    <s v=""/>
    <n v="4"/>
    <s v="No"/>
    <s v="Yes"/>
    <s v="No"/>
    <n v="1"/>
    <s v="High"/>
    <n v="24937"/>
    <n v="0.1"/>
    <n v="27430.7"/>
  </r>
  <r>
    <s v="EMP0217"/>
    <s v="NA"/>
    <s v="USA"/>
    <x v="5"/>
    <s v="IC"/>
    <x v="143"/>
    <s v="FTE"/>
    <d v="2024-09-02T00:00:00"/>
    <s v="Active"/>
    <s v="Technology"/>
    <s v="CC-IT-932"/>
    <n v="5"/>
    <s v=""/>
    <n v="1"/>
    <x v="0"/>
    <n v="1"/>
    <s v=""/>
    <n v="3"/>
    <s v="No"/>
    <s v="No"/>
    <s v="No"/>
    <n v="1"/>
    <s v="High"/>
    <n v="39596"/>
    <n v="0.1"/>
    <n v="43555.600000000006"/>
  </r>
  <r>
    <s v="EMP0218"/>
    <s v="NA"/>
    <s v="USA"/>
    <x v="0"/>
    <s v="IC"/>
    <x v="30"/>
    <s v="Contractor"/>
    <d v="2024-08-27T00:00:00"/>
    <s v="Active"/>
    <s v="Logistics"/>
    <s v="CC-Sup-604"/>
    <n v="5"/>
    <s v=""/>
    <n v="1"/>
    <x v="0"/>
    <n v="1"/>
    <s v=""/>
    <n v="2"/>
    <s v="Yes"/>
    <s v="Yes"/>
    <s v="No"/>
    <n v="5"/>
    <s v="Low"/>
    <n v="29529"/>
    <n v="0.1"/>
    <n v="32481.9"/>
  </r>
  <r>
    <s v="EMP0219"/>
    <s v="NA"/>
    <s v="USA"/>
    <x v="3"/>
    <s v="IC"/>
    <x v="130"/>
    <s v="FTE"/>
    <d v="2024-08-25T00:00:00"/>
    <s v="Active"/>
    <s v="Manufacturing"/>
    <s v="CC-Ope-955"/>
    <n v="5"/>
    <s v=""/>
    <n v="1"/>
    <x v="0"/>
    <n v="1"/>
    <s v=""/>
    <n v="3"/>
    <s v="No"/>
    <s v="No"/>
    <s v="No"/>
    <n v="3"/>
    <s v="Medium"/>
    <n v="28669"/>
    <n v="0.1"/>
    <n v="31535.9"/>
  </r>
  <r>
    <s v="EMP0220"/>
    <s v="NA"/>
    <s v="USA"/>
    <x v="3"/>
    <s v="IC"/>
    <x v="144"/>
    <s v="FTE"/>
    <d v="2024-08-25T00:00:00"/>
    <s v="Active"/>
    <s v="Manufacturing"/>
    <s v="CC-Ope-639"/>
    <n v="5"/>
    <s v=""/>
    <n v="1"/>
    <x v="0"/>
    <n v="1"/>
    <s v=""/>
    <n v="4"/>
    <s v="No"/>
    <s v="Yes"/>
    <s v="No"/>
    <n v="3"/>
    <s v="Medium"/>
    <n v="46574"/>
    <n v="0.1"/>
    <n v="51231.4"/>
  </r>
  <r>
    <s v="EMP0221"/>
    <s v="NA"/>
    <s v="USA"/>
    <x v="4"/>
    <s v="IC"/>
    <x v="145"/>
    <s v="FTE"/>
    <d v="2024-08-20T00:00:00"/>
    <s v="Active"/>
    <s v="People Operations"/>
    <s v="CC-HR-808"/>
    <n v="5"/>
    <s v=""/>
    <n v="1"/>
    <x v="0"/>
    <n v="1"/>
    <s v=""/>
    <n v="2"/>
    <s v="No"/>
    <s v="No"/>
    <s v="No"/>
    <n v="5"/>
    <s v="Low"/>
    <n v="33101"/>
    <n v="0.1"/>
    <n v="36411.100000000006"/>
  </r>
  <r>
    <s v="EMP0222"/>
    <s v="NA"/>
    <s v="USA"/>
    <x v="0"/>
    <s v="IC"/>
    <x v="83"/>
    <s v="FTE"/>
    <d v="2024-08-15T00:00:00"/>
    <s v="Active"/>
    <s v="Logistics"/>
    <s v="CC-Sup-756"/>
    <n v="5"/>
    <s v=""/>
    <n v="1"/>
    <x v="0"/>
    <n v="1"/>
    <s v=""/>
    <n v="3"/>
    <s v="No"/>
    <s v="Yes"/>
    <s v="No"/>
    <n v="2"/>
    <s v="High"/>
    <n v="39106"/>
    <n v="0.1"/>
    <n v="43016.600000000006"/>
  </r>
  <r>
    <s v="EMP0223"/>
    <s v="NA"/>
    <s v="USA"/>
    <x v="0"/>
    <s v="IC"/>
    <x v="9"/>
    <s v="FTE"/>
    <d v="2024-08-10T00:00:00"/>
    <s v="Active"/>
    <s v="Logistics"/>
    <s v="CC-Sup-495"/>
    <n v="5"/>
    <s v=""/>
    <n v="1"/>
    <x v="0"/>
    <n v="1"/>
    <s v=""/>
    <n v="4"/>
    <s v="No"/>
    <s v="No"/>
    <s v="No"/>
    <n v="2"/>
    <s v="High"/>
    <n v="28470"/>
    <n v="0.1"/>
    <n v="31317.000000000004"/>
  </r>
  <r>
    <s v="EMP0224"/>
    <s v="NA"/>
    <s v="USA"/>
    <x v="4"/>
    <s v="IC"/>
    <x v="102"/>
    <s v="FTE"/>
    <d v="2024-08-07T00:00:00"/>
    <s v="Active"/>
    <s v="People Operations"/>
    <s v="CC-HR-762"/>
    <n v="5"/>
    <s v=""/>
    <n v="1"/>
    <x v="0"/>
    <n v="1"/>
    <s v=""/>
    <n v="3"/>
    <s v="No"/>
    <s v="No"/>
    <s v="No"/>
    <n v="3"/>
    <s v="Medium"/>
    <n v="25821"/>
    <n v="0.1"/>
    <n v="28403.100000000002"/>
  </r>
  <r>
    <s v="EMP0225"/>
    <s v="NA"/>
    <s v="USA"/>
    <x v="2"/>
    <s v="IC"/>
    <x v="146"/>
    <s v="FTE"/>
    <d v="2024-08-02T00:00:00"/>
    <s v="Active"/>
    <s v="Commercial"/>
    <s v="CC-Sal-387"/>
    <n v="5"/>
    <s v=""/>
    <n v="1"/>
    <x v="0"/>
    <n v="1"/>
    <s v=""/>
    <n v="3"/>
    <s v="No"/>
    <s v="No"/>
    <s v="No"/>
    <n v="5"/>
    <s v="Low"/>
    <n v="34166"/>
    <n v="0.1"/>
    <n v="37582.600000000006"/>
  </r>
  <r>
    <s v="EMP0226"/>
    <s v="NA"/>
    <s v="USA"/>
    <x v="3"/>
    <s v="IC"/>
    <x v="147"/>
    <s v="FTE"/>
    <d v="2024-07-26T00:00:00"/>
    <s v="Active"/>
    <s v="Manufacturing"/>
    <s v="CC-Ope-928"/>
    <n v="5"/>
    <s v=""/>
    <n v="1"/>
    <x v="0"/>
    <n v="1"/>
    <s v=""/>
    <n v="2"/>
    <s v="No"/>
    <s v="No"/>
    <s v="No"/>
    <n v="1"/>
    <s v="High"/>
    <n v="26300"/>
    <n v="0.1"/>
    <n v="28930.000000000004"/>
  </r>
  <r>
    <s v="EMP0227"/>
    <s v="NA"/>
    <s v="USA"/>
    <x v="3"/>
    <s v="IC"/>
    <x v="148"/>
    <s v="Contractor"/>
    <d v="2024-07-25T00:00:00"/>
    <s v="Active"/>
    <s v="Manufacturing"/>
    <s v="CC-Ope-664"/>
    <n v="5"/>
    <s v=""/>
    <n v="1"/>
    <x v="0"/>
    <n v="1"/>
    <s v=""/>
    <n v="4"/>
    <s v="No"/>
    <s v="No"/>
    <s v="No"/>
    <n v="4"/>
    <s v="Low"/>
    <n v="28239"/>
    <n v="0.1"/>
    <n v="31062.9"/>
  </r>
  <r>
    <s v="EMP0228"/>
    <s v="NA"/>
    <s v="USA"/>
    <x v="0"/>
    <s v="IC"/>
    <x v="29"/>
    <s v="FTE"/>
    <d v="2024-07-24T00:00:00"/>
    <s v="Active"/>
    <s v="Logistics"/>
    <s v="CC-Sup-249"/>
    <n v="5"/>
    <s v=""/>
    <n v="1"/>
    <x v="0"/>
    <n v="1"/>
    <s v=""/>
    <n v="3"/>
    <s v="No"/>
    <s v="No"/>
    <s v="No"/>
    <n v="2"/>
    <s v="High"/>
    <n v="43151"/>
    <n v="0.1"/>
    <n v="47466.100000000006"/>
  </r>
  <r>
    <s v="EMP0229"/>
    <s v="NA"/>
    <s v="USA"/>
    <x v="3"/>
    <s v="Director"/>
    <x v="149"/>
    <s v="FTE"/>
    <d v="2024-07-21T00:00:00"/>
    <s v="Active"/>
    <s v="Manufacturing"/>
    <s v="CC-Ope-652"/>
    <n v="3"/>
    <s v=""/>
    <n v="1"/>
    <x v="0"/>
    <n v="1"/>
    <s v=""/>
    <n v="5"/>
    <s v="Yes"/>
    <s v="No"/>
    <s v="No"/>
    <n v="3"/>
    <s v="Medium"/>
    <n v="121291"/>
    <n v="0.2"/>
    <n v="145549.19999999998"/>
  </r>
  <r>
    <s v="EMP0230"/>
    <s v="NA"/>
    <s v="USA"/>
    <x v="2"/>
    <s v="IC"/>
    <x v="17"/>
    <s v="Contractor"/>
    <d v="2024-07-12T00:00:00"/>
    <s v="Active"/>
    <s v="Commercial"/>
    <s v="CC-Sal-101"/>
    <n v="5"/>
    <s v=""/>
    <n v="1"/>
    <x v="0"/>
    <n v="1"/>
    <s v=""/>
    <n v="3"/>
    <s v="No"/>
    <s v="No"/>
    <s v="No"/>
    <n v="2"/>
    <s v="High"/>
    <n v="22801"/>
    <n v="0.1"/>
    <n v="25081.100000000002"/>
  </r>
  <r>
    <s v="EMP0231"/>
    <s v="NA"/>
    <s v="USA"/>
    <x v="4"/>
    <s v="IC"/>
    <x v="115"/>
    <s v="FTE"/>
    <d v="2024-07-11T00:00:00"/>
    <s v="Active"/>
    <s v="People Operations"/>
    <s v="CC-HR-607"/>
    <n v="5"/>
    <s v=""/>
    <n v="1"/>
    <x v="0"/>
    <n v="1"/>
    <s v=""/>
    <n v="3"/>
    <s v="No"/>
    <s v="No"/>
    <s v="No"/>
    <n v="5"/>
    <s v="Low"/>
    <n v="39703"/>
    <n v="0.1"/>
    <n v="43673.3"/>
  </r>
  <r>
    <s v="EMP0232"/>
    <s v="NA"/>
    <s v="USA"/>
    <x v="0"/>
    <s v="IC"/>
    <x v="150"/>
    <s v="FTE"/>
    <d v="2024-07-05T00:00:00"/>
    <s v="Active"/>
    <s v="Logistics"/>
    <s v="CC-Sup-234"/>
    <n v="5"/>
    <s v=""/>
    <n v="1"/>
    <x v="0"/>
    <n v="1"/>
    <s v=""/>
    <n v="4"/>
    <s v="Yes"/>
    <s v="Yes"/>
    <s v="Yes"/>
    <n v="1"/>
    <s v="High"/>
    <n v="33161"/>
    <n v="0.1"/>
    <n v="36477.100000000006"/>
  </r>
  <r>
    <s v="EMP0233"/>
    <s v="NA"/>
    <s v="USA"/>
    <x v="3"/>
    <s v="IC"/>
    <x v="151"/>
    <s v="FTE"/>
    <d v="2024-06-28T00:00:00"/>
    <s v="Active"/>
    <s v="Manufacturing"/>
    <s v="CC-Ope-396"/>
    <n v="5"/>
    <s v=""/>
    <n v="1"/>
    <x v="0"/>
    <n v="1"/>
    <s v=""/>
    <n v="3"/>
    <s v="No"/>
    <s v="No"/>
    <s v="No"/>
    <n v="1"/>
    <s v="High"/>
    <n v="47756"/>
    <n v="0.1"/>
    <n v="52531.600000000006"/>
  </r>
  <r>
    <s v="EMP0234"/>
    <s v="NA"/>
    <s v="USA"/>
    <x v="4"/>
    <s v="IC"/>
    <x v="31"/>
    <s v="FTE"/>
    <d v="2024-06-25T00:00:00"/>
    <s v="Inactive"/>
    <s v="People Operations"/>
    <s v="CC-HR-312"/>
    <n v="5"/>
    <d v="2026-02-18T00:00:00"/>
    <n v="1"/>
    <x v="0"/>
    <n v="1"/>
    <s v="Voluntary"/>
    <n v="4"/>
    <s v="No"/>
    <s v="No"/>
    <s v="No"/>
    <n v="3"/>
    <s v="Medium"/>
    <n v="27798"/>
    <n v="0.1"/>
    <n v="30577.800000000003"/>
  </r>
  <r>
    <s v="EMP0235"/>
    <s v="NA"/>
    <s v="USA"/>
    <x v="2"/>
    <s v="IC"/>
    <x v="91"/>
    <s v="FTE"/>
    <d v="2024-06-24T00:00:00"/>
    <s v="Active"/>
    <s v="Commercial"/>
    <s v="CC-Sal-904"/>
    <n v="5"/>
    <s v=""/>
    <n v="1"/>
    <x v="0"/>
    <n v="1"/>
    <s v=""/>
    <n v="3"/>
    <s v="No"/>
    <s v="No"/>
    <s v="No"/>
    <n v="2"/>
    <s v="High"/>
    <n v="23821"/>
    <n v="0.1"/>
    <n v="26203.100000000002"/>
  </r>
  <r>
    <s v="EMP0236"/>
    <s v="NA"/>
    <s v="USA"/>
    <x v="3"/>
    <s v="IC"/>
    <x v="118"/>
    <s v="FTE"/>
    <d v="2024-06-22T00:00:00"/>
    <s v="Active"/>
    <s v="Manufacturing"/>
    <s v="CC-Ope-753"/>
    <n v="5"/>
    <s v=""/>
    <n v="1"/>
    <x v="0"/>
    <n v="1"/>
    <s v=""/>
    <n v="4"/>
    <s v="No"/>
    <s v="No"/>
    <s v="No"/>
    <n v="2"/>
    <s v="High"/>
    <n v="39629"/>
    <n v="0.1"/>
    <n v="43591.9"/>
  </r>
  <r>
    <s v="EMP0237"/>
    <s v="NA"/>
    <s v="USA"/>
    <x v="0"/>
    <s v="IC"/>
    <x v="67"/>
    <s v="FTE"/>
    <d v="2024-06-22T00:00:00"/>
    <s v="Active"/>
    <s v="Logistics"/>
    <s v="CC-Sup-388"/>
    <n v="5"/>
    <s v=""/>
    <n v="1"/>
    <x v="0"/>
    <n v="1"/>
    <s v=""/>
    <n v="3"/>
    <s v="No"/>
    <s v="No"/>
    <s v="No"/>
    <n v="5"/>
    <s v="Low"/>
    <n v="26730"/>
    <n v="0.1"/>
    <n v="29403.000000000004"/>
  </r>
  <r>
    <s v="EMP0238"/>
    <s v="NA"/>
    <s v="USA"/>
    <x v="1"/>
    <s v="IC"/>
    <x v="27"/>
    <s v="FTE"/>
    <d v="2024-06-22T00:00:00"/>
    <s v="Inactive"/>
    <s v="Controlling"/>
    <s v="CC-Fin-396"/>
    <n v="5"/>
    <d v="2026-02-18T00:00:00"/>
    <n v="1"/>
    <x v="0"/>
    <n v="1"/>
    <s v="Voluntary"/>
    <n v="4"/>
    <s v="No"/>
    <s v="No"/>
    <s v="No"/>
    <n v="2"/>
    <s v="High"/>
    <n v="22982"/>
    <n v="0.1"/>
    <n v="25280.2"/>
  </r>
  <r>
    <s v="EMP0239"/>
    <s v="NA"/>
    <s v="USA"/>
    <x v="1"/>
    <s v="IC"/>
    <x v="152"/>
    <s v="FTE"/>
    <d v="2024-06-19T00:00:00"/>
    <s v="Active"/>
    <s v="Controlling"/>
    <s v="CC-Fin-422"/>
    <n v="5"/>
    <s v=""/>
    <n v="1"/>
    <x v="0"/>
    <n v="1"/>
    <s v=""/>
    <n v="3"/>
    <s v="No"/>
    <s v="No"/>
    <s v="No"/>
    <n v="3"/>
    <s v="Medium"/>
    <n v="34126"/>
    <n v="0.1"/>
    <n v="37538.600000000006"/>
  </r>
  <r>
    <s v="EMP0240"/>
    <s v="NA"/>
    <s v="USA"/>
    <x v="4"/>
    <s v="IC"/>
    <x v="153"/>
    <s v="FTE"/>
    <d v="2024-06-19T00:00:00"/>
    <s v="Active"/>
    <s v="People Operations"/>
    <s v="CC-HR-409"/>
    <n v="5"/>
    <s v=""/>
    <n v="1"/>
    <x v="0"/>
    <n v="1"/>
    <s v=""/>
    <n v="3"/>
    <s v="No"/>
    <s v="No"/>
    <s v="No"/>
    <n v="3"/>
    <s v="Medium"/>
    <n v="34016"/>
    <n v="0.1"/>
    <n v="37417.600000000006"/>
  </r>
  <r>
    <s v="EMP0241"/>
    <s v="NA"/>
    <s v="USA"/>
    <x v="3"/>
    <s v="Director"/>
    <x v="154"/>
    <s v="FTE"/>
    <d v="2024-06-18T00:00:00"/>
    <s v="Active"/>
    <s v="Manufacturing"/>
    <s v="CC-Ope-220"/>
    <n v="3"/>
    <s v=""/>
    <n v="1"/>
    <x v="0"/>
    <n v="1"/>
    <s v=""/>
    <n v="5"/>
    <s v="No"/>
    <s v="No"/>
    <s v="No"/>
    <n v="4"/>
    <s v="Low"/>
    <n v="107715"/>
    <n v="0.2"/>
    <n v="129258"/>
  </r>
  <r>
    <s v="EMP0242"/>
    <s v="NA"/>
    <s v="USA"/>
    <x v="1"/>
    <s v="IC"/>
    <x v="155"/>
    <s v="FTE"/>
    <d v="2024-06-13T00:00:00"/>
    <s v="Active"/>
    <s v="Controlling"/>
    <s v="CC-Fin-471"/>
    <n v="5"/>
    <s v=""/>
    <n v="1"/>
    <x v="0"/>
    <n v="1"/>
    <s v=""/>
    <n v="4"/>
    <s v="Yes"/>
    <s v="No"/>
    <s v="No"/>
    <n v="4"/>
    <s v="Low"/>
    <n v="20012"/>
    <n v="0.1"/>
    <n v="22013.200000000001"/>
  </r>
  <r>
    <s v="EMP0243"/>
    <s v="NA"/>
    <s v="USA"/>
    <x v="3"/>
    <s v="IC"/>
    <x v="156"/>
    <s v="FTE"/>
    <d v="2024-06-04T00:00:00"/>
    <s v="Active"/>
    <s v="Manufacturing"/>
    <s v="CC-Ope-973"/>
    <n v="5"/>
    <s v=""/>
    <n v="1"/>
    <x v="0"/>
    <n v="1"/>
    <s v=""/>
    <n v="5"/>
    <s v="No"/>
    <s v="No"/>
    <s v="No"/>
    <n v="3"/>
    <s v="Medium"/>
    <n v="35514"/>
    <n v="0.1"/>
    <n v="39065.4"/>
  </r>
  <r>
    <s v="EMP0244"/>
    <s v="NA"/>
    <s v="USA"/>
    <x v="1"/>
    <s v="IC"/>
    <x v="157"/>
    <s v="FTE"/>
    <d v="2024-05-27T00:00:00"/>
    <s v="Active"/>
    <s v="Controlling"/>
    <s v="CC-Fin-360"/>
    <n v="5"/>
    <s v=""/>
    <n v="1"/>
    <x v="0"/>
    <n v="1"/>
    <s v=""/>
    <n v="3"/>
    <s v="No"/>
    <s v="No"/>
    <s v="No"/>
    <n v="5"/>
    <s v="Low"/>
    <n v="35464"/>
    <n v="0.1"/>
    <n v="39010.400000000001"/>
  </r>
  <r>
    <s v="EMP0245"/>
    <s v="NA"/>
    <s v="USA"/>
    <x v="4"/>
    <s v="IC"/>
    <x v="158"/>
    <s v="FTE"/>
    <d v="2024-05-19T00:00:00"/>
    <s v="Active"/>
    <s v="People Operations"/>
    <s v="CC-HR-772"/>
    <n v="5"/>
    <s v=""/>
    <n v="1"/>
    <x v="0"/>
    <n v="1"/>
    <s v=""/>
    <n v="4"/>
    <s v="No"/>
    <s v="No"/>
    <s v="No"/>
    <n v="1"/>
    <s v="High"/>
    <n v="34162"/>
    <n v="0.1"/>
    <n v="37578.200000000004"/>
  </r>
  <r>
    <s v="EMP0246"/>
    <s v="NA"/>
    <s v="USA"/>
    <x v="1"/>
    <s v="IC"/>
    <x v="74"/>
    <s v="FTE"/>
    <d v="2024-05-11T00:00:00"/>
    <s v="Active"/>
    <s v="Controlling"/>
    <s v="CC-Fin-599"/>
    <n v="5"/>
    <s v=""/>
    <n v="1"/>
    <x v="0"/>
    <n v="1"/>
    <s v=""/>
    <n v="2"/>
    <s v="No"/>
    <s v="No"/>
    <s v="No"/>
    <n v="2"/>
    <s v="High"/>
    <n v="37764"/>
    <n v="0.1"/>
    <n v="41540.400000000001"/>
  </r>
  <r>
    <s v="EMP0247"/>
    <s v="NA"/>
    <s v="USA"/>
    <x v="3"/>
    <s v="IC"/>
    <x v="108"/>
    <s v="FTE"/>
    <d v="2024-05-06T00:00:00"/>
    <s v="Active"/>
    <s v="Manufacturing"/>
    <s v="CC-Ope-693"/>
    <n v="5"/>
    <s v=""/>
    <n v="1"/>
    <x v="0"/>
    <n v="1"/>
    <s v=""/>
    <n v="4"/>
    <s v="No"/>
    <s v="Yes"/>
    <s v="No"/>
    <n v="5"/>
    <s v="Low"/>
    <n v="34195"/>
    <n v="0.1"/>
    <n v="37614.5"/>
  </r>
  <r>
    <s v="EMP0248"/>
    <s v="NA"/>
    <s v="USA"/>
    <x v="5"/>
    <s v="Director"/>
    <x v="142"/>
    <s v="FTE"/>
    <d v="2024-05-05T00:00:00"/>
    <s v="Active"/>
    <s v="Technology"/>
    <s v="CC-IT-344"/>
    <n v="3"/>
    <s v=""/>
    <n v="1"/>
    <x v="0"/>
    <n v="1"/>
    <s v=""/>
    <n v="4"/>
    <s v="Yes"/>
    <s v="No"/>
    <s v="No"/>
    <n v="2"/>
    <s v="High"/>
    <n v="108583"/>
    <n v="0.2"/>
    <n v="130299.59999999999"/>
  </r>
  <r>
    <s v="EMP0249"/>
    <s v="NA"/>
    <s v="USA"/>
    <x v="5"/>
    <s v="IC"/>
    <x v="85"/>
    <s v="FTE"/>
    <d v="2024-04-24T00:00:00"/>
    <s v="Active"/>
    <s v="Technology"/>
    <s v="CC-IT-240"/>
    <n v="5"/>
    <s v=""/>
    <n v="1"/>
    <x v="0"/>
    <n v="1"/>
    <s v=""/>
    <n v="4"/>
    <s v="No"/>
    <s v="No"/>
    <s v="No"/>
    <n v="3"/>
    <s v="Medium"/>
    <n v="29569"/>
    <n v="0.1"/>
    <n v="32525.9"/>
  </r>
  <r>
    <s v="EMP0250"/>
    <s v="NA"/>
    <s v="USA"/>
    <x v="0"/>
    <s v="IC"/>
    <x v="29"/>
    <s v="FTE"/>
    <d v="2024-04-23T00:00:00"/>
    <s v="Active"/>
    <s v="Logistics"/>
    <s v="CC-Sup-190"/>
    <n v="5"/>
    <s v=""/>
    <n v="1"/>
    <x v="0"/>
    <n v="1"/>
    <s v=""/>
    <n v="3"/>
    <s v="No"/>
    <s v="No"/>
    <s v="No"/>
    <n v="1"/>
    <s v="High"/>
    <n v="44425"/>
    <n v="0.1"/>
    <n v="48867.500000000007"/>
  </r>
  <r>
    <s v="EMP0251"/>
    <s v="NA"/>
    <s v="USA"/>
    <x v="3"/>
    <s v="IC"/>
    <x v="157"/>
    <s v="FTE"/>
    <d v="2024-04-21T00:00:00"/>
    <s v="Active"/>
    <s v="Manufacturing"/>
    <s v="CC-Ope-300"/>
    <n v="5"/>
    <s v=""/>
    <n v="1"/>
    <x v="0"/>
    <n v="1"/>
    <s v=""/>
    <n v="3"/>
    <s v="No"/>
    <s v="No"/>
    <s v="No"/>
    <n v="2"/>
    <s v="High"/>
    <n v="38498"/>
    <n v="0.1"/>
    <n v="42347.8"/>
  </r>
  <r>
    <s v="EMP0252"/>
    <s v="NA"/>
    <s v="USA"/>
    <x v="1"/>
    <s v="Manager"/>
    <x v="56"/>
    <s v="Contractor"/>
    <d v="2024-04-19T00:00:00"/>
    <s v="Active"/>
    <s v="Controlling"/>
    <s v="CC-Fin-674"/>
    <n v="4"/>
    <s v=""/>
    <n v="1"/>
    <x v="0"/>
    <n v="1"/>
    <s v=""/>
    <n v="4"/>
    <s v="Yes"/>
    <s v="No"/>
    <s v="No"/>
    <n v="4"/>
    <s v="Low"/>
    <n v="63264"/>
    <n v="0.15"/>
    <n v="72753.599999999991"/>
  </r>
  <r>
    <s v="EMP0253"/>
    <s v="NA"/>
    <s v="USA"/>
    <x v="1"/>
    <s v="IC"/>
    <x v="159"/>
    <s v="FTE"/>
    <d v="2024-04-15T00:00:00"/>
    <s v="Inactive"/>
    <s v="Controlling"/>
    <s v="CC-Fin-431"/>
    <n v="5"/>
    <d v="2026-02-18T00:00:00"/>
    <n v="1"/>
    <x v="0"/>
    <n v="1"/>
    <s v="Voluntary"/>
    <n v="3"/>
    <s v="No"/>
    <s v="No"/>
    <s v="No"/>
    <n v="5"/>
    <s v="Low"/>
    <n v="39133"/>
    <n v="0.1"/>
    <n v="43046.3"/>
  </r>
  <r>
    <s v="EMP0254"/>
    <s v="NA"/>
    <s v="USA"/>
    <x v="0"/>
    <s v="Manager"/>
    <x v="160"/>
    <s v="FTE"/>
    <d v="2024-04-12T00:00:00"/>
    <s v="Active"/>
    <s v="Logistics"/>
    <s v="CC-Sup-125"/>
    <n v="4"/>
    <s v=""/>
    <n v="1"/>
    <x v="0"/>
    <n v="1"/>
    <s v=""/>
    <n v="4"/>
    <s v="No"/>
    <s v="No"/>
    <s v="No"/>
    <n v="4"/>
    <s v="Low"/>
    <n v="68171"/>
    <n v="0.15"/>
    <n v="78396.649999999994"/>
  </r>
  <r>
    <s v="EMP0255"/>
    <s v="NA"/>
    <s v="USA"/>
    <x v="3"/>
    <s v="IC"/>
    <x v="161"/>
    <s v="FTE"/>
    <d v="2024-04-12T00:00:00"/>
    <s v="Active"/>
    <s v="Manufacturing"/>
    <s v="CC-Ope-641"/>
    <n v="5"/>
    <s v=""/>
    <n v="1"/>
    <x v="0"/>
    <n v="1"/>
    <s v=""/>
    <n v="3"/>
    <s v="Yes"/>
    <s v="No"/>
    <s v="No"/>
    <n v="3"/>
    <s v="Medium"/>
    <n v="31802"/>
    <n v="0.1"/>
    <n v="34982.200000000004"/>
  </r>
  <r>
    <s v="EMP0256"/>
    <s v="NA"/>
    <s v="USA"/>
    <x v="1"/>
    <s v="IC"/>
    <x v="162"/>
    <s v="FTE"/>
    <d v="2024-04-06T00:00:00"/>
    <s v="Active"/>
    <s v="Controlling"/>
    <s v="CC-Fin-651"/>
    <n v="5"/>
    <s v=""/>
    <n v="1"/>
    <x v="0"/>
    <n v="1"/>
    <s v=""/>
    <n v="4"/>
    <s v="No"/>
    <s v="No"/>
    <s v="No"/>
    <n v="3"/>
    <s v="Medium"/>
    <n v="41836"/>
    <n v="0.1"/>
    <n v="46019.600000000006"/>
  </r>
  <r>
    <s v="EMP0257"/>
    <s v="NA"/>
    <s v="USA"/>
    <x v="5"/>
    <s v="IC"/>
    <x v="14"/>
    <s v="FTE"/>
    <d v="2024-04-04T00:00:00"/>
    <s v="Active"/>
    <s v="Technology"/>
    <s v="CC-IT-990"/>
    <n v="5"/>
    <s v=""/>
    <n v="1"/>
    <x v="0"/>
    <n v="1"/>
    <s v=""/>
    <n v="4"/>
    <s v="No"/>
    <s v="Yes"/>
    <s v="No"/>
    <n v="4"/>
    <s v="Low"/>
    <n v="33557"/>
    <n v="0.1"/>
    <n v="36912.700000000004"/>
  </r>
  <r>
    <s v="EMP0258"/>
    <s v="NA"/>
    <s v="USA"/>
    <x v="3"/>
    <s v="Manager"/>
    <x v="79"/>
    <s v="FTE"/>
    <d v="2024-04-03T00:00:00"/>
    <s v="Active"/>
    <s v="Manufacturing"/>
    <s v="CC-Ope-599"/>
    <n v="4"/>
    <s v=""/>
    <n v="1"/>
    <x v="0"/>
    <n v="1"/>
    <s v=""/>
    <n v="3"/>
    <s v="No"/>
    <s v="No"/>
    <s v="No"/>
    <n v="3"/>
    <s v="Medium"/>
    <n v="82085"/>
    <n v="0.15"/>
    <n v="94397.749999999985"/>
  </r>
  <r>
    <s v="EMP0259"/>
    <s v="NA"/>
    <s v="USA"/>
    <x v="5"/>
    <s v="IC"/>
    <x v="13"/>
    <s v="FTE"/>
    <d v="2024-04-03T00:00:00"/>
    <s v="Active"/>
    <s v="Technology"/>
    <s v="CC-IT-530"/>
    <n v="5"/>
    <s v=""/>
    <n v="1"/>
    <x v="0"/>
    <n v="1"/>
    <s v=""/>
    <n v="3"/>
    <s v="No"/>
    <s v="No"/>
    <s v="No"/>
    <n v="1"/>
    <s v="High"/>
    <n v="45584"/>
    <n v="0.1"/>
    <n v="50142.400000000001"/>
  </r>
  <r>
    <s v="EMP0260"/>
    <s v="NA"/>
    <s v="USA"/>
    <x v="3"/>
    <s v="IC"/>
    <x v="134"/>
    <s v="FTE"/>
    <d v="2024-03-28T00:00:00"/>
    <s v="Active"/>
    <s v="Manufacturing"/>
    <s v="CC-Ope-598"/>
    <n v="5"/>
    <s v=""/>
    <n v="1"/>
    <x v="0"/>
    <n v="1"/>
    <s v=""/>
    <n v="3"/>
    <s v="No"/>
    <s v="No"/>
    <s v="No"/>
    <n v="2"/>
    <s v="High"/>
    <n v="32600"/>
    <n v="0.1"/>
    <n v="35860"/>
  </r>
  <r>
    <s v="EMP0261"/>
    <s v="NA"/>
    <s v="USA"/>
    <x v="1"/>
    <s v="VP"/>
    <x v="114"/>
    <s v="FTE"/>
    <d v="2024-03-23T00:00:00"/>
    <s v="Active"/>
    <s v="Controlling"/>
    <s v="CC-Fin-979"/>
    <n v="2"/>
    <s v=""/>
    <n v="1"/>
    <x v="0"/>
    <n v="1"/>
    <s v=""/>
    <n v="2"/>
    <s v="No"/>
    <s v="No"/>
    <s v="No"/>
    <n v="5"/>
    <s v="Low"/>
    <n v="188471"/>
    <n v="0.25"/>
    <n v="235588.75"/>
  </r>
  <r>
    <s v="EMP0262"/>
    <s v="NA"/>
    <s v="USA"/>
    <x v="1"/>
    <s v="Director"/>
    <x v="163"/>
    <s v="FTE"/>
    <d v="2024-03-21T00:00:00"/>
    <s v="Active"/>
    <s v="Controlling"/>
    <s v="CC-Fin-144"/>
    <n v="3"/>
    <s v=""/>
    <n v="1"/>
    <x v="0"/>
    <n v="1"/>
    <s v=""/>
    <n v="5"/>
    <s v="No"/>
    <s v="Yes"/>
    <s v="No"/>
    <n v="5"/>
    <s v="Low"/>
    <n v="131544"/>
    <n v="0.2"/>
    <n v="157852.79999999999"/>
  </r>
  <r>
    <s v="EMP0263"/>
    <s v="NA"/>
    <s v="USA"/>
    <x v="5"/>
    <s v="IC"/>
    <x v="164"/>
    <s v="Contractor"/>
    <d v="2024-03-21T00:00:00"/>
    <s v="Active"/>
    <s v="Technology"/>
    <s v="CC-IT-717"/>
    <n v="5"/>
    <s v=""/>
    <n v="1"/>
    <x v="0"/>
    <n v="1"/>
    <s v=""/>
    <n v="5"/>
    <s v="Yes"/>
    <s v="No"/>
    <s v="No"/>
    <n v="2"/>
    <s v="High"/>
    <n v="41678"/>
    <n v="0.1"/>
    <n v="45845.8"/>
  </r>
  <r>
    <s v="EMP0264"/>
    <s v="NA"/>
    <s v="USA"/>
    <x v="3"/>
    <s v="IC"/>
    <x v="165"/>
    <s v="FTE"/>
    <d v="2024-03-14T00:00:00"/>
    <s v="Active"/>
    <s v="Manufacturing"/>
    <s v="CC-Ope-876"/>
    <n v="5"/>
    <s v=""/>
    <n v="1"/>
    <x v="0"/>
    <n v="1"/>
    <s v=""/>
    <n v="2"/>
    <s v="No"/>
    <s v="No"/>
    <s v="No"/>
    <n v="4"/>
    <s v="Low"/>
    <n v="30521"/>
    <n v="0.1"/>
    <n v="33573.100000000006"/>
  </r>
  <r>
    <s v="EMP0265"/>
    <s v="NA"/>
    <s v="USA"/>
    <x v="1"/>
    <s v="IC"/>
    <x v="107"/>
    <s v="FTE"/>
    <d v="2024-03-11T00:00:00"/>
    <s v="Active"/>
    <s v="Controlling"/>
    <s v="CC-Fin-671"/>
    <n v="5"/>
    <s v=""/>
    <n v="1"/>
    <x v="0"/>
    <n v="1"/>
    <s v=""/>
    <n v="4"/>
    <s v="No"/>
    <s v="No"/>
    <s v="No"/>
    <n v="2"/>
    <s v="High"/>
    <n v="36957"/>
    <n v="0.1"/>
    <n v="40652.700000000004"/>
  </r>
  <r>
    <s v="EMP0266"/>
    <s v="NA"/>
    <s v="USA"/>
    <x v="2"/>
    <s v="IC"/>
    <x v="107"/>
    <s v="FTE"/>
    <d v="2024-03-10T00:00:00"/>
    <s v="Active"/>
    <s v="Commercial"/>
    <s v="CC-Sal-466"/>
    <n v="5"/>
    <s v=""/>
    <n v="1"/>
    <x v="0"/>
    <n v="1"/>
    <s v=""/>
    <n v="3"/>
    <s v="Yes"/>
    <s v="No"/>
    <s v="No"/>
    <n v="4"/>
    <s v="Low"/>
    <n v="46658"/>
    <n v="0.1"/>
    <n v="51323.8"/>
  </r>
  <r>
    <s v="EMP0267"/>
    <s v="NA"/>
    <s v="USA"/>
    <x v="4"/>
    <s v="IC"/>
    <x v="124"/>
    <s v="FTE"/>
    <d v="2024-03-09T00:00:00"/>
    <s v="Active"/>
    <s v="People Operations"/>
    <s v="CC-HR-861"/>
    <n v="5"/>
    <s v=""/>
    <n v="1"/>
    <x v="0"/>
    <n v="1"/>
    <s v=""/>
    <n v="4"/>
    <s v="No"/>
    <s v="No"/>
    <s v="No"/>
    <n v="4"/>
    <s v="Low"/>
    <n v="26378"/>
    <n v="0.1"/>
    <n v="29015.800000000003"/>
  </r>
  <r>
    <s v="EMP0268"/>
    <s v="NA"/>
    <s v="USA"/>
    <x v="0"/>
    <s v="IC"/>
    <x v="165"/>
    <s v="FTE"/>
    <d v="2024-03-03T00:00:00"/>
    <s v="Active"/>
    <s v="Logistics"/>
    <s v="CC-Sup-987"/>
    <n v="5"/>
    <s v=""/>
    <n v="1"/>
    <x v="0"/>
    <n v="1"/>
    <s v=""/>
    <n v="5"/>
    <s v="No"/>
    <s v="No"/>
    <s v="No"/>
    <n v="1"/>
    <s v="High"/>
    <n v="24989"/>
    <n v="0.1"/>
    <n v="27487.9"/>
  </r>
  <r>
    <s v="EMP0269"/>
    <s v="NA"/>
    <s v="USA"/>
    <x v="1"/>
    <s v="IC"/>
    <x v="138"/>
    <s v="FTE"/>
    <d v="2024-03-02T00:00:00"/>
    <s v="Active"/>
    <s v="Controlling"/>
    <s v="CC-Fin-724"/>
    <n v="5"/>
    <s v=""/>
    <n v="1"/>
    <x v="0"/>
    <n v="1"/>
    <s v=""/>
    <n v="4"/>
    <s v="No"/>
    <s v="No"/>
    <s v="No"/>
    <n v="1"/>
    <s v="High"/>
    <n v="41626"/>
    <n v="0.1"/>
    <n v="45788.600000000006"/>
  </r>
  <r>
    <s v="EMP0270"/>
    <s v="NA"/>
    <s v="USA"/>
    <x v="1"/>
    <s v="IC"/>
    <x v="17"/>
    <s v="FTE"/>
    <d v="2024-03-01T00:00:00"/>
    <s v="Active"/>
    <s v="Controlling"/>
    <s v="CC-Fin-929"/>
    <n v="5"/>
    <s v=""/>
    <n v="1"/>
    <x v="0"/>
    <n v="1"/>
    <s v=""/>
    <n v="2"/>
    <s v="No"/>
    <s v="No"/>
    <s v="No"/>
    <n v="1"/>
    <s v="High"/>
    <n v="41585"/>
    <n v="0.1"/>
    <n v="45743.500000000007"/>
  </r>
  <r>
    <s v="EMP0271"/>
    <s v="NA"/>
    <s v="USA"/>
    <x v="0"/>
    <s v="IC"/>
    <x v="166"/>
    <s v="FTE"/>
    <d v="2024-02-25T00:00:00"/>
    <s v="Active"/>
    <s v="Logistics"/>
    <s v="CC-Sup-577"/>
    <n v="5"/>
    <s v=""/>
    <n v="1"/>
    <x v="0"/>
    <n v="1"/>
    <s v=""/>
    <n v="3"/>
    <s v="No"/>
    <s v="No"/>
    <s v="No"/>
    <n v="2"/>
    <s v="High"/>
    <n v="37044"/>
    <n v="0.1"/>
    <n v="40748.400000000001"/>
  </r>
  <r>
    <s v="EMP0272"/>
    <s v="NA"/>
    <s v="USA"/>
    <x v="4"/>
    <s v="IC"/>
    <x v="26"/>
    <s v="Contractor"/>
    <d v="2024-02-21T00:00:00"/>
    <s v="Active"/>
    <s v="People Operations"/>
    <s v="CC-HR-468"/>
    <n v="5"/>
    <s v=""/>
    <n v="2"/>
    <x v="0"/>
    <n v="1"/>
    <s v=""/>
    <n v="5"/>
    <s v="No"/>
    <s v="No"/>
    <s v="No"/>
    <n v="3"/>
    <s v="Medium"/>
    <n v="40161"/>
    <n v="0.1"/>
    <n v="44177.100000000006"/>
  </r>
  <r>
    <s v="EMP0273"/>
    <s v="NA"/>
    <s v="USA"/>
    <x v="5"/>
    <s v="IC"/>
    <x v="124"/>
    <s v="FTE"/>
    <d v="2024-02-18T00:00:00"/>
    <s v="Active"/>
    <s v="Technology"/>
    <s v="CC-IT-987"/>
    <n v="5"/>
    <s v=""/>
    <n v="2"/>
    <x v="0"/>
    <n v="1"/>
    <s v=""/>
    <n v="4"/>
    <s v="No"/>
    <s v="No"/>
    <s v="No"/>
    <n v="3"/>
    <s v="Medium"/>
    <n v="35239"/>
    <n v="0.1"/>
    <n v="38762.9"/>
  </r>
  <r>
    <s v="EMP0274"/>
    <s v="NA"/>
    <s v="USA"/>
    <x v="2"/>
    <s v="IC"/>
    <x v="167"/>
    <s v="FTE"/>
    <d v="2024-02-16T00:00:00"/>
    <s v="Inactive"/>
    <s v="Commercial"/>
    <s v="CC-Sal-301"/>
    <n v="5"/>
    <d v="2026-02-18T00:00:00"/>
    <n v="2"/>
    <x v="0"/>
    <n v="1"/>
    <s v="Involuntary"/>
    <n v="3"/>
    <s v="No"/>
    <s v="No"/>
    <s v="No"/>
    <n v="1"/>
    <s v="High"/>
    <n v="35996"/>
    <n v="0.1"/>
    <n v="39595.600000000006"/>
  </r>
  <r>
    <s v="EMP0275"/>
    <s v="NA"/>
    <s v="USA"/>
    <x v="3"/>
    <s v="IC"/>
    <x v="14"/>
    <s v="FTE"/>
    <d v="2024-02-11T00:00:00"/>
    <s v="Active"/>
    <s v="Manufacturing"/>
    <s v="CC-Ope-258"/>
    <n v="5"/>
    <s v=""/>
    <n v="2"/>
    <x v="0"/>
    <n v="1"/>
    <s v=""/>
    <n v="4"/>
    <s v="No"/>
    <s v="No"/>
    <s v="No"/>
    <n v="2"/>
    <s v="High"/>
    <n v="45261"/>
    <n v="0.1"/>
    <n v="49787.100000000006"/>
  </r>
  <r>
    <s v="EMP0276"/>
    <s v="NA"/>
    <s v="USA"/>
    <x v="1"/>
    <s v="IC"/>
    <x v="12"/>
    <s v="FTE"/>
    <d v="2024-01-28T00:00:00"/>
    <s v="Active"/>
    <s v="Controlling"/>
    <s v="CC-Fin-840"/>
    <n v="5"/>
    <s v=""/>
    <n v="2"/>
    <x v="0"/>
    <n v="1"/>
    <s v=""/>
    <n v="4"/>
    <s v="No"/>
    <s v="No"/>
    <s v="No"/>
    <n v="3"/>
    <s v="Medium"/>
    <n v="34843"/>
    <n v="0.1"/>
    <n v="38327.300000000003"/>
  </r>
  <r>
    <s v="EMP0277"/>
    <s v="NA"/>
    <s v="USA"/>
    <x v="4"/>
    <s v="IC"/>
    <x v="108"/>
    <s v="FTE"/>
    <d v="2024-01-23T00:00:00"/>
    <s v="Active"/>
    <s v="People Operations"/>
    <s v="CC-HR-511"/>
    <n v="5"/>
    <s v=""/>
    <n v="2"/>
    <x v="0"/>
    <n v="1"/>
    <s v=""/>
    <n v="2"/>
    <s v="No"/>
    <s v="Yes"/>
    <s v="Yes"/>
    <n v="4"/>
    <s v="Low"/>
    <n v="41570"/>
    <n v="0.1"/>
    <n v="45727.000000000007"/>
  </r>
  <r>
    <s v="EMP0278"/>
    <s v="NA"/>
    <s v="USA"/>
    <x v="1"/>
    <s v="IC"/>
    <x v="129"/>
    <s v="FTE"/>
    <d v="2024-01-22T00:00:00"/>
    <s v="Inactive"/>
    <s v="Controlling"/>
    <s v="CC-Fin-445"/>
    <n v="5"/>
    <d v="2026-02-18T00:00:00"/>
    <n v="2"/>
    <x v="0"/>
    <n v="1"/>
    <s v="Involuntary"/>
    <n v="3"/>
    <s v="No"/>
    <s v="No"/>
    <s v="No"/>
    <n v="5"/>
    <s v="Low"/>
    <n v="29575"/>
    <n v="0.1"/>
    <n v="32532.500000000004"/>
  </r>
  <r>
    <s v="EMP0279"/>
    <s v="NA"/>
    <s v="USA"/>
    <x v="0"/>
    <s v="IC"/>
    <x v="111"/>
    <s v="FTE"/>
    <d v="2024-01-19T00:00:00"/>
    <s v="Active"/>
    <s v="Logistics"/>
    <s v="CC-Sup-518"/>
    <n v="5"/>
    <s v=""/>
    <n v="2"/>
    <x v="0"/>
    <n v="1"/>
    <s v=""/>
    <n v="4"/>
    <s v="No"/>
    <s v="Yes"/>
    <s v="No"/>
    <n v="2"/>
    <s v="High"/>
    <n v="23669"/>
    <n v="0.1"/>
    <n v="26035.9"/>
  </r>
  <r>
    <s v="EMP0280"/>
    <s v="NA"/>
    <s v="USA"/>
    <x v="2"/>
    <s v="Director"/>
    <x v="168"/>
    <s v="FTE"/>
    <d v="2024-01-17T00:00:00"/>
    <s v="Active"/>
    <s v="Commercial"/>
    <s v="CC-Sal-712"/>
    <n v="3"/>
    <s v=""/>
    <n v="2"/>
    <x v="0"/>
    <n v="1"/>
    <s v=""/>
    <n v="4"/>
    <s v="Yes"/>
    <s v="No"/>
    <s v="No"/>
    <n v="1"/>
    <s v="High"/>
    <n v="99671"/>
    <n v="0.2"/>
    <n v="119605.2"/>
  </r>
  <r>
    <s v="EMP0281"/>
    <s v="NA"/>
    <s v="USA"/>
    <x v="1"/>
    <s v="IC"/>
    <x v="169"/>
    <s v="FTE"/>
    <d v="2024-01-16T00:00:00"/>
    <s v="Active"/>
    <s v="Controlling"/>
    <s v="CC-Fin-336"/>
    <n v="5"/>
    <s v=""/>
    <n v="2"/>
    <x v="0"/>
    <n v="1"/>
    <s v=""/>
    <n v="2"/>
    <s v="No"/>
    <s v="No"/>
    <s v="No"/>
    <n v="5"/>
    <s v="Low"/>
    <n v="44531"/>
    <n v="0.1"/>
    <n v="48984.100000000006"/>
  </r>
  <r>
    <s v="EMP0282"/>
    <s v="NA"/>
    <s v="USA"/>
    <x v="4"/>
    <s v="IC"/>
    <x v="28"/>
    <s v="FTE"/>
    <d v="2024-01-15T00:00:00"/>
    <s v="Active"/>
    <s v="People Operations"/>
    <s v="CC-HR-573"/>
    <n v="5"/>
    <s v=""/>
    <n v="2"/>
    <x v="0"/>
    <n v="1"/>
    <s v=""/>
    <n v="3"/>
    <s v="No"/>
    <s v="No"/>
    <s v="No"/>
    <n v="4"/>
    <s v="Low"/>
    <n v="36424"/>
    <n v="0.1"/>
    <n v="40066.400000000001"/>
  </r>
  <r>
    <s v="EMP0283"/>
    <s v="NA"/>
    <s v="USA"/>
    <x v="3"/>
    <s v="IC"/>
    <x v="170"/>
    <s v="Contractor"/>
    <d v="2024-01-12T00:00:00"/>
    <s v="Inactive"/>
    <s v="Manufacturing"/>
    <s v="CC-Ope-253"/>
    <n v="5"/>
    <d v="2026-02-18T00:00:00"/>
    <n v="2"/>
    <x v="0"/>
    <n v="1"/>
    <s v="Involuntary"/>
    <n v="3"/>
    <s v="No"/>
    <s v="No"/>
    <s v="No"/>
    <n v="3"/>
    <s v="Medium"/>
    <n v="33816"/>
    <n v="0.1"/>
    <n v="37197.600000000006"/>
  </r>
  <r>
    <s v="EMP0284"/>
    <s v="NA"/>
    <s v="USA"/>
    <x v="1"/>
    <s v="IC"/>
    <x v="171"/>
    <s v="FTE"/>
    <d v="2024-01-11T00:00:00"/>
    <s v="Inactive"/>
    <s v="Controlling"/>
    <s v="CC-Fin-406"/>
    <n v="5"/>
    <d v="2026-02-18T00:00:00"/>
    <n v="2"/>
    <x v="0"/>
    <n v="1"/>
    <s v="Voluntary"/>
    <n v="4"/>
    <s v="No"/>
    <s v="No"/>
    <s v="No"/>
    <n v="1"/>
    <s v="High"/>
    <n v="41115"/>
    <n v="0.1"/>
    <n v="45226.500000000007"/>
  </r>
  <r>
    <s v="EMP0285"/>
    <s v="NA"/>
    <s v="USA"/>
    <x v="4"/>
    <s v="Manager"/>
    <x v="172"/>
    <s v="FTE"/>
    <d v="2024-01-09T00:00:00"/>
    <s v="Active"/>
    <s v="People Operations"/>
    <s v="CC-HR-656"/>
    <n v="4"/>
    <s v=""/>
    <n v="2"/>
    <x v="0"/>
    <n v="1"/>
    <s v=""/>
    <n v="3"/>
    <s v="No"/>
    <s v="No"/>
    <s v="No"/>
    <n v="1"/>
    <s v="High"/>
    <n v="84869"/>
    <n v="0.15"/>
    <n v="97599.349999999991"/>
  </r>
  <r>
    <s v="EMP0286"/>
    <s v="NA"/>
    <s v="USA"/>
    <x v="1"/>
    <s v="IC"/>
    <x v="64"/>
    <s v="FTE"/>
    <d v="2024-01-08T00:00:00"/>
    <s v="Active"/>
    <s v="Controlling"/>
    <s v="CC-Fin-453"/>
    <n v="5"/>
    <s v=""/>
    <n v="2"/>
    <x v="0"/>
    <n v="1"/>
    <s v=""/>
    <n v="3"/>
    <s v="No"/>
    <s v="No"/>
    <s v="No"/>
    <n v="1"/>
    <s v="High"/>
    <n v="20973"/>
    <n v="0.1"/>
    <n v="23070.300000000003"/>
  </r>
  <r>
    <s v="EMP0287"/>
    <s v="NA"/>
    <s v="USA"/>
    <x v="2"/>
    <s v="IC"/>
    <x v="45"/>
    <s v="FTE"/>
    <d v="2024-01-06T00:00:00"/>
    <s v="Inactive"/>
    <s v="Commercial"/>
    <s v="CC-Sal-663"/>
    <n v="5"/>
    <d v="2026-02-18T00:00:00"/>
    <n v="2"/>
    <x v="0"/>
    <n v="1"/>
    <s v="Voluntary"/>
    <n v="3"/>
    <s v="Yes"/>
    <s v="No"/>
    <s v="No"/>
    <n v="5"/>
    <s v="Low"/>
    <n v="36690"/>
    <n v="0.1"/>
    <n v="40359"/>
  </r>
  <r>
    <s v="EMP0288"/>
    <s v="NA"/>
    <s v="USA"/>
    <x v="5"/>
    <s v="IC"/>
    <x v="164"/>
    <s v="FTE"/>
    <d v="2024-01-05T00:00:00"/>
    <s v="Active"/>
    <s v="Technology"/>
    <s v="CC-IT-864"/>
    <n v="5"/>
    <s v=""/>
    <n v="2"/>
    <x v="0"/>
    <n v="1"/>
    <s v=""/>
    <n v="3"/>
    <s v="No"/>
    <s v="No"/>
    <s v="No"/>
    <n v="5"/>
    <s v="Low"/>
    <n v="47725"/>
    <n v="0.1"/>
    <n v="52497.500000000007"/>
  </r>
  <r>
    <s v="EMP0289"/>
    <s v="NA"/>
    <s v="USA"/>
    <x v="0"/>
    <s v="IC"/>
    <x v="173"/>
    <s v="FTE"/>
    <d v="2024-01-01T00:00:00"/>
    <s v="Active"/>
    <s v="Logistics"/>
    <s v="CC-Sup-767"/>
    <n v="5"/>
    <s v=""/>
    <n v="2"/>
    <x v="0"/>
    <n v="1"/>
    <s v=""/>
    <n v="2"/>
    <s v="No"/>
    <s v="No"/>
    <s v="No"/>
    <n v="3"/>
    <s v="Medium"/>
    <n v="39122"/>
    <n v="0.1"/>
    <n v="43034.200000000004"/>
  </r>
  <r>
    <s v="EMP0290"/>
    <s v="NA"/>
    <s v="USA"/>
    <x v="2"/>
    <s v="Manager"/>
    <x v="174"/>
    <s v="FTE"/>
    <d v="2023-12-28T00:00:00"/>
    <s v="Inactive"/>
    <s v="Commercial"/>
    <s v="CC-Sal-641"/>
    <n v="4"/>
    <d v="2026-02-18T00:00:00"/>
    <n v="2"/>
    <x v="0"/>
    <n v="1"/>
    <s v="Involuntary"/>
    <n v="4"/>
    <s v="No"/>
    <s v="No"/>
    <s v="No"/>
    <n v="1"/>
    <s v="High"/>
    <n v="75004"/>
    <n v="0.15"/>
    <n v="86254.599999999991"/>
  </r>
  <r>
    <s v="EMP0291"/>
    <s v="NA"/>
    <s v="USA"/>
    <x v="4"/>
    <s v="IC"/>
    <x v="175"/>
    <s v="FTE"/>
    <d v="2023-12-21T00:00:00"/>
    <s v="Active"/>
    <s v="People Operations"/>
    <s v="CC-HR-326"/>
    <n v="5"/>
    <s v=""/>
    <n v="2"/>
    <x v="0"/>
    <n v="1"/>
    <s v=""/>
    <n v="3"/>
    <s v="No"/>
    <s v="No"/>
    <s v="No"/>
    <n v="4"/>
    <s v="Low"/>
    <n v="40372"/>
    <n v="0.1"/>
    <n v="44409.200000000004"/>
  </r>
  <r>
    <s v="EMP0292"/>
    <s v="NA"/>
    <s v="USA"/>
    <x v="3"/>
    <s v="Director"/>
    <x v="43"/>
    <s v="FTE"/>
    <d v="2023-12-19T00:00:00"/>
    <s v="Active"/>
    <s v="Manufacturing"/>
    <s v="CC-Ope-118"/>
    <n v="3"/>
    <s v=""/>
    <n v="2"/>
    <x v="0"/>
    <n v="1"/>
    <s v=""/>
    <n v="4"/>
    <s v="No"/>
    <s v="Yes"/>
    <s v="No"/>
    <n v="4"/>
    <s v="Low"/>
    <n v="118445"/>
    <n v="0.2"/>
    <n v="142134"/>
  </r>
  <r>
    <s v="EMP0293"/>
    <s v="NA"/>
    <s v="USA"/>
    <x v="2"/>
    <s v="IC"/>
    <x v="176"/>
    <s v="FTE"/>
    <d v="2023-12-10T00:00:00"/>
    <s v="Active"/>
    <s v="Commercial"/>
    <s v="CC-Sal-570"/>
    <n v="5"/>
    <s v=""/>
    <n v="2"/>
    <x v="0"/>
    <n v="1"/>
    <s v=""/>
    <n v="3"/>
    <s v="No"/>
    <s v="No"/>
    <s v="No"/>
    <n v="4"/>
    <s v="Low"/>
    <n v="32864"/>
    <n v="0.1"/>
    <n v="36150.400000000001"/>
  </r>
  <r>
    <s v="EMP0294"/>
    <s v="NA"/>
    <s v="USA"/>
    <x v="3"/>
    <s v="IC"/>
    <x v="170"/>
    <s v="Contractor"/>
    <d v="2023-12-08T00:00:00"/>
    <s v="Inactive"/>
    <s v="Manufacturing"/>
    <s v="CC-Ope-182"/>
    <n v="5"/>
    <d v="2026-02-18T00:00:00"/>
    <n v="2"/>
    <x v="0"/>
    <n v="1"/>
    <s v="Voluntary"/>
    <n v="3"/>
    <s v="No"/>
    <s v="No"/>
    <s v="No"/>
    <n v="4"/>
    <s v="Low"/>
    <n v="28563"/>
    <n v="0.1"/>
    <n v="31419.300000000003"/>
  </r>
  <r>
    <s v="EMP0295"/>
    <s v="NA"/>
    <s v="USA"/>
    <x v="0"/>
    <s v="IC"/>
    <x v="136"/>
    <s v="FTE"/>
    <d v="2023-12-02T00:00:00"/>
    <s v="Active"/>
    <s v="Logistics"/>
    <s v="CC-Sup-508"/>
    <n v="5"/>
    <s v=""/>
    <n v="2"/>
    <x v="0"/>
    <n v="1"/>
    <s v=""/>
    <n v="4"/>
    <s v="No"/>
    <s v="No"/>
    <s v="No"/>
    <n v="2"/>
    <s v="High"/>
    <n v="47310"/>
    <n v="0.1"/>
    <n v="52041.000000000007"/>
  </r>
  <r>
    <s v="EMP0296"/>
    <s v="NA"/>
    <s v="USA"/>
    <x v="1"/>
    <s v="IC"/>
    <x v="129"/>
    <s v="FTE"/>
    <d v="2023-11-25T00:00:00"/>
    <s v="Active"/>
    <s v="Controlling"/>
    <s v="CC-Fin-481"/>
    <n v="5"/>
    <s v=""/>
    <n v="2"/>
    <x v="0"/>
    <n v="1"/>
    <s v=""/>
    <n v="3"/>
    <s v="No"/>
    <s v="No"/>
    <s v="No"/>
    <n v="2"/>
    <s v="High"/>
    <n v="44529"/>
    <n v="0.1"/>
    <n v="48981.9"/>
  </r>
  <r>
    <s v="EMP0297"/>
    <s v="NA"/>
    <s v="USA"/>
    <x v="5"/>
    <s v="IC"/>
    <x v="78"/>
    <s v="FTE"/>
    <d v="2023-11-14T00:00:00"/>
    <s v="Active"/>
    <s v="Technology"/>
    <s v="CC-IT-782"/>
    <n v="5"/>
    <s v=""/>
    <n v="2"/>
    <x v="0"/>
    <n v="1"/>
    <s v=""/>
    <n v="1"/>
    <s v="Yes"/>
    <s v="No"/>
    <s v="No"/>
    <n v="5"/>
    <s v="Low"/>
    <n v="44487"/>
    <n v="0.1"/>
    <n v="48935.700000000004"/>
  </r>
  <r>
    <s v="EMP0298"/>
    <s v="NA"/>
    <s v="USA"/>
    <x v="4"/>
    <s v="IC"/>
    <x v="20"/>
    <s v="FTE"/>
    <d v="2023-11-08T00:00:00"/>
    <s v="Active"/>
    <s v="People Operations"/>
    <s v="CC-HR-911"/>
    <n v="5"/>
    <s v=""/>
    <n v="2"/>
    <x v="0"/>
    <n v="1"/>
    <s v=""/>
    <n v="3"/>
    <s v="No"/>
    <s v="No"/>
    <s v="No"/>
    <n v="4"/>
    <s v="Low"/>
    <n v="38648"/>
    <n v="0.1"/>
    <n v="42512.800000000003"/>
  </r>
  <r>
    <s v="EMP0299"/>
    <s v="NA"/>
    <s v="USA"/>
    <x v="3"/>
    <s v="IC"/>
    <x v="57"/>
    <s v="FTE"/>
    <d v="2023-11-05T00:00:00"/>
    <s v="Inactive"/>
    <s v="Manufacturing"/>
    <s v="CC-Ope-475"/>
    <n v="5"/>
    <d v="2026-02-18T00:00:00"/>
    <n v="2"/>
    <x v="0"/>
    <n v="1"/>
    <s v="Voluntary"/>
    <n v="4"/>
    <s v="No"/>
    <s v="Yes"/>
    <s v="No"/>
    <n v="4"/>
    <s v="Low"/>
    <n v="29908"/>
    <n v="0.1"/>
    <n v="32898.800000000003"/>
  </r>
  <r>
    <s v="EMP0300"/>
    <s v="NA"/>
    <s v="USA"/>
    <x v="0"/>
    <s v="IC"/>
    <x v="177"/>
    <s v="FTE"/>
    <d v="2023-11-04T00:00:00"/>
    <s v="Active"/>
    <s v="Logistics"/>
    <s v="CC-Sup-903"/>
    <n v="5"/>
    <s v=""/>
    <n v="2"/>
    <x v="0"/>
    <n v="1"/>
    <s v=""/>
    <n v="3"/>
    <s v="No"/>
    <s v="No"/>
    <s v="No"/>
    <n v="2"/>
    <s v="High"/>
    <n v="28169"/>
    <n v="0.1"/>
    <n v="30985.9"/>
  </r>
  <r>
    <s v="EMP0301"/>
    <s v="NA"/>
    <s v="USA"/>
    <x v="3"/>
    <s v="IC"/>
    <x v="166"/>
    <s v="FTE"/>
    <d v="2023-11-03T00:00:00"/>
    <s v="Active"/>
    <s v="Manufacturing"/>
    <s v="CC-Ope-859"/>
    <n v="5"/>
    <s v=""/>
    <n v="2"/>
    <x v="0"/>
    <n v="1"/>
    <s v=""/>
    <n v="2"/>
    <s v="No"/>
    <s v="No"/>
    <s v="No"/>
    <n v="4"/>
    <s v="Low"/>
    <n v="33647"/>
    <n v="0.1"/>
    <n v="37011.700000000004"/>
  </r>
  <r>
    <s v="EMP0302"/>
    <s v="NA"/>
    <s v="USA"/>
    <x v="5"/>
    <s v="IC"/>
    <x v="13"/>
    <s v="FTE"/>
    <d v="2023-11-03T00:00:00"/>
    <s v="Active"/>
    <s v="Technology"/>
    <s v="CC-IT-103"/>
    <n v="5"/>
    <s v=""/>
    <n v="2"/>
    <x v="0"/>
    <n v="1"/>
    <s v=""/>
    <n v="2"/>
    <s v="No"/>
    <s v="No"/>
    <s v="No"/>
    <n v="1"/>
    <s v="High"/>
    <n v="37787"/>
    <n v="0.1"/>
    <n v="41565.700000000004"/>
  </r>
  <r>
    <s v="EMP0303"/>
    <s v="NA"/>
    <s v="USA"/>
    <x v="5"/>
    <s v="IC"/>
    <x v="122"/>
    <s v="FTE"/>
    <d v="2023-10-27T00:00:00"/>
    <s v="Inactive"/>
    <s v="Technology"/>
    <s v="CC-IT-524"/>
    <n v="5"/>
    <d v="2026-02-18T00:00:00"/>
    <n v="2"/>
    <x v="0"/>
    <n v="1"/>
    <s v="Voluntary"/>
    <n v="3"/>
    <s v="No"/>
    <s v="No"/>
    <s v="No"/>
    <n v="4"/>
    <s v="Low"/>
    <n v="20812"/>
    <n v="0.1"/>
    <n v="22893.200000000001"/>
  </r>
  <r>
    <s v="EMP0304"/>
    <s v="NA"/>
    <s v="USA"/>
    <x v="1"/>
    <s v="IC"/>
    <x v="8"/>
    <s v="FTE"/>
    <d v="2023-10-22T00:00:00"/>
    <s v="Active"/>
    <s v="Controlling"/>
    <s v="CC-Fin-274"/>
    <n v="5"/>
    <s v=""/>
    <n v="2"/>
    <x v="0"/>
    <n v="1"/>
    <s v=""/>
    <n v="4"/>
    <s v="Yes"/>
    <s v="No"/>
    <s v="No"/>
    <n v="4"/>
    <s v="Low"/>
    <n v="43021"/>
    <n v="0.1"/>
    <n v="47323.100000000006"/>
  </r>
  <r>
    <s v="EMP0305"/>
    <s v="NA"/>
    <s v="USA"/>
    <x v="4"/>
    <s v="IC"/>
    <x v="47"/>
    <s v="FTE"/>
    <d v="2023-10-20T00:00:00"/>
    <s v="Active"/>
    <s v="People Operations"/>
    <s v="CC-HR-924"/>
    <n v="5"/>
    <s v=""/>
    <n v="2"/>
    <x v="0"/>
    <n v="1"/>
    <s v=""/>
    <n v="4"/>
    <s v="No"/>
    <s v="No"/>
    <s v="No"/>
    <n v="5"/>
    <s v="Low"/>
    <n v="36632"/>
    <n v="0.1"/>
    <n v="40295.200000000004"/>
  </r>
  <r>
    <s v="EMP0306"/>
    <s v="NA"/>
    <s v="USA"/>
    <x v="2"/>
    <s v="IC"/>
    <x v="12"/>
    <s v="FTE"/>
    <d v="2023-10-18T00:00:00"/>
    <s v="Active"/>
    <s v="Commercial"/>
    <s v="CC-Sal-836"/>
    <n v="5"/>
    <s v=""/>
    <n v="2"/>
    <x v="0"/>
    <n v="1"/>
    <s v=""/>
    <n v="2"/>
    <s v="Yes"/>
    <s v="Yes"/>
    <s v="No"/>
    <n v="5"/>
    <s v="Low"/>
    <n v="29171"/>
    <n v="0.1"/>
    <n v="32088.100000000002"/>
  </r>
  <r>
    <s v="EMP0307"/>
    <s v="NA"/>
    <s v="USA"/>
    <x v="3"/>
    <s v="IC"/>
    <x v="178"/>
    <s v="Contractor"/>
    <d v="2023-10-13T00:00:00"/>
    <s v="Active"/>
    <s v="Manufacturing"/>
    <s v="CC-Ope-398"/>
    <n v="5"/>
    <s v=""/>
    <n v="2"/>
    <x v="0"/>
    <n v="1"/>
    <s v=""/>
    <n v="4"/>
    <s v="No"/>
    <s v="Yes"/>
    <s v="Yes"/>
    <n v="1"/>
    <s v="High"/>
    <n v="23311"/>
    <n v="0.1"/>
    <n v="25642.100000000002"/>
  </r>
  <r>
    <s v="EMP0308"/>
    <s v="NA"/>
    <s v="USA"/>
    <x v="5"/>
    <s v="IC"/>
    <x v="126"/>
    <s v="FTE"/>
    <d v="2023-10-13T00:00:00"/>
    <s v="Active"/>
    <s v="Technology"/>
    <s v="CC-IT-501"/>
    <n v="5"/>
    <s v=""/>
    <n v="2"/>
    <x v="0"/>
    <n v="1"/>
    <s v=""/>
    <n v="3"/>
    <s v="No"/>
    <s v="No"/>
    <s v="No"/>
    <n v="5"/>
    <s v="Low"/>
    <n v="48737"/>
    <n v="0.1"/>
    <n v="53610.700000000004"/>
  </r>
  <r>
    <s v="EMP0309"/>
    <s v="NA"/>
    <s v="USA"/>
    <x v="0"/>
    <s v="IC"/>
    <x v="179"/>
    <s v="FTE"/>
    <d v="2023-10-12T00:00:00"/>
    <s v="Active"/>
    <s v="Logistics"/>
    <s v="CC-Sup-898"/>
    <n v="5"/>
    <s v=""/>
    <n v="2"/>
    <x v="0"/>
    <n v="1"/>
    <s v=""/>
    <n v="3"/>
    <s v="No"/>
    <s v="No"/>
    <s v="No"/>
    <n v="4"/>
    <s v="Low"/>
    <n v="39406"/>
    <n v="0.1"/>
    <n v="43346.600000000006"/>
  </r>
  <r>
    <s v="EMP0310"/>
    <s v="NA"/>
    <s v="USA"/>
    <x v="4"/>
    <s v="IC"/>
    <x v="180"/>
    <s v="FTE"/>
    <d v="2023-10-08T00:00:00"/>
    <s v="Inactive"/>
    <s v="People Operations"/>
    <s v="CC-HR-741"/>
    <n v="5"/>
    <d v="2025-09-27T00:00:00"/>
    <n v="1"/>
    <x v="0"/>
    <n v="1"/>
    <s v="Voluntary"/>
    <n v="3"/>
    <s v="No"/>
    <s v="No"/>
    <s v="No"/>
    <n v="3"/>
    <s v="Medium"/>
    <n v="38388"/>
    <n v="0.1"/>
    <n v="42226.8"/>
  </r>
  <r>
    <s v="EMP0311"/>
    <s v="NA"/>
    <s v="USA"/>
    <x v="3"/>
    <s v="VP"/>
    <x v="140"/>
    <s v="FTE"/>
    <d v="2023-10-04T00:00:00"/>
    <s v="Inactive"/>
    <s v="Manufacturing"/>
    <s v="CC-Ope-552"/>
    <n v="2"/>
    <d v="2026-02-18T00:00:00"/>
    <n v="2"/>
    <x v="0"/>
    <n v="1"/>
    <s v="Voluntary"/>
    <n v="3"/>
    <s v="Yes"/>
    <s v="No"/>
    <s v="No"/>
    <n v="4"/>
    <s v="Low"/>
    <n v="181995"/>
    <n v="0.25"/>
    <n v="227493.75"/>
  </r>
  <r>
    <s v="EMP0312"/>
    <s v="NA"/>
    <s v="USA"/>
    <x v="5"/>
    <s v="IC"/>
    <x v="181"/>
    <s v="FTE"/>
    <d v="2023-09-25T00:00:00"/>
    <s v="Active"/>
    <s v="Technology"/>
    <s v="CC-IT-555"/>
    <n v="5"/>
    <s v=""/>
    <n v="2"/>
    <x v="0"/>
    <n v="1"/>
    <s v=""/>
    <n v="3"/>
    <s v="No"/>
    <s v="No"/>
    <s v="No"/>
    <n v="4"/>
    <s v="Low"/>
    <n v="29498"/>
    <n v="0.1"/>
    <n v="32447.800000000003"/>
  </r>
  <r>
    <s v="EMP0313"/>
    <s v="NA"/>
    <s v="USA"/>
    <x v="1"/>
    <s v="IC"/>
    <x v="182"/>
    <s v="FTE"/>
    <d v="2023-09-24T00:00:00"/>
    <s v="Active"/>
    <s v="Controlling"/>
    <s v="CC-Fin-512"/>
    <n v="5"/>
    <s v=""/>
    <n v="2"/>
    <x v="0"/>
    <n v="1"/>
    <s v=""/>
    <n v="4"/>
    <s v="Yes"/>
    <s v="No"/>
    <s v="No"/>
    <n v="1"/>
    <s v="High"/>
    <n v="43196"/>
    <n v="0.1"/>
    <n v="47515.600000000006"/>
  </r>
  <r>
    <s v="EMP0314"/>
    <s v="NA"/>
    <s v="USA"/>
    <x v="3"/>
    <s v="IC"/>
    <x v="29"/>
    <s v="FTE"/>
    <d v="2023-09-16T00:00:00"/>
    <s v="Active"/>
    <s v="Manufacturing"/>
    <s v="CC-Ope-415"/>
    <n v="5"/>
    <s v=""/>
    <n v="2"/>
    <x v="0"/>
    <n v="1"/>
    <s v=""/>
    <n v="3"/>
    <s v="No"/>
    <s v="No"/>
    <s v="No"/>
    <n v="3"/>
    <s v="Medium"/>
    <n v="36596"/>
    <n v="0.1"/>
    <n v="40255.600000000006"/>
  </r>
  <r>
    <s v="EMP0315"/>
    <s v="NA"/>
    <s v="USA"/>
    <x v="5"/>
    <s v="C"/>
    <x v="183"/>
    <s v="FTE"/>
    <d v="2023-09-05T00:00:00"/>
    <s v="Active"/>
    <s v="Technology"/>
    <s v="CC-IT-252"/>
    <n v="1"/>
    <s v=""/>
    <n v="2"/>
    <x v="0"/>
    <n v="1"/>
    <s v=""/>
    <n v="4"/>
    <s v="No"/>
    <s v="No"/>
    <s v="No"/>
    <n v="4"/>
    <s v="Low"/>
    <n v="241085"/>
    <n v="0.3"/>
    <n v="313410.5"/>
  </r>
  <r>
    <s v="EMP0316"/>
    <s v="NA"/>
    <s v="USA"/>
    <x v="5"/>
    <s v="IC"/>
    <x v="175"/>
    <s v="FTE"/>
    <d v="2023-09-03T00:00:00"/>
    <s v="Active"/>
    <s v="Technology"/>
    <s v="CC-IT-863"/>
    <n v="5"/>
    <s v=""/>
    <n v="2"/>
    <x v="0"/>
    <n v="1"/>
    <s v=""/>
    <n v="4"/>
    <s v="No"/>
    <s v="No"/>
    <s v="No"/>
    <n v="3"/>
    <s v="Medium"/>
    <n v="43317"/>
    <n v="0.1"/>
    <n v="47648.700000000004"/>
  </r>
  <r>
    <s v="EMP0317"/>
    <s v="NA"/>
    <s v="USA"/>
    <x v="1"/>
    <s v="IC"/>
    <x v="181"/>
    <s v="FTE"/>
    <d v="2023-09-02T00:00:00"/>
    <s v="Active"/>
    <s v="Controlling"/>
    <s v="CC-Fin-138"/>
    <n v="5"/>
    <s v=""/>
    <n v="2"/>
    <x v="0"/>
    <n v="1"/>
    <s v=""/>
    <n v="3"/>
    <s v="No"/>
    <s v="Yes"/>
    <s v="No"/>
    <n v="2"/>
    <s v="High"/>
    <n v="49754"/>
    <n v="0.1"/>
    <n v="54729.4"/>
  </r>
  <r>
    <s v="EMP0318"/>
    <s v="NA"/>
    <s v="USA"/>
    <x v="1"/>
    <s v="IC"/>
    <x v="97"/>
    <s v="FTE"/>
    <d v="2023-08-20T00:00:00"/>
    <s v="Active"/>
    <s v="Controlling"/>
    <s v="CC-Fin-241"/>
    <n v="5"/>
    <s v=""/>
    <n v="2"/>
    <x v="0"/>
    <n v="1"/>
    <s v=""/>
    <n v="3"/>
    <s v="No"/>
    <s v="No"/>
    <s v="No"/>
    <n v="4"/>
    <s v="Low"/>
    <n v="33823"/>
    <n v="0.1"/>
    <n v="37205.300000000003"/>
  </r>
  <r>
    <s v="EMP0319"/>
    <s v="NA"/>
    <s v="USA"/>
    <x v="3"/>
    <s v="IC"/>
    <x v="57"/>
    <s v="FTE"/>
    <d v="2023-08-17T00:00:00"/>
    <s v="Inactive"/>
    <s v="Manufacturing"/>
    <s v="CC-Ope-176"/>
    <n v="5"/>
    <d v="2026-02-18T00:00:00"/>
    <n v="2"/>
    <x v="0"/>
    <n v="1"/>
    <s v="Involuntary"/>
    <n v="3"/>
    <s v="No"/>
    <s v="No"/>
    <s v="No"/>
    <n v="4"/>
    <s v="Low"/>
    <n v="45289"/>
    <n v="0.1"/>
    <n v="49817.9"/>
  </r>
  <r>
    <s v="EMP0320"/>
    <s v="NA"/>
    <s v="USA"/>
    <x v="4"/>
    <s v="Manager"/>
    <x v="174"/>
    <s v="FTE"/>
    <d v="2023-08-09T00:00:00"/>
    <s v="Active"/>
    <s v="People Operations"/>
    <s v="CC-HR-821"/>
    <n v="4"/>
    <s v=""/>
    <n v="2"/>
    <x v="0"/>
    <n v="1"/>
    <s v=""/>
    <n v="4"/>
    <s v="No"/>
    <s v="No"/>
    <s v="No"/>
    <n v="2"/>
    <s v="High"/>
    <n v="63237"/>
    <n v="0.15"/>
    <n v="72722.549999999988"/>
  </r>
  <r>
    <s v="EMP0321"/>
    <s v="NA"/>
    <s v="USA"/>
    <x v="4"/>
    <s v="IC"/>
    <x v="51"/>
    <s v="FTE"/>
    <d v="2023-08-05T00:00:00"/>
    <s v="Active"/>
    <s v="People Operations"/>
    <s v="CC-HR-657"/>
    <n v="5"/>
    <s v=""/>
    <n v="2"/>
    <x v="0"/>
    <n v="1"/>
    <s v=""/>
    <n v="4"/>
    <s v="No"/>
    <s v="No"/>
    <s v="No"/>
    <n v="2"/>
    <s v="High"/>
    <n v="32569"/>
    <n v="0.1"/>
    <n v="35825.9"/>
  </r>
  <r>
    <s v="EMP0322"/>
    <s v="NA"/>
    <s v="USA"/>
    <x v="5"/>
    <s v="IC"/>
    <x v="93"/>
    <s v="Contractor"/>
    <d v="2023-07-27T00:00:00"/>
    <s v="Active"/>
    <s v="Technology"/>
    <s v="CC-IT-551"/>
    <n v="5"/>
    <s v=""/>
    <n v="2"/>
    <x v="0"/>
    <n v="1"/>
    <s v=""/>
    <n v="3"/>
    <s v="No"/>
    <s v="No"/>
    <s v="No"/>
    <n v="3"/>
    <s v="Medium"/>
    <n v="47062"/>
    <n v="0.1"/>
    <n v="51768.200000000004"/>
  </r>
  <r>
    <s v="EMP0323"/>
    <s v="NA"/>
    <s v="USA"/>
    <x v="0"/>
    <s v="IC"/>
    <x v="184"/>
    <s v="FTE"/>
    <d v="2023-07-27T00:00:00"/>
    <s v="Active"/>
    <s v="Logistics"/>
    <s v="CC-Sup-543"/>
    <n v="5"/>
    <s v=""/>
    <n v="2"/>
    <x v="0"/>
    <n v="1"/>
    <s v=""/>
    <n v="3"/>
    <s v="No"/>
    <s v="No"/>
    <s v="No"/>
    <n v="4"/>
    <s v="Low"/>
    <n v="49441"/>
    <n v="0.1"/>
    <n v="54385.100000000006"/>
  </r>
  <r>
    <s v="EMP0324"/>
    <s v="NA"/>
    <s v="USA"/>
    <x v="0"/>
    <s v="IC"/>
    <x v="185"/>
    <s v="FTE"/>
    <d v="2023-07-26T00:00:00"/>
    <s v="Active"/>
    <s v="Logistics"/>
    <s v="CC-Sup-808"/>
    <n v="5"/>
    <s v=""/>
    <n v="2"/>
    <x v="0"/>
    <n v="1"/>
    <s v=""/>
    <n v="3"/>
    <s v="No"/>
    <s v="Yes"/>
    <s v="No"/>
    <n v="3"/>
    <s v="Medium"/>
    <n v="29578"/>
    <n v="0.1"/>
    <n v="32535.800000000003"/>
  </r>
  <r>
    <s v="EMP0325"/>
    <s v="NA"/>
    <s v="USA"/>
    <x v="1"/>
    <s v="IC"/>
    <x v="179"/>
    <s v="FTE"/>
    <d v="2023-07-25T00:00:00"/>
    <s v="Active"/>
    <s v="Controlling"/>
    <s v="CC-Fin-277"/>
    <n v="5"/>
    <s v=""/>
    <n v="2"/>
    <x v="0"/>
    <n v="1"/>
    <s v=""/>
    <n v="4"/>
    <s v="No"/>
    <s v="No"/>
    <s v="No"/>
    <n v="3"/>
    <s v="Medium"/>
    <n v="46732"/>
    <n v="0.1"/>
    <n v="51405.200000000004"/>
  </r>
  <r>
    <s v="EMP0326"/>
    <s v="NA"/>
    <s v="USA"/>
    <x v="4"/>
    <s v="IC"/>
    <x v="173"/>
    <s v="FTE"/>
    <d v="2023-07-23T00:00:00"/>
    <s v="Active"/>
    <s v="People Operations"/>
    <s v="CC-HR-996"/>
    <n v="5"/>
    <s v=""/>
    <n v="2"/>
    <x v="0"/>
    <n v="1"/>
    <s v=""/>
    <n v="4"/>
    <s v="No"/>
    <s v="No"/>
    <s v="No"/>
    <n v="5"/>
    <s v="Low"/>
    <n v="31631"/>
    <n v="0.1"/>
    <n v="34794.100000000006"/>
  </r>
  <r>
    <s v="EMP0327"/>
    <s v="NA"/>
    <s v="USA"/>
    <x v="5"/>
    <s v="IC"/>
    <x v="166"/>
    <s v="FTE"/>
    <d v="2023-07-05T00:00:00"/>
    <s v="Active"/>
    <s v="Technology"/>
    <s v="CC-IT-111"/>
    <n v="5"/>
    <s v=""/>
    <n v="2"/>
    <x v="0"/>
    <n v="1"/>
    <s v=""/>
    <n v="4"/>
    <s v="No"/>
    <s v="No"/>
    <s v="No"/>
    <n v="4"/>
    <s v="Low"/>
    <n v="28644"/>
    <n v="0.1"/>
    <n v="31508.400000000001"/>
  </r>
  <r>
    <s v="EMP0328"/>
    <s v="NA"/>
    <s v="USA"/>
    <x v="4"/>
    <s v="IC"/>
    <x v="178"/>
    <s v="FTE"/>
    <d v="2023-07-04T00:00:00"/>
    <s v="Active"/>
    <s v="People Operations"/>
    <s v="CC-HR-998"/>
    <n v="5"/>
    <s v=""/>
    <n v="2"/>
    <x v="0"/>
    <n v="1"/>
    <s v=""/>
    <n v="4"/>
    <s v="No"/>
    <s v="No"/>
    <s v="No"/>
    <n v="4"/>
    <s v="Low"/>
    <n v="49637"/>
    <n v="0.1"/>
    <n v="54600.700000000004"/>
  </r>
  <r>
    <s v="EMP0329"/>
    <s v="NA"/>
    <s v="USA"/>
    <x v="1"/>
    <s v="IC"/>
    <x v="129"/>
    <s v="FTE"/>
    <d v="2023-07-03T00:00:00"/>
    <s v="Active"/>
    <s v="Controlling"/>
    <s v="CC-Fin-974"/>
    <n v="5"/>
    <s v=""/>
    <n v="2"/>
    <x v="0"/>
    <n v="1"/>
    <s v=""/>
    <n v="4"/>
    <s v="No"/>
    <s v="No"/>
    <s v="No"/>
    <n v="5"/>
    <s v="Low"/>
    <n v="37847"/>
    <n v="0.1"/>
    <n v="41631.700000000004"/>
  </r>
  <r>
    <s v="EMP0330"/>
    <s v="NA"/>
    <s v="USA"/>
    <x v="5"/>
    <s v="IC"/>
    <x v="12"/>
    <s v="FTE"/>
    <d v="2023-07-01T00:00:00"/>
    <s v="Active"/>
    <s v="Technology"/>
    <s v="CC-IT-314"/>
    <n v="5"/>
    <s v=""/>
    <n v="2"/>
    <x v="0"/>
    <n v="1"/>
    <s v=""/>
    <n v="2"/>
    <s v="No"/>
    <s v="No"/>
    <s v="No"/>
    <n v="1"/>
    <s v="High"/>
    <n v="39856"/>
    <n v="0.1"/>
    <n v="43841.600000000006"/>
  </r>
  <r>
    <s v="EMP0331"/>
    <s v="NA"/>
    <s v="USA"/>
    <x v="1"/>
    <s v="IC"/>
    <x v="186"/>
    <s v="FTE"/>
    <d v="2023-06-21T00:00:00"/>
    <s v="Active"/>
    <s v="Controlling"/>
    <s v="CC-Fin-124"/>
    <n v="5"/>
    <s v=""/>
    <n v="2"/>
    <x v="0"/>
    <n v="1"/>
    <s v=""/>
    <n v="4"/>
    <s v="No"/>
    <s v="No"/>
    <s v="No"/>
    <n v="1"/>
    <s v="High"/>
    <n v="34485"/>
    <n v="0.1"/>
    <n v="37933.5"/>
  </r>
  <r>
    <s v="EMP0332"/>
    <s v="NA"/>
    <s v="USA"/>
    <x v="5"/>
    <s v="IC"/>
    <x v="181"/>
    <s v="FTE"/>
    <d v="2023-06-11T00:00:00"/>
    <s v="Active"/>
    <s v="Technology"/>
    <s v="CC-IT-687"/>
    <n v="5"/>
    <s v=""/>
    <n v="2"/>
    <x v="0"/>
    <n v="1"/>
    <s v=""/>
    <n v="3"/>
    <s v="No"/>
    <s v="No"/>
    <s v="No"/>
    <n v="5"/>
    <s v="Low"/>
    <n v="45009"/>
    <n v="0.1"/>
    <n v="49509.9"/>
  </r>
  <r>
    <s v="EMP0333"/>
    <s v="NA"/>
    <s v="USA"/>
    <x v="5"/>
    <s v="IC"/>
    <x v="108"/>
    <s v="FTE"/>
    <d v="2023-06-10T00:00:00"/>
    <s v="Active"/>
    <s v="Technology"/>
    <s v="CC-IT-124"/>
    <n v="5"/>
    <s v=""/>
    <n v="2"/>
    <x v="0"/>
    <n v="1"/>
    <s v=""/>
    <n v="3"/>
    <s v="No"/>
    <s v="No"/>
    <s v="No"/>
    <n v="2"/>
    <s v="High"/>
    <n v="39421"/>
    <n v="0.1"/>
    <n v="43363.100000000006"/>
  </r>
  <r>
    <s v="EMP0334"/>
    <s v="NA"/>
    <s v="USA"/>
    <x v="4"/>
    <s v="IC"/>
    <x v="129"/>
    <s v="FTE"/>
    <d v="2023-06-07T00:00:00"/>
    <s v="Active"/>
    <s v="People Operations"/>
    <s v="CC-HR-459"/>
    <n v="5"/>
    <s v=""/>
    <n v="2"/>
    <x v="0"/>
    <n v="1"/>
    <s v=""/>
    <n v="3"/>
    <s v="No"/>
    <s v="No"/>
    <s v="No"/>
    <n v="5"/>
    <s v="Low"/>
    <n v="24270"/>
    <n v="0.1"/>
    <n v="26697.000000000004"/>
  </r>
  <r>
    <s v="EMP0335"/>
    <s v="NA"/>
    <s v="USA"/>
    <x v="2"/>
    <s v="IC"/>
    <x v="97"/>
    <s v="FTE"/>
    <d v="2023-05-26T00:00:00"/>
    <s v="Inactive"/>
    <s v="Commercial"/>
    <s v="CC-Sal-410"/>
    <n v="5"/>
    <d v="2026-02-18T00:00:00"/>
    <n v="2"/>
    <x v="0"/>
    <n v="1"/>
    <s v="Voluntary"/>
    <n v="4"/>
    <s v="No"/>
    <s v="Yes"/>
    <s v="No"/>
    <n v="1"/>
    <s v="High"/>
    <n v="45214"/>
    <n v="0.1"/>
    <n v="49735.4"/>
  </r>
  <r>
    <s v="EMP0336"/>
    <s v="NA"/>
    <s v="USA"/>
    <x v="2"/>
    <s v="IC"/>
    <x v="2"/>
    <s v="FTE"/>
    <d v="2023-05-26T00:00:00"/>
    <s v="Active"/>
    <s v="Commercial"/>
    <s v="CC-Sal-722"/>
    <n v="5"/>
    <s v=""/>
    <n v="2"/>
    <x v="0"/>
    <n v="1"/>
    <s v=""/>
    <n v="3"/>
    <s v="No"/>
    <s v="No"/>
    <s v="No"/>
    <n v="5"/>
    <s v="Low"/>
    <n v="34811"/>
    <n v="0.1"/>
    <n v="38292.100000000006"/>
  </r>
  <r>
    <s v="EMP0337"/>
    <s v="NA"/>
    <s v="USA"/>
    <x v="5"/>
    <s v="IC"/>
    <x v="187"/>
    <s v="FTE"/>
    <d v="2023-05-26T00:00:00"/>
    <s v="Active"/>
    <s v="Technology"/>
    <s v="CC-IT-700"/>
    <n v="5"/>
    <s v=""/>
    <n v="2"/>
    <x v="0"/>
    <n v="1"/>
    <s v=""/>
    <n v="2"/>
    <s v="No"/>
    <s v="Yes"/>
    <s v="Yes"/>
    <n v="2"/>
    <s v="High"/>
    <n v="47780"/>
    <n v="0.1"/>
    <n v="52558.000000000007"/>
  </r>
  <r>
    <s v="EMP0338"/>
    <s v="NA"/>
    <s v="USA"/>
    <x v="0"/>
    <s v="IC"/>
    <x v="98"/>
    <s v="FTE"/>
    <d v="2023-05-24T00:00:00"/>
    <s v="Active"/>
    <s v="Logistics"/>
    <s v="CC-Sup-476"/>
    <n v="5"/>
    <s v=""/>
    <n v="2"/>
    <x v="0"/>
    <n v="1"/>
    <s v=""/>
    <n v="3"/>
    <s v="No"/>
    <s v="No"/>
    <s v="No"/>
    <n v="5"/>
    <s v="Low"/>
    <n v="43332"/>
    <n v="0.1"/>
    <n v="47665.200000000004"/>
  </r>
  <r>
    <s v="EMP0339"/>
    <s v="NA"/>
    <s v="USA"/>
    <x v="5"/>
    <s v="IC"/>
    <x v="57"/>
    <s v="FTE"/>
    <d v="2023-05-23T00:00:00"/>
    <s v="Active"/>
    <s v="Technology"/>
    <s v="CC-IT-460"/>
    <n v="5"/>
    <s v=""/>
    <n v="2"/>
    <x v="0"/>
    <n v="1"/>
    <s v=""/>
    <n v="3"/>
    <s v="No"/>
    <s v="No"/>
    <s v="No"/>
    <n v="2"/>
    <s v="High"/>
    <n v="38855"/>
    <n v="0.1"/>
    <n v="42740.5"/>
  </r>
  <r>
    <s v="EMP0340"/>
    <s v="NA"/>
    <s v="USA"/>
    <x v="1"/>
    <s v="IC"/>
    <x v="186"/>
    <s v="FTE"/>
    <d v="2023-05-17T00:00:00"/>
    <s v="Active"/>
    <s v="Controlling"/>
    <s v="CC-Fin-951"/>
    <n v="5"/>
    <s v=""/>
    <n v="2"/>
    <x v="0"/>
    <n v="1"/>
    <s v=""/>
    <n v="5"/>
    <s v="No"/>
    <s v="Yes"/>
    <s v="Yes"/>
    <n v="5"/>
    <s v="Low"/>
    <n v="41157"/>
    <n v="0.1"/>
    <n v="45272.700000000004"/>
  </r>
  <r>
    <s v="EMP0341"/>
    <s v="NA"/>
    <s v="USA"/>
    <x v="2"/>
    <s v="IC"/>
    <x v="175"/>
    <s v="FTE"/>
    <d v="2023-05-11T00:00:00"/>
    <s v="Active"/>
    <s v="Commercial"/>
    <s v="CC-Sal-699"/>
    <n v="5"/>
    <s v=""/>
    <n v="2"/>
    <x v="0"/>
    <n v="1"/>
    <s v=""/>
    <n v="4"/>
    <s v="Yes"/>
    <s v="No"/>
    <s v="No"/>
    <n v="5"/>
    <s v="Low"/>
    <n v="25131"/>
    <n v="0.1"/>
    <n v="27644.100000000002"/>
  </r>
  <r>
    <s v="EMP0342"/>
    <s v="NA"/>
    <s v="USA"/>
    <x v="0"/>
    <s v="IC"/>
    <x v="188"/>
    <s v="FTE"/>
    <d v="2023-05-08T00:00:00"/>
    <s v="Inactive"/>
    <s v="Logistics"/>
    <s v="CC-Sup-716"/>
    <n v="5"/>
    <d v="2026-02-18T00:00:00"/>
    <n v="2"/>
    <x v="0"/>
    <n v="1"/>
    <s v="Voluntary"/>
    <n v="2"/>
    <s v="No"/>
    <s v="No"/>
    <s v="No"/>
    <n v="3"/>
    <s v="Medium"/>
    <n v="49990"/>
    <n v="0.1"/>
    <n v="54989.000000000007"/>
  </r>
  <r>
    <s v="EMP0343"/>
    <s v="NA"/>
    <s v="USA"/>
    <x v="5"/>
    <s v="IC"/>
    <x v="120"/>
    <s v="FTE"/>
    <d v="2023-05-08T00:00:00"/>
    <s v="Active"/>
    <s v="Technology"/>
    <s v="CC-IT-454"/>
    <n v="5"/>
    <s v=""/>
    <n v="2"/>
    <x v="0"/>
    <n v="1"/>
    <s v=""/>
    <n v="3"/>
    <s v="Yes"/>
    <s v="No"/>
    <s v="No"/>
    <n v="4"/>
    <s v="Low"/>
    <n v="22970"/>
    <n v="0.1"/>
    <n v="25267.000000000004"/>
  </r>
  <r>
    <s v="EMP0344"/>
    <s v="NA"/>
    <s v="USA"/>
    <x v="0"/>
    <s v="Director"/>
    <x v="189"/>
    <s v="FTE"/>
    <d v="2023-05-07T00:00:00"/>
    <s v="Active"/>
    <s v="Logistics"/>
    <s v="CC-Sup-235"/>
    <n v="3"/>
    <s v=""/>
    <n v="2"/>
    <x v="0"/>
    <n v="1"/>
    <s v=""/>
    <n v="3"/>
    <s v="No"/>
    <s v="No"/>
    <s v="No"/>
    <n v="5"/>
    <s v="Low"/>
    <n v="92448"/>
    <n v="0.2"/>
    <n v="110937.59999999999"/>
  </r>
  <r>
    <s v="EMP0345"/>
    <s v="NA"/>
    <s v="USA"/>
    <x v="2"/>
    <s v="IC"/>
    <x v="116"/>
    <s v="FTE"/>
    <d v="2023-05-07T00:00:00"/>
    <s v="Active"/>
    <s v="Commercial"/>
    <s v="CC-Sal-590"/>
    <n v="5"/>
    <s v=""/>
    <n v="2"/>
    <x v="0"/>
    <n v="1"/>
    <s v=""/>
    <n v="3"/>
    <s v="No"/>
    <s v="No"/>
    <s v="No"/>
    <n v="4"/>
    <s v="Low"/>
    <n v="37786"/>
    <n v="0.1"/>
    <n v="41564.600000000006"/>
  </r>
  <r>
    <s v="EMP0346"/>
    <s v="NA"/>
    <s v="USA"/>
    <x v="3"/>
    <s v="Manager"/>
    <x v="34"/>
    <s v="FTE"/>
    <d v="2023-05-02T00:00:00"/>
    <s v="Active"/>
    <s v="Manufacturing"/>
    <s v="CC-Ope-919"/>
    <n v="4"/>
    <s v=""/>
    <n v="2"/>
    <x v="0"/>
    <n v="1"/>
    <s v=""/>
    <n v="3"/>
    <s v="No"/>
    <s v="No"/>
    <s v="No"/>
    <n v="5"/>
    <s v="Low"/>
    <n v="52596"/>
    <n v="0.15"/>
    <n v="60485.399999999994"/>
  </r>
  <r>
    <s v="EMP0347"/>
    <s v="NA"/>
    <s v="USA"/>
    <x v="4"/>
    <s v="Director"/>
    <x v="149"/>
    <s v="FTE"/>
    <d v="2023-05-01T00:00:00"/>
    <s v="Active"/>
    <s v="People Operations"/>
    <s v="CC-HR-931"/>
    <n v="3"/>
    <s v=""/>
    <n v="2"/>
    <x v="0"/>
    <n v="1"/>
    <s v=""/>
    <n v="4"/>
    <s v="No"/>
    <s v="No"/>
    <s v="No"/>
    <n v="4"/>
    <s v="Low"/>
    <n v="126995"/>
    <n v="0.2"/>
    <n v="152394"/>
  </r>
  <r>
    <s v="EMP0348"/>
    <s v="NA"/>
    <s v="USA"/>
    <x v="4"/>
    <s v="IC"/>
    <x v="175"/>
    <s v="FTE"/>
    <d v="2023-04-22T00:00:00"/>
    <s v="Inactive"/>
    <s v="People Operations"/>
    <s v="CC-HR-171"/>
    <n v="5"/>
    <d v="2026-02-18T00:00:00"/>
    <n v="2"/>
    <x v="0"/>
    <n v="1"/>
    <s v="Voluntary"/>
    <n v="3"/>
    <s v="No"/>
    <s v="Yes"/>
    <s v="Yes"/>
    <n v="4"/>
    <s v="Low"/>
    <n v="49841"/>
    <n v="0.1"/>
    <n v="54825.100000000006"/>
  </r>
  <r>
    <s v="EMP0349"/>
    <s v="NA"/>
    <s v="USA"/>
    <x v="5"/>
    <s v="IC"/>
    <x v="190"/>
    <s v="FTE"/>
    <d v="2023-04-19T00:00:00"/>
    <s v="Active"/>
    <s v="Technology"/>
    <s v="CC-IT-874"/>
    <n v="5"/>
    <s v=""/>
    <n v="2"/>
    <x v="0"/>
    <n v="1"/>
    <s v=""/>
    <n v="4"/>
    <s v="No"/>
    <s v="No"/>
    <s v="No"/>
    <n v="4"/>
    <s v="Low"/>
    <n v="45803"/>
    <n v="0.1"/>
    <n v="50383.3"/>
  </r>
  <r>
    <s v="EMP0350"/>
    <s v="NA"/>
    <s v="USA"/>
    <x v="0"/>
    <s v="IC"/>
    <x v="191"/>
    <s v="FTE"/>
    <d v="2023-04-17T00:00:00"/>
    <s v="Active"/>
    <s v="Logistics"/>
    <s v="CC-Sup-380"/>
    <n v="5"/>
    <s v=""/>
    <n v="2"/>
    <x v="0"/>
    <n v="1"/>
    <s v=""/>
    <n v="3"/>
    <s v="No"/>
    <s v="No"/>
    <s v="No"/>
    <n v="2"/>
    <s v="High"/>
    <n v="40831"/>
    <n v="0.1"/>
    <n v="44914.100000000006"/>
  </r>
  <r>
    <s v="EMP0351"/>
    <s v="NA"/>
    <s v="USA"/>
    <x v="1"/>
    <s v="IC"/>
    <x v="118"/>
    <s v="FTE"/>
    <d v="2023-04-16T00:00:00"/>
    <s v="Active"/>
    <s v="Controlling"/>
    <s v="CC-Fin-916"/>
    <n v="5"/>
    <s v=""/>
    <n v="2"/>
    <x v="0"/>
    <n v="1"/>
    <s v=""/>
    <n v="3"/>
    <s v="No"/>
    <s v="No"/>
    <s v="No"/>
    <n v="4"/>
    <s v="Low"/>
    <n v="46132"/>
    <n v="0.1"/>
    <n v="50745.200000000004"/>
  </r>
  <r>
    <s v="EMP0352"/>
    <s v="NA"/>
    <s v="USA"/>
    <x v="3"/>
    <s v="Director"/>
    <x v="110"/>
    <s v="FTE"/>
    <d v="2023-04-14T00:00:00"/>
    <s v="Inactive"/>
    <s v="Manufacturing"/>
    <s v="CC-Ope-551"/>
    <n v="3"/>
    <d v="2026-02-18T00:00:00"/>
    <n v="2"/>
    <x v="0"/>
    <n v="1"/>
    <s v="Involuntary"/>
    <n v="4"/>
    <s v="No"/>
    <s v="Yes"/>
    <s v="No"/>
    <n v="3"/>
    <s v="Medium"/>
    <n v="126824"/>
    <n v="0.2"/>
    <n v="152188.79999999999"/>
  </r>
  <r>
    <s v="EMP0353"/>
    <s v="NA"/>
    <s v="USA"/>
    <x v="0"/>
    <s v="IC"/>
    <x v="170"/>
    <s v="FTE"/>
    <d v="2023-04-14T00:00:00"/>
    <s v="Active"/>
    <s v="Logistics"/>
    <s v="CC-Sup-475"/>
    <n v="5"/>
    <s v=""/>
    <n v="2"/>
    <x v="0"/>
    <n v="1"/>
    <s v=""/>
    <n v="3"/>
    <s v="No"/>
    <s v="No"/>
    <s v="No"/>
    <n v="1"/>
    <s v="High"/>
    <n v="21582"/>
    <n v="0.1"/>
    <n v="23740.2"/>
  </r>
  <r>
    <s v="EMP0354"/>
    <s v="NA"/>
    <s v="USA"/>
    <x v="5"/>
    <s v="IC"/>
    <x v="188"/>
    <s v="Contractor"/>
    <d v="2023-04-13T00:00:00"/>
    <s v="Active"/>
    <s v="Technology"/>
    <s v="CC-IT-629"/>
    <n v="5"/>
    <s v=""/>
    <n v="2"/>
    <x v="0"/>
    <n v="1"/>
    <s v=""/>
    <n v="4"/>
    <s v="No"/>
    <s v="No"/>
    <s v="No"/>
    <n v="2"/>
    <s v="High"/>
    <n v="45749"/>
    <n v="0.1"/>
    <n v="50323.9"/>
  </r>
  <r>
    <s v="EMP0355"/>
    <s v="NA"/>
    <s v="USA"/>
    <x v="4"/>
    <s v="IC"/>
    <x v="115"/>
    <s v="FTE"/>
    <d v="2023-04-13T00:00:00"/>
    <s v="Active"/>
    <s v="People Operations"/>
    <s v="CC-HR-656"/>
    <n v="5"/>
    <s v=""/>
    <n v="2"/>
    <x v="0"/>
    <n v="1"/>
    <s v=""/>
    <n v="2"/>
    <s v="No"/>
    <s v="No"/>
    <s v="No"/>
    <n v="5"/>
    <s v="Low"/>
    <n v="35128"/>
    <n v="0.1"/>
    <n v="38640.800000000003"/>
  </r>
  <r>
    <s v="EMP0356"/>
    <s v="NA"/>
    <s v="USA"/>
    <x v="4"/>
    <s v="IC"/>
    <x v="192"/>
    <s v="FTE"/>
    <d v="2023-04-10T00:00:00"/>
    <s v="Active"/>
    <s v="People Operations"/>
    <s v="CC-HR-537"/>
    <n v="5"/>
    <s v=""/>
    <n v="2"/>
    <x v="0"/>
    <n v="1"/>
    <s v=""/>
    <n v="4"/>
    <s v="No"/>
    <s v="No"/>
    <s v="No"/>
    <n v="4"/>
    <s v="Low"/>
    <n v="39346"/>
    <n v="0.1"/>
    <n v="43280.600000000006"/>
  </r>
  <r>
    <s v="EMP0357"/>
    <s v="NA"/>
    <s v="USA"/>
    <x v="2"/>
    <s v="IC"/>
    <x v="74"/>
    <s v="Contractor"/>
    <d v="2023-04-09T00:00:00"/>
    <s v="Active"/>
    <s v="Commercial"/>
    <s v="CC-Sal-578"/>
    <n v="5"/>
    <s v=""/>
    <n v="2"/>
    <x v="0"/>
    <n v="1"/>
    <s v=""/>
    <n v="3"/>
    <s v="No"/>
    <s v="No"/>
    <s v="No"/>
    <n v="5"/>
    <s v="Low"/>
    <n v="21196"/>
    <n v="0.1"/>
    <n v="23315.600000000002"/>
  </r>
  <r>
    <s v="EMP0358"/>
    <s v="NA"/>
    <s v="USA"/>
    <x v="5"/>
    <s v="IC"/>
    <x v="145"/>
    <s v="FTE"/>
    <d v="2023-04-09T00:00:00"/>
    <s v="Inactive"/>
    <s v="Technology"/>
    <s v="CC-IT-820"/>
    <n v="5"/>
    <d v="2026-02-18T00:00:00"/>
    <n v="2"/>
    <x v="0"/>
    <n v="1"/>
    <s v="Voluntary"/>
    <n v="3"/>
    <s v="No"/>
    <s v="No"/>
    <s v="No"/>
    <n v="2"/>
    <s v="High"/>
    <n v="34547"/>
    <n v="0.1"/>
    <n v="38001.700000000004"/>
  </r>
  <r>
    <s v="EMP0359"/>
    <s v="NA"/>
    <s v="USA"/>
    <x v="2"/>
    <s v="Director"/>
    <x v="53"/>
    <s v="FTE"/>
    <d v="2023-04-07T00:00:00"/>
    <s v="Active"/>
    <s v="Commercial"/>
    <s v="CC-Sal-770"/>
    <n v="3"/>
    <s v=""/>
    <n v="2"/>
    <x v="0"/>
    <n v="1"/>
    <s v=""/>
    <n v="3"/>
    <s v="No"/>
    <s v="No"/>
    <s v="No"/>
    <n v="4"/>
    <s v="Low"/>
    <n v="111770"/>
    <n v="0.2"/>
    <n v="134124"/>
  </r>
  <r>
    <s v="EMP0360"/>
    <s v="NA"/>
    <s v="USA"/>
    <x v="2"/>
    <s v="IC"/>
    <x v="121"/>
    <s v="FTE"/>
    <d v="2023-04-06T00:00:00"/>
    <s v="Active"/>
    <s v="Commercial"/>
    <s v="CC-Sal-960"/>
    <n v="5"/>
    <s v=""/>
    <n v="2"/>
    <x v="0"/>
    <n v="1"/>
    <s v=""/>
    <n v="5"/>
    <s v="No"/>
    <s v="No"/>
    <s v="No"/>
    <n v="1"/>
    <s v="High"/>
    <n v="49710"/>
    <n v="0.1"/>
    <n v="54681.000000000007"/>
  </r>
  <r>
    <s v="EMP0361"/>
    <s v="NA"/>
    <s v="USA"/>
    <x v="0"/>
    <s v="Manager"/>
    <x v="172"/>
    <s v="FTE"/>
    <d v="2023-04-02T00:00:00"/>
    <s v="Active"/>
    <s v="Logistics"/>
    <s v="CC-Sup-540"/>
    <n v="4"/>
    <s v=""/>
    <n v="2"/>
    <x v="0"/>
    <n v="1"/>
    <s v=""/>
    <n v="3"/>
    <s v="No"/>
    <s v="No"/>
    <s v="No"/>
    <n v="1"/>
    <s v="High"/>
    <n v="73483"/>
    <n v="0.15"/>
    <n v="84505.45"/>
  </r>
  <r>
    <s v="EMP0362"/>
    <s v="NA"/>
    <s v="USA"/>
    <x v="2"/>
    <s v="IC"/>
    <x v="175"/>
    <s v="FTE"/>
    <d v="2023-03-26T00:00:00"/>
    <s v="Active"/>
    <s v="Commercial"/>
    <s v="CC-Sal-407"/>
    <n v="5"/>
    <s v=""/>
    <n v="2"/>
    <x v="0"/>
    <n v="1"/>
    <s v=""/>
    <n v="2"/>
    <s v="No"/>
    <s v="Yes"/>
    <s v="No"/>
    <n v="5"/>
    <s v="Low"/>
    <n v="41207"/>
    <n v="0.1"/>
    <n v="45327.700000000004"/>
  </r>
  <r>
    <s v="EMP0363"/>
    <s v="NA"/>
    <s v="USA"/>
    <x v="1"/>
    <s v="IC"/>
    <x v="192"/>
    <s v="FTE"/>
    <d v="2023-03-23T00:00:00"/>
    <s v="Active"/>
    <s v="Controlling"/>
    <s v="CC-Fin-654"/>
    <n v="5"/>
    <s v=""/>
    <n v="2"/>
    <x v="0"/>
    <n v="1"/>
    <s v=""/>
    <n v="3"/>
    <s v="No"/>
    <s v="No"/>
    <s v="No"/>
    <n v="4"/>
    <s v="Low"/>
    <n v="33144"/>
    <n v="0.1"/>
    <n v="36458.400000000001"/>
  </r>
  <r>
    <s v="EMP0364"/>
    <s v="NA"/>
    <s v="USA"/>
    <x v="4"/>
    <s v="IC"/>
    <x v="143"/>
    <s v="Contractor"/>
    <d v="2023-03-20T00:00:00"/>
    <s v="Active"/>
    <s v="People Operations"/>
    <s v="CC-HR-124"/>
    <n v="5"/>
    <s v=""/>
    <n v="2"/>
    <x v="0"/>
    <n v="1"/>
    <s v=""/>
    <n v="2"/>
    <s v="No"/>
    <s v="No"/>
    <s v="No"/>
    <n v="2"/>
    <s v="High"/>
    <n v="39195"/>
    <n v="0.1"/>
    <n v="43114.5"/>
  </r>
  <r>
    <s v="EMP0365"/>
    <s v="NA"/>
    <s v="USA"/>
    <x v="0"/>
    <s v="IC"/>
    <x v="2"/>
    <s v="FTE"/>
    <d v="2023-03-18T00:00:00"/>
    <s v="Active"/>
    <s v="Logistics"/>
    <s v="CC-Sup-741"/>
    <n v="5"/>
    <s v=""/>
    <n v="2"/>
    <x v="0"/>
    <n v="1"/>
    <s v=""/>
    <n v="3"/>
    <s v="No"/>
    <s v="No"/>
    <s v="No"/>
    <n v="3"/>
    <s v="Medium"/>
    <n v="26073"/>
    <n v="0.1"/>
    <n v="28680.300000000003"/>
  </r>
  <r>
    <s v="EMP0366"/>
    <s v="NA"/>
    <s v="USA"/>
    <x v="3"/>
    <s v="Manager"/>
    <x v="106"/>
    <s v="Contractor"/>
    <d v="2023-03-15T00:00:00"/>
    <s v="Active"/>
    <s v="Manufacturing"/>
    <s v="CC-Ope-981"/>
    <n v="4"/>
    <s v=""/>
    <n v="2"/>
    <x v="0"/>
    <n v="1"/>
    <s v=""/>
    <n v="4"/>
    <s v="No"/>
    <s v="No"/>
    <s v="No"/>
    <n v="3"/>
    <s v="Medium"/>
    <n v="69672"/>
    <n v="0.15"/>
    <n v="80122.799999999988"/>
  </r>
  <r>
    <s v="EMP0367"/>
    <s v="NA"/>
    <s v="USA"/>
    <x v="0"/>
    <s v="IC"/>
    <x v="117"/>
    <s v="FTE"/>
    <d v="2023-03-15T00:00:00"/>
    <s v="Inactive"/>
    <s v="Logistics"/>
    <s v="CC-Sup-265"/>
    <n v="5"/>
    <d v="2026-02-18T00:00:00"/>
    <n v="2"/>
    <x v="0"/>
    <n v="1"/>
    <s v="Voluntary"/>
    <n v="2"/>
    <s v="Yes"/>
    <s v="No"/>
    <s v="No"/>
    <n v="3"/>
    <s v="Medium"/>
    <n v="47375"/>
    <n v="0.1"/>
    <n v="52112.500000000007"/>
  </r>
  <r>
    <s v="EMP0368"/>
    <s v="NA"/>
    <s v="USA"/>
    <x v="0"/>
    <s v="IC"/>
    <x v="67"/>
    <s v="FTE"/>
    <d v="2023-03-08T00:00:00"/>
    <s v="Active"/>
    <s v="Logistics"/>
    <s v="CC-Sup-232"/>
    <n v="5"/>
    <s v=""/>
    <n v="2"/>
    <x v="0"/>
    <n v="1"/>
    <s v=""/>
    <n v="4"/>
    <s v="No"/>
    <s v="No"/>
    <s v="No"/>
    <n v="1"/>
    <s v="High"/>
    <n v="39891"/>
    <n v="0.1"/>
    <n v="43880.100000000006"/>
  </r>
  <r>
    <s v="EMP0369"/>
    <s v="NA"/>
    <s v="USA"/>
    <x v="1"/>
    <s v="Manager"/>
    <x v="193"/>
    <s v="FTE"/>
    <d v="2023-03-07T00:00:00"/>
    <s v="Active"/>
    <s v="Controlling"/>
    <s v="CC-Fin-849"/>
    <n v="4"/>
    <s v=""/>
    <n v="2"/>
    <x v="0"/>
    <n v="1"/>
    <s v=""/>
    <n v="5"/>
    <s v="Yes"/>
    <s v="No"/>
    <s v="No"/>
    <n v="1"/>
    <s v="High"/>
    <n v="59598"/>
    <n v="0.15"/>
    <n v="68537.7"/>
  </r>
  <r>
    <s v="EMP0370"/>
    <s v="NA"/>
    <s v="USA"/>
    <x v="2"/>
    <s v="IC"/>
    <x v="191"/>
    <s v="FTE"/>
    <d v="2023-03-05T00:00:00"/>
    <s v="Inactive"/>
    <s v="Commercial"/>
    <s v="CC-Sal-188"/>
    <n v="5"/>
    <d v="2025-11-18T00:00:00"/>
    <n v="2"/>
    <x v="0"/>
    <n v="1"/>
    <s v="Voluntary"/>
    <n v="3"/>
    <s v="No"/>
    <s v="Yes"/>
    <s v="No"/>
    <n v="1"/>
    <s v="High"/>
    <n v="42557"/>
    <n v="0.1"/>
    <n v="46812.700000000004"/>
  </r>
  <r>
    <s v="EMP0371"/>
    <s v="NA"/>
    <s v="USA"/>
    <x v="4"/>
    <s v="IC"/>
    <x v="77"/>
    <s v="FTE"/>
    <d v="2023-02-27T00:00:00"/>
    <s v="Active"/>
    <s v="People Operations"/>
    <s v="CC-HR-825"/>
    <n v="5"/>
    <s v=""/>
    <n v="2"/>
    <x v="0"/>
    <n v="1"/>
    <s v=""/>
    <n v="2"/>
    <s v="No"/>
    <s v="No"/>
    <s v="No"/>
    <n v="1"/>
    <s v="High"/>
    <n v="32744"/>
    <n v="0.1"/>
    <n v="36018.400000000001"/>
  </r>
  <r>
    <s v="EMP0372"/>
    <s v="NA"/>
    <s v="USA"/>
    <x v="4"/>
    <s v="IC"/>
    <x v="62"/>
    <s v="FTE"/>
    <d v="2023-02-25T00:00:00"/>
    <s v="Active"/>
    <s v="People Operations"/>
    <s v="CC-HR-960"/>
    <n v="5"/>
    <s v=""/>
    <n v="2"/>
    <x v="0"/>
    <n v="1"/>
    <s v=""/>
    <n v="5"/>
    <s v="No"/>
    <s v="No"/>
    <s v="No"/>
    <n v="2"/>
    <s v="High"/>
    <n v="33862"/>
    <n v="0.1"/>
    <n v="37248.200000000004"/>
  </r>
  <r>
    <s v="EMP0373"/>
    <s v="NA"/>
    <s v="USA"/>
    <x v="0"/>
    <s v="Manager"/>
    <x v="194"/>
    <s v="FTE"/>
    <d v="2023-02-23T00:00:00"/>
    <s v="Active"/>
    <s v="Logistics"/>
    <s v="CC-Sup-507"/>
    <n v="4"/>
    <s v=""/>
    <n v="2"/>
    <x v="0"/>
    <n v="1"/>
    <s v=""/>
    <n v="5"/>
    <s v="No"/>
    <s v="No"/>
    <s v="No"/>
    <n v="2"/>
    <s v="High"/>
    <n v="76552"/>
    <n v="0.15"/>
    <n v="88034.799999999988"/>
  </r>
  <r>
    <s v="EMP0374"/>
    <s v="NA"/>
    <s v="USA"/>
    <x v="0"/>
    <s v="IC"/>
    <x v="8"/>
    <s v="FTE"/>
    <d v="2023-02-22T00:00:00"/>
    <s v="Active"/>
    <s v="Logistics"/>
    <s v="CC-Sup-377"/>
    <n v="5"/>
    <s v=""/>
    <n v="2"/>
    <x v="0"/>
    <n v="1"/>
    <s v=""/>
    <n v="2"/>
    <s v="No"/>
    <s v="No"/>
    <s v="No"/>
    <n v="5"/>
    <s v="Low"/>
    <n v="22826"/>
    <n v="0.1"/>
    <n v="25108.600000000002"/>
  </r>
  <r>
    <s v="EMP0375"/>
    <s v="NA"/>
    <s v="USA"/>
    <x v="5"/>
    <s v="IC"/>
    <x v="195"/>
    <s v="FTE"/>
    <d v="2023-02-20T00:00:00"/>
    <s v="Active"/>
    <s v="Technology"/>
    <s v="CC-IT-769"/>
    <n v="5"/>
    <s v=""/>
    <n v="3"/>
    <x v="1"/>
    <n v="0"/>
    <s v=""/>
    <n v="4"/>
    <s v="No"/>
    <s v="Yes"/>
    <s v="No"/>
    <n v="4"/>
    <s v="Low"/>
    <n v="30290"/>
    <n v="0.1"/>
    <n v="33319"/>
  </r>
  <r>
    <s v="EMP0376"/>
    <s v="NA"/>
    <s v="USA"/>
    <x v="5"/>
    <s v="Manager"/>
    <x v="79"/>
    <s v="FTE"/>
    <d v="2023-02-14T00:00:00"/>
    <s v="Inactive"/>
    <s v="Technology"/>
    <s v="CC-IT-955"/>
    <n v="4"/>
    <d v="2026-02-18T00:00:00"/>
    <n v="3"/>
    <x v="1"/>
    <n v="0"/>
    <s v="Voluntary"/>
    <n v="4"/>
    <s v="No"/>
    <s v="No"/>
    <s v="No"/>
    <n v="5"/>
    <s v="Low"/>
    <n v="60527"/>
    <n v="0.15"/>
    <n v="69606.049999999988"/>
  </r>
  <r>
    <s v="EMP0377"/>
    <s v="NA"/>
    <s v="USA"/>
    <x v="2"/>
    <s v="Manager"/>
    <x v="196"/>
    <s v="Contractor"/>
    <d v="2023-02-09T00:00:00"/>
    <s v="Active"/>
    <s v="Commercial"/>
    <s v="CC-Sal-709"/>
    <n v="4"/>
    <s v=""/>
    <n v="3"/>
    <x v="1"/>
    <n v="0"/>
    <s v=""/>
    <n v="3"/>
    <s v="No"/>
    <s v="No"/>
    <s v="No"/>
    <n v="3"/>
    <s v="Medium"/>
    <n v="74434"/>
    <n v="0.15"/>
    <n v="85599.099999999991"/>
  </r>
  <r>
    <s v="EMP0378"/>
    <s v="NA"/>
    <s v="USA"/>
    <x v="3"/>
    <s v="IC"/>
    <x v="197"/>
    <s v="FTE"/>
    <d v="2023-02-09T00:00:00"/>
    <s v="Active"/>
    <s v="Manufacturing"/>
    <s v="CC-Ope-657"/>
    <n v="5"/>
    <s v=""/>
    <n v="3"/>
    <x v="1"/>
    <n v="0"/>
    <s v=""/>
    <n v="4"/>
    <s v="No"/>
    <s v="No"/>
    <s v="No"/>
    <n v="5"/>
    <s v="Low"/>
    <n v="36114"/>
    <n v="0.1"/>
    <n v="39725.4"/>
  </r>
  <r>
    <s v="EMP0379"/>
    <s v="NA"/>
    <s v="USA"/>
    <x v="3"/>
    <s v="Manager"/>
    <x v="50"/>
    <s v="FTE"/>
    <d v="2023-02-07T00:00:00"/>
    <s v="Active"/>
    <s v="Manufacturing"/>
    <s v="CC-Ope-198"/>
    <n v="4"/>
    <s v=""/>
    <n v="3"/>
    <x v="1"/>
    <n v="0"/>
    <s v=""/>
    <n v="3"/>
    <s v="No"/>
    <s v="No"/>
    <s v="No"/>
    <n v="3"/>
    <s v="Medium"/>
    <n v="52643"/>
    <n v="0.15"/>
    <n v="60539.45"/>
  </r>
  <r>
    <s v="EMP0380"/>
    <s v="NA"/>
    <s v="USA"/>
    <x v="3"/>
    <s v="IC"/>
    <x v="84"/>
    <s v="FTE"/>
    <d v="2023-02-07T00:00:00"/>
    <s v="Active"/>
    <s v="Manufacturing"/>
    <s v="CC-Ope-454"/>
    <n v="5"/>
    <s v=""/>
    <n v="3"/>
    <x v="1"/>
    <n v="0"/>
    <s v=""/>
    <n v="4"/>
    <s v="No"/>
    <s v="No"/>
    <s v="No"/>
    <n v="3"/>
    <s v="Medium"/>
    <n v="31318"/>
    <n v="0.1"/>
    <n v="34449.800000000003"/>
  </r>
  <r>
    <s v="EMP0381"/>
    <s v="NA"/>
    <s v="USA"/>
    <x v="3"/>
    <s v="IC"/>
    <x v="195"/>
    <s v="Contractor"/>
    <d v="2023-02-07T00:00:00"/>
    <s v="Active"/>
    <s v="Manufacturing"/>
    <s v="CC-Ope-770"/>
    <n v="5"/>
    <s v=""/>
    <n v="3"/>
    <x v="1"/>
    <n v="0"/>
    <s v=""/>
    <n v="4"/>
    <s v="No"/>
    <s v="Yes"/>
    <s v="No"/>
    <n v="2"/>
    <s v="High"/>
    <n v="31004"/>
    <n v="0.1"/>
    <n v="34104.400000000001"/>
  </r>
  <r>
    <s v="EMP0382"/>
    <s v="NA"/>
    <s v="USA"/>
    <x v="3"/>
    <s v="IC"/>
    <x v="42"/>
    <s v="FTE"/>
    <d v="2023-02-03T00:00:00"/>
    <s v="Active"/>
    <s v="Manufacturing"/>
    <s v="CC-Ope-421"/>
    <n v="5"/>
    <s v=""/>
    <n v="3"/>
    <x v="1"/>
    <n v="0"/>
    <s v=""/>
    <n v="2"/>
    <s v="Yes"/>
    <s v="No"/>
    <s v="No"/>
    <n v="3"/>
    <s v="Medium"/>
    <n v="32962"/>
    <n v="0.1"/>
    <n v="36258.200000000004"/>
  </r>
  <r>
    <s v="EMP0383"/>
    <s v="NA"/>
    <s v="USA"/>
    <x v="5"/>
    <s v="Manager"/>
    <x v="90"/>
    <s v="FTE"/>
    <d v="2023-02-02T00:00:00"/>
    <s v="Active"/>
    <s v="Technology"/>
    <s v="CC-IT-808"/>
    <n v="4"/>
    <s v=""/>
    <n v="3"/>
    <x v="1"/>
    <n v="0"/>
    <s v=""/>
    <n v="2"/>
    <s v="No"/>
    <s v="No"/>
    <s v="No"/>
    <n v="5"/>
    <s v="Low"/>
    <n v="87564"/>
    <n v="0.15"/>
    <n v="100698.59999999999"/>
  </r>
  <r>
    <s v="EMP0384"/>
    <s v="NA"/>
    <s v="USA"/>
    <x v="2"/>
    <s v="IC"/>
    <x v="190"/>
    <s v="FTE"/>
    <d v="2023-01-24T00:00:00"/>
    <s v="Active"/>
    <s v="Commercial"/>
    <s v="CC-Sal-603"/>
    <n v="5"/>
    <s v=""/>
    <n v="3"/>
    <x v="1"/>
    <n v="0"/>
    <s v=""/>
    <n v="2"/>
    <s v="No"/>
    <s v="No"/>
    <s v="No"/>
    <n v="4"/>
    <s v="Low"/>
    <n v="39795"/>
    <n v="0.1"/>
    <n v="43774.5"/>
  </r>
  <r>
    <s v="EMP0385"/>
    <s v="NA"/>
    <s v="USA"/>
    <x v="0"/>
    <s v="Director"/>
    <x v="43"/>
    <s v="FTE"/>
    <d v="2023-01-23T00:00:00"/>
    <s v="Active"/>
    <s v="Logistics"/>
    <s v="CC-Sup-559"/>
    <n v="3"/>
    <s v=""/>
    <n v="3"/>
    <x v="1"/>
    <n v="0"/>
    <s v=""/>
    <n v="3"/>
    <s v="No"/>
    <s v="No"/>
    <s v="No"/>
    <n v="2"/>
    <s v="High"/>
    <n v="131161"/>
    <n v="0.2"/>
    <n v="157393.19999999998"/>
  </r>
  <r>
    <s v="EMP0386"/>
    <s v="NA"/>
    <s v="USA"/>
    <x v="0"/>
    <s v="Manager"/>
    <x v="198"/>
    <s v="FTE"/>
    <d v="2023-01-15T00:00:00"/>
    <s v="Active"/>
    <s v="Logistics"/>
    <s v="CC-Sup-223"/>
    <n v="4"/>
    <s v=""/>
    <n v="3"/>
    <x v="1"/>
    <n v="0"/>
    <s v=""/>
    <n v="3"/>
    <s v="No"/>
    <s v="Yes"/>
    <s v="Yes"/>
    <n v="1"/>
    <s v="High"/>
    <n v="66132"/>
    <n v="0.15"/>
    <n v="76051.799999999988"/>
  </r>
  <r>
    <s v="EMP0387"/>
    <s v="NA"/>
    <s v="USA"/>
    <x v="5"/>
    <s v="IC"/>
    <x v="47"/>
    <s v="FTE"/>
    <d v="2023-01-15T00:00:00"/>
    <s v="Active"/>
    <s v="Technology"/>
    <s v="CC-IT-455"/>
    <n v="5"/>
    <s v=""/>
    <n v="3"/>
    <x v="1"/>
    <n v="0"/>
    <s v=""/>
    <n v="4"/>
    <s v="No"/>
    <s v="No"/>
    <s v="No"/>
    <n v="2"/>
    <s v="High"/>
    <n v="37392"/>
    <n v="0.1"/>
    <n v="41131.200000000004"/>
  </r>
  <r>
    <s v="EMP0388"/>
    <s v="NA"/>
    <s v="USA"/>
    <x v="1"/>
    <s v="IC"/>
    <x v="147"/>
    <s v="FTE"/>
    <d v="2023-01-10T00:00:00"/>
    <s v="Active"/>
    <s v="Controlling"/>
    <s v="CC-Fin-179"/>
    <n v="5"/>
    <s v=""/>
    <n v="3"/>
    <x v="1"/>
    <n v="0"/>
    <s v=""/>
    <n v="2"/>
    <s v="Yes"/>
    <s v="No"/>
    <s v="No"/>
    <n v="5"/>
    <s v="Low"/>
    <n v="25673"/>
    <n v="0.1"/>
    <n v="28240.300000000003"/>
  </r>
  <r>
    <s v="EMP0389"/>
    <s v="NA"/>
    <s v="USA"/>
    <x v="3"/>
    <s v="IC"/>
    <x v="85"/>
    <s v="FTE"/>
    <d v="2023-01-09T00:00:00"/>
    <s v="Active"/>
    <s v="Manufacturing"/>
    <s v="CC-Ope-489"/>
    <n v="5"/>
    <s v=""/>
    <n v="3"/>
    <x v="1"/>
    <n v="0"/>
    <s v=""/>
    <n v="3"/>
    <s v="No"/>
    <s v="No"/>
    <s v="No"/>
    <n v="4"/>
    <s v="Low"/>
    <n v="28232"/>
    <n v="0.1"/>
    <n v="31055.200000000001"/>
  </r>
  <r>
    <s v="EMP0390"/>
    <s v="NA"/>
    <s v="USA"/>
    <x v="2"/>
    <s v="IC"/>
    <x v="136"/>
    <s v="Contractor"/>
    <d v="2023-01-07T00:00:00"/>
    <s v="Active"/>
    <s v="Commercial"/>
    <s v="CC-Sal-753"/>
    <n v="5"/>
    <s v=""/>
    <n v="3"/>
    <x v="1"/>
    <n v="0"/>
    <s v=""/>
    <n v="4"/>
    <s v="Yes"/>
    <s v="No"/>
    <s v="No"/>
    <n v="3"/>
    <s v="Medium"/>
    <n v="35506"/>
    <n v="0.1"/>
    <n v="39056.600000000006"/>
  </r>
  <r>
    <s v="EMP0391"/>
    <s v="NA"/>
    <s v="USA"/>
    <x v="1"/>
    <s v="IC"/>
    <x v="147"/>
    <s v="FTE"/>
    <d v="2023-01-02T00:00:00"/>
    <s v="Active"/>
    <s v="Controlling"/>
    <s v="CC-Fin-954"/>
    <n v="5"/>
    <s v=""/>
    <n v="3"/>
    <x v="1"/>
    <n v="0"/>
    <s v=""/>
    <n v="3"/>
    <s v="No"/>
    <s v="No"/>
    <s v="No"/>
    <n v="2"/>
    <s v="High"/>
    <n v="20603"/>
    <n v="0.1"/>
    <n v="22663.300000000003"/>
  </r>
  <r>
    <s v="EMP0392"/>
    <s v="NA"/>
    <s v="USA"/>
    <x v="4"/>
    <s v="IC"/>
    <x v="199"/>
    <s v="FTE"/>
    <d v="2022-12-27T00:00:00"/>
    <s v="Active"/>
    <s v="People Operations"/>
    <s v="CC-HR-261"/>
    <n v="5"/>
    <s v=""/>
    <n v="3"/>
    <x v="1"/>
    <n v="0"/>
    <s v=""/>
    <n v="4"/>
    <s v="No"/>
    <s v="No"/>
    <s v="No"/>
    <n v="4"/>
    <s v="Low"/>
    <n v="37629"/>
    <n v="0.1"/>
    <n v="41391.9"/>
  </r>
  <r>
    <s v="EMP0393"/>
    <s v="NA"/>
    <s v="USA"/>
    <x v="5"/>
    <s v="IC"/>
    <x v="82"/>
    <s v="FTE"/>
    <d v="2022-12-22T00:00:00"/>
    <s v="Active"/>
    <s v="Technology"/>
    <s v="CC-IT-742"/>
    <n v="5"/>
    <s v=""/>
    <n v="3"/>
    <x v="1"/>
    <n v="0"/>
    <s v=""/>
    <n v="3"/>
    <s v="No"/>
    <s v="No"/>
    <s v="No"/>
    <n v="4"/>
    <s v="Low"/>
    <n v="42823"/>
    <n v="0.1"/>
    <n v="47105.3"/>
  </r>
  <r>
    <s v="EMP0394"/>
    <s v="NA"/>
    <s v="USA"/>
    <x v="4"/>
    <s v="Manager"/>
    <x v="200"/>
    <s v="FTE"/>
    <d v="2022-12-19T00:00:00"/>
    <s v="Inactive"/>
    <s v="People Operations"/>
    <s v="CC-HR-759"/>
    <n v="4"/>
    <d v="2026-02-18T00:00:00"/>
    <n v="3"/>
    <x v="1"/>
    <n v="0"/>
    <s v="Voluntary"/>
    <n v="4"/>
    <s v="No"/>
    <s v="No"/>
    <s v="No"/>
    <n v="5"/>
    <s v="Low"/>
    <n v="56933"/>
    <n v="0.15"/>
    <n v="65472.95"/>
  </r>
  <r>
    <s v="EMP0395"/>
    <s v="NA"/>
    <s v="USA"/>
    <x v="1"/>
    <s v="IC"/>
    <x v="18"/>
    <s v="FTE"/>
    <d v="2022-12-19T00:00:00"/>
    <s v="Active"/>
    <s v="Controlling"/>
    <s v="CC-Fin-202"/>
    <n v="5"/>
    <s v=""/>
    <n v="3"/>
    <x v="1"/>
    <n v="0"/>
    <s v=""/>
    <n v="3"/>
    <s v="No"/>
    <s v="No"/>
    <s v="No"/>
    <n v="5"/>
    <s v="Low"/>
    <n v="34809"/>
    <n v="0.1"/>
    <n v="38289.9"/>
  </r>
  <r>
    <s v="EMP0396"/>
    <s v="NA"/>
    <s v="USA"/>
    <x v="2"/>
    <s v="IC"/>
    <x v="104"/>
    <s v="FTE"/>
    <d v="2022-12-17T00:00:00"/>
    <s v="Inactive"/>
    <s v="Commercial"/>
    <s v="CC-Sal-542"/>
    <n v="5"/>
    <d v="2024-02-07T00:00:00"/>
    <n v="1"/>
    <x v="0"/>
    <n v="1"/>
    <s v="Voluntary"/>
    <n v="5"/>
    <s v="No"/>
    <s v="No"/>
    <s v="No"/>
    <n v="1"/>
    <s v="High"/>
    <n v="49682"/>
    <n v="0.1"/>
    <n v="54650.200000000004"/>
  </r>
  <r>
    <s v="EMP0397"/>
    <s v="NA"/>
    <s v="USA"/>
    <x v="2"/>
    <s v="IC"/>
    <x v="201"/>
    <s v="FTE"/>
    <d v="2022-12-13T00:00:00"/>
    <s v="Active"/>
    <s v="Commercial"/>
    <s v="CC-Sal-214"/>
    <n v="5"/>
    <s v=""/>
    <n v="3"/>
    <x v="1"/>
    <n v="0"/>
    <s v=""/>
    <n v="3"/>
    <s v="No"/>
    <s v="No"/>
    <s v="No"/>
    <n v="3"/>
    <s v="Medium"/>
    <n v="22533"/>
    <n v="0.1"/>
    <n v="24786.300000000003"/>
  </r>
  <r>
    <s v="EMP0398"/>
    <s v="NA"/>
    <s v="USA"/>
    <x v="3"/>
    <s v="Manager"/>
    <x v="137"/>
    <s v="FTE"/>
    <d v="2022-12-11T00:00:00"/>
    <s v="Active"/>
    <s v="Manufacturing"/>
    <s v="CC-Ope-178"/>
    <n v="4"/>
    <s v=""/>
    <n v="3"/>
    <x v="1"/>
    <n v="0"/>
    <s v=""/>
    <n v="4"/>
    <s v="No"/>
    <s v="No"/>
    <s v="No"/>
    <n v="1"/>
    <s v="High"/>
    <n v="68074"/>
    <n v="0.15"/>
    <n v="78285.099999999991"/>
  </r>
  <r>
    <s v="EMP0399"/>
    <s v="NA"/>
    <s v="USA"/>
    <x v="5"/>
    <s v="IC"/>
    <x v="71"/>
    <s v="FTE"/>
    <d v="2022-12-11T00:00:00"/>
    <s v="Active"/>
    <s v="Technology"/>
    <s v="CC-IT-317"/>
    <n v="5"/>
    <s v=""/>
    <n v="3"/>
    <x v="1"/>
    <n v="0"/>
    <s v=""/>
    <n v="3"/>
    <s v="Yes"/>
    <s v="No"/>
    <s v="No"/>
    <n v="3"/>
    <s v="Medium"/>
    <n v="35582"/>
    <n v="0.1"/>
    <n v="39140.200000000004"/>
  </r>
  <r>
    <s v="EMP0400"/>
    <s v="NA"/>
    <s v="USA"/>
    <x v="2"/>
    <s v="Director"/>
    <x v="11"/>
    <s v="FTE"/>
    <d v="2022-12-10T00:00:00"/>
    <s v="Active"/>
    <s v="Commercial"/>
    <s v="CC-Sal-253"/>
    <n v="3"/>
    <s v=""/>
    <n v="3"/>
    <x v="1"/>
    <n v="0"/>
    <s v=""/>
    <n v="5"/>
    <s v="No"/>
    <s v="Yes"/>
    <s v="No"/>
    <n v="4"/>
    <s v="Low"/>
    <n v="130491"/>
    <n v="0.2"/>
    <n v="156589.19999999998"/>
  </r>
  <r>
    <s v="EMP0401"/>
    <s v="NA"/>
    <s v="USA"/>
    <x v="5"/>
    <s v="IC"/>
    <x v="190"/>
    <s v="Contractor"/>
    <d v="2022-12-10T00:00:00"/>
    <s v="Active"/>
    <s v="Technology"/>
    <s v="CC-IT-941"/>
    <n v="5"/>
    <s v=""/>
    <n v="3"/>
    <x v="1"/>
    <n v="0"/>
    <s v=""/>
    <n v="4"/>
    <s v="No"/>
    <s v="No"/>
    <s v="No"/>
    <n v="3"/>
    <s v="Medium"/>
    <n v="39356"/>
    <n v="0.1"/>
    <n v="43291.600000000006"/>
  </r>
  <r>
    <s v="EMP0402"/>
    <s v="NA"/>
    <s v="USA"/>
    <x v="0"/>
    <s v="IC"/>
    <x v="31"/>
    <s v="FTE"/>
    <d v="2022-12-08T00:00:00"/>
    <s v="Active"/>
    <s v="Logistics"/>
    <s v="CC-Sup-857"/>
    <n v="5"/>
    <s v=""/>
    <n v="3"/>
    <x v="1"/>
    <n v="0"/>
    <s v=""/>
    <n v="3"/>
    <s v="Yes"/>
    <s v="No"/>
    <s v="No"/>
    <n v="3"/>
    <s v="Medium"/>
    <n v="36156"/>
    <n v="0.1"/>
    <n v="39771.600000000006"/>
  </r>
  <r>
    <s v="EMP0403"/>
    <s v="NA"/>
    <s v="USA"/>
    <x v="0"/>
    <s v="IC"/>
    <x v="122"/>
    <s v="FTE"/>
    <d v="2022-12-06T00:00:00"/>
    <s v="Active"/>
    <s v="Logistics"/>
    <s v="CC-Sup-843"/>
    <n v="5"/>
    <s v=""/>
    <n v="3"/>
    <x v="1"/>
    <n v="0"/>
    <s v=""/>
    <n v="3"/>
    <s v="No"/>
    <s v="No"/>
    <s v="No"/>
    <n v="2"/>
    <s v="High"/>
    <n v="24215"/>
    <n v="0.1"/>
    <n v="26636.500000000004"/>
  </r>
  <r>
    <s v="EMP0404"/>
    <s v="NA"/>
    <s v="USA"/>
    <x v="2"/>
    <s v="IC"/>
    <x v="185"/>
    <s v="FTE"/>
    <d v="2022-12-05T00:00:00"/>
    <s v="Active"/>
    <s v="Commercial"/>
    <s v="CC-Sal-813"/>
    <n v="5"/>
    <s v=""/>
    <n v="3"/>
    <x v="1"/>
    <n v="0"/>
    <s v=""/>
    <n v="2"/>
    <s v="Yes"/>
    <s v="No"/>
    <s v="No"/>
    <n v="2"/>
    <s v="High"/>
    <n v="43097"/>
    <n v="0.1"/>
    <n v="47406.700000000004"/>
  </r>
  <r>
    <s v="EMP0405"/>
    <s v="NA"/>
    <s v="USA"/>
    <x v="5"/>
    <s v="IC"/>
    <x v="24"/>
    <s v="FTE"/>
    <d v="2022-12-04T00:00:00"/>
    <s v="Active"/>
    <s v="Technology"/>
    <s v="CC-IT-536"/>
    <n v="5"/>
    <s v=""/>
    <n v="3"/>
    <x v="1"/>
    <n v="0"/>
    <s v=""/>
    <n v="3"/>
    <s v="No"/>
    <s v="No"/>
    <s v="No"/>
    <n v="5"/>
    <s v="Low"/>
    <n v="41265"/>
    <n v="0.1"/>
    <n v="45391.500000000007"/>
  </r>
  <r>
    <s v="EMP0406"/>
    <s v="NA"/>
    <s v="USA"/>
    <x v="3"/>
    <s v="IC"/>
    <x v="14"/>
    <s v="FTE"/>
    <d v="2022-12-01T00:00:00"/>
    <s v="Active"/>
    <s v="Manufacturing"/>
    <s v="CC-Ope-766"/>
    <n v="5"/>
    <s v=""/>
    <n v="3"/>
    <x v="1"/>
    <n v="0"/>
    <s v=""/>
    <n v="4"/>
    <s v="Yes"/>
    <s v="No"/>
    <s v="No"/>
    <n v="1"/>
    <s v="High"/>
    <n v="30107"/>
    <n v="0.1"/>
    <n v="33117.700000000004"/>
  </r>
  <r>
    <s v="EMP0407"/>
    <s v="NA"/>
    <s v="USA"/>
    <x v="2"/>
    <s v="IC"/>
    <x v="36"/>
    <s v="FTE"/>
    <d v="2022-11-24T00:00:00"/>
    <s v="Active"/>
    <s v="Commercial"/>
    <s v="CC-Sal-549"/>
    <n v="5"/>
    <s v=""/>
    <n v="3"/>
    <x v="1"/>
    <n v="0"/>
    <s v=""/>
    <n v="3"/>
    <s v="No"/>
    <s v="No"/>
    <s v="No"/>
    <n v="4"/>
    <s v="Low"/>
    <n v="21028"/>
    <n v="0.1"/>
    <n v="23130.800000000003"/>
  </r>
  <r>
    <s v="EMP0408"/>
    <s v="NA"/>
    <s v="USA"/>
    <x v="5"/>
    <s v="IC"/>
    <x v="73"/>
    <s v="FTE"/>
    <d v="2022-11-18T00:00:00"/>
    <s v="Active"/>
    <s v="Technology"/>
    <s v="CC-IT-550"/>
    <n v="5"/>
    <s v=""/>
    <n v="3"/>
    <x v="1"/>
    <n v="0"/>
    <s v=""/>
    <n v="5"/>
    <s v="No"/>
    <s v="No"/>
    <s v="No"/>
    <n v="1"/>
    <s v="High"/>
    <n v="33218"/>
    <n v="0.1"/>
    <n v="36539.800000000003"/>
  </r>
  <r>
    <s v="EMP0409"/>
    <s v="NA"/>
    <s v="USA"/>
    <x v="3"/>
    <s v="IC"/>
    <x v="77"/>
    <s v="Contractor"/>
    <d v="2022-11-18T00:00:00"/>
    <s v="Inactive"/>
    <s v="Manufacturing"/>
    <s v="CC-Ope-593"/>
    <n v="5"/>
    <d v="2026-02-18T00:00:00"/>
    <n v="3"/>
    <x v="1"/>
    <n v="0"/>
    <s v="Involuntary"/>
    <n v="4"/>
    <s v="Yes"/>
    <s v="No"/>
    <s v="No"/>
    <n v="5"/>
    <s v="Low"/>
    <n v="44831"/>
    <n v="0.1"/>
    <n v="49314.100000000006"/>
  </r>
  <r>
    <s v="EMP0410"/>
    <s v="NA"/>
    <s v="USA"/>
    <x v="0"/>
    <s v="Manager"/>
    <x v="100"/>
    <s v="FTE"/>
    <d v="2022-11-17T00:00:00"/>
    <s v="Inactive"/>
    <s v="Logistics"/>
    <s v="CC-Sup-903"/>
    <n v="4"/>
    <d v="2026-02-18T00:00:00"/>
    <n v="3"/>
    <x v="1"/>
    <n v="0"/>
    <s v="Involuntary"/>
    <n v="4"/>
    <s v="No"/>
    <s v="No"/>
    <s v="No"/>
    <n v="4"/>
    <s v="Low"/>
    <n v="57110"/>
    <n v="0.15"/>
    <n v="65676.5"/>
  </r>
  <r>
    <s v="EMP0411"/>
    <s v="NA"/>
    <s v="USA"/>
    <x v="4"/>
    <s v="IC"/>
    <x v="202"/>
    <s v="FTE"/>
    <d v="2022-11-17T00:00:00"/>
    <s v="Active"/>
    <s v="People Operations"/>
    <s v="CC-HR-777"/>
    <n v="5"/>
    <s v=""/>
    <n v="3"/>
    <x v="1"/>
    <n v="0"/>
    <s v=""/>
    <n v="2"/>
    <s v="Yes"/>
    <s v="No"/>
    <s v="No"/>
    <n v="4"/>
    <s v="Low"/>
    <n v="25430"/>
    <n v="0.1"/>
    <n v="27973.000000000004"/>
  </r>
  <r>
    <s v="EMP0412"/>
    <s v="NA"/>
    <s v="USA"/>
    <x v="5"/>
    <s v="IC"/>
    <x v="203"/>
    <s v="FTE"/>
    <d v="2022-11-16T00:00:00"/>
    <s v="Active"/>
    <s v="Technology"/>
    <s v="CC-IT-472"/>
    <n v="5"/>
    <s v=""/>
    <n v="3"/>
    <x v="1"/>
    <n v="0"/>
    <s v=""/>
    <n v="5"/>
    <s v="No"/>
    <s v="No"/>
    <s v="No"/>
    <n v="5"/>
    <s v="Low"/>
    <n v="25607"/>
    <n v="0.1"/>
    <n v="28167.7"/>
  </r>
  <r>
    <s v="EMP0413"/>
    <s v="NA"/>
    <s v="USA"/>
    <x v="2"/>
    <s v="Manager"/>
    <x v="106"/>
    <s v="FTE"/>
    <d v="2022-11-13T00:00:00"/>
    <s v="Inactive"/>
    <s v="Commercial"/>
    <s v="CC-Sal-936"/>
    <n v="4"/>
    <d v="2025-06-15T00:00:00"/>
    <n v="2"/>
    <x v="0"/>
    <n v="1"/>
    <s v="Involuntary"/>
    <n v="3"/>
    <s v="No"/>
    <s v="No"/>
    <s v="No"/>
    <n v="3"/>
    <s v="Medium"/>
    <n v="84026"/>
    <n v="0.15"/>
    <n v="96629.9"/>
  </r>
  <r>
    <s v="EMP0414"/>
    <s v="NA"/>
    <s v="USA"/>
    <x v="0"/>
    <s v="IC"/>
    <x v="95"/>
    <s v="FTE"/>
    <d v="2022-11-13T00:00:00"/>
    <s v="Active"/>
    <s v="Logistics"/>
    <s v="CC-Sup-535"/>
    <n v="5"/>
    <s v=""/>
    <n v="3"/>
    <x v="1"/>
    <n v="0"/>
    <s v=""/>
    <n v="4"/>
    <s v="Yes"/>
    <s v="Yes"/>
    <s v="No"/>
    <n v="4"/>
    <s v="Low"/>
    <n v="33979"/>
    <n v="0.1"/>
    <n v="37376.9"/>
  </r>
  <r>
    <s v="EMP0415"/>
    <s v="NA"/>
    <s v="USA"/>
    <x v="2"/>
    <s v="IC"/>
    <x v="203"/>
    <s v="FTE"/>
    <d v="2022-11-12T00:00:00"/>
    <s v="Active"/>
    <s v="Commercial"/>
    <s v="CC-Sal-389"/>
    <n v="5"/>
    <s v=""/>
    <n v="3"/>
    <x v="1"/>
    <n v="0"/>
    <s v=""/>
    <n v="4"/>
    <s v="No"/>
    <s v="No"/>
    <s v="No"/>
    <n v="1"/>
    <s v="High"/>
    <n v="46671"/>
    <n v="0.1"/>
    <n v="51338.100000000006"/>
  </r>
  <r>
    <s v="EMP0416"/>
    <s v="NA"/>
    <s v="USA"/>
    <x v="4"/>
    <s v="Director"/>
    <x v="53"/>
    <s v="FTE"/>
    <d v="2022-11-08T00:00:00"/>
    <s v="Active"/>
    <s v="People Operations"/>
    <s v="CC-HR-279"/>
    <n v="3"/>
    <s v=""/>
    <n v="3"/>
    <x v="1"/>
    <n v="0"/>
    <s v=""/>
    <n v="4"/>
    <s v="No"/>
    <s v="No"/>
    <s v="No"/>
    <n v="5"/>
    <s v="Low"/>
    <n v="125260"/>
    <n v="0.2"/>
    <n v="150312"/>
  </r>
  <r>
    <s v="EMP0417"/>
    <s v="NA"/>
    <s v="USA"/>
    <x v="2"/>
    <s v="IC"/>
    <x v="204"/>
    <s v="FTE"/>
    <d v="2022-11-05T00:00:00"/>
    <s v="Active"/>
    <s v="Commercial"/>
    <s v="CC-Sal-930"/>
    <n v="5"/>
    <s v=""/>
    <n v="3"/>
    <x v="1"/>
    <n v="0"/>
    <s v=""/>
    <n v="3"/>
    <s v="No"/>
    <s v="No"/>
    <s v="No"/>
    <n v="1"/>
    <s v="High"/>
    <n v="41740"/>
    <n v="0.1"/>
    <n v="45914.000000000007"/>
  </r>
  <r>
    <s v="EMP0418"/>
    <s v="NA"/>
    <s v="USA"/>
    <x v="3"/>
    <s v="IC"/>
    <x v="13"/>
    <s v="FTE"/>
    <d v="2022-11-03T00:00:00"/>
    <s v="Active"/>
    <s v="Manufacturing"/>
    <s v="CC-Ope-723"/>
    <n v="5"/>
    <s v=""/>
    <n v="3"/>
    <x v="1"/>
    <n v="0"/>
    <s v=""/>
    <n v="3"/>
    <s v="No"/>
    <s v="No"/>
    <s v="No"/>
    <n v="5"/>
    <s v="Low"/>
    <n v="28124"/>
    <n v="0.1"/>
    <n v="30936.400000000001"/>
  </r>
  <r>
    <s v="EMP0419"/>
    <s v="NA"/>
    <s v="USA"/>
    <x v="2"/>
    <s v="IC"/>
    <x v="156"/>
    <s v="FTE"/>
    <d v="2022-11-02T00:00:00"/>
    <s v="Active"/>
    <s v="Commercial"/>
    <s v="CC-Sal-108"/>
    <n v="5"/>
    <s v=""/>
    <n v="3"/>
    <x v="1"/>
    <n v="0"/>
    <s v=""/>
    <n v="2"/>
    <s v="No"/>
    <s v="No"/>
    <s v="No"/>
    <n v="5"/>
    <s v="Low"/>
    <n v="42450"/>
    <n v="0.1"/>
    <n v="46695.000000000007"/>
  </r>
  <r>
    <s v="EMP0420"/>
    <s v="NA"/>
    <s v="USA"/>
    <x v="0"/>
    <s v="IC"/>
    <x v="134"/>
    <s v="FTE"/>
    <d v="2022-10-26T00:00:00"/>
    <s v="Active"/>
    <s v="Logistics"/>
    <s v="CC-Sup-508"/>
    <n v="5"/>
    <s v=""/>
    <n v="3"/>
    <x v="1"/>
    <n v="0"/>
    <s v=""/>
    <n v="4"/>
    <s v="No"/>
    <s v="No"/>
    <s v="No"/>
    <n v="1"/>
    <s v="High"/>
    <n v="44137"/>
    <n v="0.1"/>
    <n v="48550.700000000004"/>
  </r>
  <r>
    <s v="EMP0421"/>
    <s v="LATAM"/>
    <s v="Mexico"/>
    <x v="5"/>
    <s v="IC"/>
    <x v="44"/>
    <s v="FTE"/>
    <d v="2022-10-23T00:00:00"/>
    <s v="Inactive"/>
    <s v="Technology"/>
    <s v="CC-IT-886"/>
    <n v="5"/>
    <d v="2026-02-18T00:00:00"/>
    <n v="3"/>
    <x v="1"/>
    <n v="0"/>
    <s v="Voluntary"/>
    <n v="4"/>
    <s v="No"/>
    <s v="No"/>
    <s v="No"/>
    <n v="3"/>
    <s v="Medium"/>
    <n v="34265"/>
    <n v="0.1"/>
    <n v="37691.5"/>
  </r>
  <r>
    <s v="EMP0422"/>
    <s v="LATAM"/>
    <s v="Mexico"/>
    <x v="0"/>
    <s v="IC"/>
    <x v="49"/>
    <s v="FTE"/>
    <d v="2022-10-21T00:00:00"/>
    <s v="Active"/>
    <s v="Logistics"/>
    <s v="CC-Sup-988"/>
    <n v="5"/>
    <s v=""/>
    <n v="3"/>
    <x v="1"/>
    <n v="0"/>
    <s v=""/>
    <n v="4"/>
    <s v="No"/>
    <s v="No"/>
    <s v="No"/>
    <n v="2"/>
    <s v="High"/>
    <n v="29741"/>
    <n v="0.1"/>
    <n v="32715.100000000002"/>
  </r>
  <r>
    <s v="EMP0423"/>
    <s v="LATAM"/>
    <s v="Mexico"/>
    <x v="4"/>
    <s v="Manager"/>
    <x v="205"/>
    <s v="FTE"/>
    <d v="2022-10-19T00:00:00"/>
    <s v="Active"/>
    <s v="People Operations"/>
    <s v="CC-HR-844"/>
    <n v="4"/>
    <s v=""/>
    <n v="3"/>
    <x v="1"/>
    <n v="0"/>
    <s v=""/>
    <n v="2"/>
    <s v="Yes"/>
    <s v="No"/>
    <s v="No"/>
    <n v="1"/>
    <s v="High"/>
    <n v="51996"/>
    <n v="0.15"/>
    <n v="59795.399999999994"/>
  </r>
  <r>
    <s v="EMP0424"/>
    <s v="LATAM"/>
    <s v="Mexico"/>
    <x v="2"/>
    <s v="IC"/>
    <x v="170"/>
    <s v="FTE"/>
    <d v="2022-10-19T00:00:00"/>
    <s v="Active"/>
    <s v="Commercial"/>
    <s v="CC-Sal-604"/>
    <n v="5"/>
    <s v=""/>
    <n v="3"/>
    <x v="1"/>
    <n v="0"/>
    <s v=""/>
    <n v="4"/>
    <s v="No"/>
    <s v="No"/>
    <s v="No"/>
    <n v="1"/>
    <s v="High"/>
    <n v="40278"/>
    <n v="0.1"/>
    <n v="44305.8"/>
  </r>
  <r>
    <s v="EMP0425"/>
    <s v="LATAM"/>
    <s v="Mexico"/>
    <x v="1"/>
    <s v="Manager"/>
    <x v="33"/>
    <s v="FTE"/>
    <d v="2022-10-09T00:00:00"/>
    <s v="Active"/>
    <s v="Controlling"/>
    <s v="CC-Fin-851"/>
    <n v="4"/>
    <s v=""/>
    <n v="3"/>
    <x v="1"/>
    <n v="0"/>
    <s v=""/>
    <n v="4"/>
    <s v="Yes"/>
    <s v="No"/>
    <s v="No"/>
    <n v="5"/>
    <s v="Low"/>
    <n v="66727"/>
    <n v="0.15"/>
    <n v="76736.049999999988"/>
  </r>
  <r>
    <s v="EMP0426"/>
    <s v="LATAM"/>
    <s v="Mexico"/>
    <x v="3"/>
    <s v="IC"/>
    <x v="120"/>
    <s v="FTE"/>
    <d v="2022-10-06T00:00:00"/>
    <s v="Active"/>
    <s v="Manufacturing"/>
    <s v="CC-Ope-177"/>
    <n v="5"/>
    <s v=""/>
    <n v="3"/>
    <x v="1"/>
    <n v="0"/>
    <s v=""/>
    <n v="3"/>
    <s v="No"/>
    <s v="No"/>
    <s v="No"/>
    <n v="2"/>
    <s v="High"/>
    <n v="43691"/>
    <n v="0.1"/>
    <n v="48060.100000000006"/>
  </r>
  <r>
    <s v="EMP0427"/>
    <s v="LATAM"/>
    <s v="Mexico"/>
    <x v="5"/>
    <s v="Director"/>
    <x v="206"/>
    <s v="FTE"/>
    <d v="2022-09-28T00:00:00"/>
    <s v="Active"/>
    <s v="Technology"/>
    <s v="CC-IT-586"/>
    <n v="3"/>
    <s v=""/>
    <n v="3"/>
    <x v="1"/>
    <n v="0"/>
    <s v=""/>
    <n v="5"/>
    <s v="No"/>
    <s v="Yes"/>
    <s v="No"/>
    <n v="5"/>
    <s v="Low"/>
    <n v="97654"/>
    <n v="0.2"/>
    <n v="117184.8"/>
  </r>
  <r>
    <s v="EMP0428"/>
    <s v="LATAM"/>
    <s v="Mexico"/>
    <x v="1"/>
    <s v="Manager"/>
    <x v="106"/>
    <s v="FTE"/>
    <d v="2022-09-26T00:00:00"/>
    <s v="Active"/>
    <s v="Controlling"/>
    <s v="CC-Fin-659"/>
    <n v="4"/>
    <s v=""/>
    <n v="3"/>
    <x v="1"/>
    <n v="0"/>
    <s v=""/>
    <n v="3"/>
    <s v="No"/>
    <s v="No"/>
    <s v="No"/>
    <n v="3"/>
    <s v="Medium"/>
    <n v="75168"/>
    <n v="0.15"/>
    <n v="86443.199999999997"/>
  </r>
  <r>
    <s v="EMP0429"/>
    <s v="LATAM"/>
    <s v="Mexico"/>
    <x v="2"/>
    <s v="IC"/>
    <x v="157"/>
    <s v="FTE"/>
    <d v="2022-09-22T00:00:00"/>
    <s v="Active"/>
    <s v="Commercial"/>
    <s v="CC-Sal-198"/>
    <n v="5"/>
    <s v=""/>
    <n v="3"/>
    <x v="1"/>
    <n v="0"/>
    <s v=""/>
    <n v="4"/>
    <s v="No"/>
    <s v="No"/>
    <s v="No"/>
    <n v="3"/>
    <s v="Medium"/>
    <n v="33823"/>
    <n v="0.1"/>
    <n v="37205.300000000003"/>
  </r>
  <r>
    <s v="EMP0430"/>
    <s v="LATAM"/>
    <s v="Mexico"/>
    <x v="5"/>
    <s v="IC"/>
    <x v="20"/>
    <s v="FTE"/>
    <d v="2022-09-11T00:00:00"/>
    <s v="Active"/>
    <s v="Technology"/>
    <s v="CC-IT-572"/>
    <n v="5"/>
    <s v=""/>
    <n v="3"/>
    <x v="1"/>
    <n v="0"/>
    <s v=""/>
    <n v="4"/>
    <s v="Yes"/>
    <s v="No"/>
    <s v="No"/>
    <n v="2"/>
    <s v="High"/>
    <n v="35780"/>
    <n v="0.1"/>
    <n v="39358"/>
  </r>
  <r>
    <s v="EMP0431"/>
    <s v="LATAM"/>
    <s v="Mexico"/>
    <x v="1"/>
    <s v="Manager"/>
    <x v="207"/>
    <s v="FTE"/>
    <d v="2022-09-10T00:00:00"/>
    <s v="Active"/>
    <s v="Controlling"/>
    <s v="CC-Fin-752"/>
    <n v="4"/>
    <s v=""/>
    <n v="3"/>
    <x v="1"/>
    <n v="0"/>
    <s v=""/>
    <n v="2"/>
    <s v="No"/>
    <s v="No"/>
    <s v="No"/>
    <n v="3"/>
    <s v="Medium"/>
    <n v="88533"/>
    <n v="0.15"/>
    <n v="101812.95"/>
  </r>
  <r>
    <s v="EMP0432"/>
    <s v="LATAM"/>
    <s v="Mexico"/>
    <x v="1"/>
    <s v="Manager"/>
    <x v="208"/>
    <s v="FTE"/>
    <d v="2022-09-04T00:00:00"/>
    <s v="Active"/>
    <s v="Controlling"/>
    <s v="CC-Fin-461"/>
    <n v="4"/>
    <s v=""/>
    <n v="3"/>
    <x v="1"/>
    <n v="0"/>
    <s v=""/>
    <n v="4"/>
    <s v="No"/>
    <s v="No"/>
    <s v="No"/>
    <n v="3"/>
    <s v="Medium"/>
    <n v="73929"/>
    <n v="0.15"/>
    <n v="85018.349999999991"/>
  </r>
  <r>
    <s v="EMP0433"/>
    <s v="LATAM"/>
    <s v="Mexico"/>
    <x v="2"/>
    <s v="IC"/>
    <x v="179"/>
    <s v="FTE"/>
    <d v="2022-09-03T00:00:00"/>
    <s v="Active"/>
    <s v="Commercial"/>
    <s v="CC-Sal-995"/>
    <n v="5"/>
    <s v=""/>
    <n v="3"/>
    <x v="1"/>
    <n v="0"/>
    <s v=""/>
    <n v="4"/>
    <s v="Yes"/>
    <s v="No"/>
    <s v="No"/>
    <n v="3"/>
    <s v="Medium"/>
    <n v="20015"/>
    <n v="0.1"/>
    <n v="22016.5"/>
  </r>
  <r>
    <s v="EMP0434"/>
    <s v="LATAM"/>
    <s v="Mexico"/>
    <x v="4"/>
    <s v="IC"/>
    <x v="101"/>
    <s v="FTE"/>
    <d v="2022-09-02T00:00:00"/>
    <s v="Active"/>
    <s v="People Operations"/>
    <s v="CC-HR-884"/>
    <n v="5"/>
    <s v=""/>
    <n v="3"/>
    <x v="1"/>
    <n v="0"/>
    <s v=""/>
    <n v="4"/>
    <s v="Yes"/>
    <s v="No"/>
    <s v="No"/>
    <n v="1"/>
    <s v="High"/>
    <n v="31444"/>
    <n v="0.1"/>
    <n v="34588.400000000001"/>
  </r>
  <r>
    <s v="EMP0435"/>
    <s v="LATAM"/>
    <s v="Mexico"/>
    <x v="5"/>
    <s v="IC"/>
    <x v="153"/>
    <s v="FTE"/>
    <d v="2022-09-01T00:00:00"/>
    <s v="Active"/>
    <s v="Technology"/>
    <s v="CC-IT-632"/>
    <n v="5"/>
    <s v=""/>
    <n v="3"/>
    <x v="1"/>
    <n v="0"/>
    <s v=""/>
    <n v="3"/>
    <s v="No"/>
    <s v="No"/>
    <s v="No"/>
    <n v="1"/>
    <s v="High"/>
    <n v="36100"/>
    <n v="0.1"/>
    <n v="39710"/>
  </r>
  <r>
    <s v="EMP0436"/>
    <s v="LATAM"/>
    <s v="Mexico"/>
    <x v="4"/>
    <s v="IC"/>
    <x v="77"/>
    <s v="FTE"/>
    <d v="2022-08-27T00:00:00"/>
    <s v="Active"/>
    <s v="People Operations"/>
    <s v="CC-HR-931"/>
    <n v="5"/>
    <s v=""/>
    <n v="3"/>
    <x v="1"/>
    <n v="0"/>
    <s v=""/>
    <n v="3"/>
    <s v="No"/>
    <s v="No"/>
    <s v="No"/>
    <n v="4"/>
    <s v="Low"/>
    <n v="48862"/>
    <n v="0.1"/>
    <n v="53748.200000000004"/>
  </r>
  <r>
    <s v="EMP0437"/>
    <s v="LATAM"/>
    <s v="Mexico"/>
    <x v="0"/>
    <s v="IC"/>
    <x v="67"/>
    <s v="Contractor"/>
    <d v="2022-08-25T00:00:00"/>
    <s v="Active"/>
    <s v="Logistics"/>
    <s v="CC-Sup-575"/>
    <n v="5"/>
    <s v=""/>
    <n v="3"/>
    <x v="1"/>
    <n v="0"/>
    <s v=""/>
    <n v="3"/>
    <s v="No"/>
    <s v="No"/>
    <s v="No"/>
    <n v="4"/>
    <s v="Low"/>
    <n v="44219"/>
    <n v="0.1"/>
    <n v="48640.9"/>
  </r>
  <r>
    <s v="EMP0438"/>
    <s v="LATAM"/>
    <s v="Mexico"/>
    <x v="4"/>
    <s v="Manager"/>
    <x v="209"/>
    <s v="FTE"/>
    <d v="2022-08-20T00:00:00"/>
    <s v="Active"/>
    <s v="People Operations"/>
    <s v="CC-HR-575"/>
    <n v="4"/>
    <s v=""/>
    <n v="3"/>
    <x v="1"/>
    <n v="0"/>
    <s v=""/>
    <n v="3"/>
    <s v="No"/>
    <s v="No"/>
    <s v="No"/>
    <n v="4"/>
    <s v="Low"/>
    <n v="61109"/>
    <n v="0.15"/>
    <n v="70275.349999999991"/>
  </r>
  <r>
    <s v="EMP0439"/>
    <s v="LATAM"/>
    <s v="Mexico"/>
    <x v="4"/>
    <s v="Manager"/>
    <x v="205"/>
    <s v="FTE"/>
    <d v="2022-08-20T00:00:00"/>
    <s v="Active"/>
    <s v="People Operations"/>
    <s v="CC-HR-450"/>
    <n v="4"/>
    <s v=""/>
    <n v="3"/>
    <x v="1"/>
    <n v="0"/>
    <s v=""/>
    <n v="4"/>
    <s v="No"/>
    <s v="No"/>
    <s v="No"/>
    <n v="3"/>
    <s v="Medium"/>
    <n v="72207"/>
    <n v="0.15"/>
    <n v="83038.049999999988"/>
  </r>
  <r>
    <s v="EMP0440"/>
    <s v="LATAM"/>
    <s v="Mexico"/>
    <x v="3"/>
    <s v="IC"/>
    <x v="26"/>
    <s v="FTE"/>
    <d v="2022-08-15T00:00:00"/>
    <s v="Active"/>
    <s v="Manufacturing"/>
    <s v="CC-Ope-940"/>
    <n v="5"/>
    <s v=""/>
    <n v="3"/>
    <x v="1"/>
    <n v="0"/>
    <s v=""/>
    <n v="4"/>
    <s v="No"/>
    <s v="No"/>
    <s v="No"/>
    <n v="1"/>
    <s v="High"/>
    <n v="24863"/>
    <n v="0.1"/>
    <n v="27349.300000000003"/>
  </r>
  <r>
    <s v="EMP0441"/>
    <s v="LATAM"/>
    <s v="Mexico"/>
    <x v="4"/>
    <s v="Manager"/>
    <x v="81"/>
    <s v="FTE"/>
    <d v="2022-08-14T00:00:00"/>
    <s v="Active"/>
    <s v="People Operations"/>
    <s v="CC-HR-151"/>
    <n v="4"/>
    <s v=""/>
    <n v="3"/>
    <x v="1"/>
    <n v="0"/>
    <s v=""/>
    <n v="4"/>
    <s v="No"/>
    <s v="No"/>
    <s v="No"/>
    <n v="3"/>
    <s v="Medium"/>
    <n v="72032"/>
    <n v="0.15"/>
    <n v="82836.799999999988"/>
  </r>
  <r>
    <s v="EMP0442"/>
    <s v="LATAM"/>
    <s v="Mexico"/>
    <x v="0"/>
    <s v="Director"/>
    <x v="5"/>
    <s v="Contractor"/>
    <d v="2022-08-13T00:00:00"/>
    <s v="Active"/>
    <s v="Logistics"/>
    <s v="CC-Sup-860"/>
    <n v="3"/>
    <s v=""/>
    <n v="3"/>
    <x v="1"/>
    <n v="0"/>
    <s v=""/>
    <n v="4"/>
    <s v="No"/>
    <s v="Yes"/>
    <s v="No"/>
    <n v="4"/>
    <s v="Low"/>
    <n v="124970"/>
    <n v="0.2"/>
    <n v="149964"/>
  </r>
  <r>
    <s v="EMP0443"/>
    <s v="LATAM"/>
    <s v="Mexico"/>
    <x v="1"/>
    <s v="IC"/>
    <x v="164"/>
    <s v="FTE"/>
    <d v="2022-08-11T00:00:00"/>
    <s v="Active"/>
    <s v="Controlling"/>
    <s v="CC-Fin-980"/>
    <n v="5"/>
    <s v=""/>
    <n v="3"/>
    <x v="1"/>
    <n v="0"/>
    <s v=""/>
    <n v="3"/>
    <s v="No"/>
    <s v="No"/>
    <s v="No"/>
    <n v="3"/>
    <s v="Medium"/>
    <n v="42069"/>
    <n v="0.1"/>
    <n v="46275.9"/>
  </r>
  <r>
    <s v="EMP0444"/>
    <s v="LATAM"/>
    <s v="Mexico"/>
    <x v="3"/>
    <s v="IC"/>
    <x v="22"/>
    <s v="FTE"/>
    <d v="2022-08-08T00:00:00"/>
    <s v="Active"/>
    <s v="Manufacturing"/>
    <s v="CC-Ope-417"/>
    <n v="5"/>
    <s v=""/>
    <n v="3"/>
    <x v="1"/>
    <n v="0"/>
    <s v=""/>
    <n v="3"/>
    <s v="No"/>
    <s v="No"/>
    <s v="No"/>
    <n v="4"/>
    <s v="Low"/>
    <n v="40948"/>
    <n v="0.1"/>
    <n v="45042.8"/>
  </r>
  <r>
    <s v="EMP0445"/>
    <s v="LATAM"/>
    <s v="Mexico"/>
    <x v="2"/>
    <s v="IC"/>
    <x v="204"/>
    <s v="FTE"/>
    <d v="2022-08-05T00:00:00"/>
    <s v="Active"/>
    <s v="Commercial"/>
    <s v="CC-Sal-439"/>
    <n v="5"/>
    <s v=""/>
    <n v="3"/>
    <x v="1"/>
    <n v="0"/>
    <s v=""/>
    <n v="4"/>
    <s v="Yes"/>
    <s v="No"/>
    <s v="No"/>
    <n v="2"/>
    <s v="High"/>
    <n v="40321"/>
    <n v="0.1"/>
    <n v="44353.100000000006"/>
  </r>
  <r>
    <s v="EMP0446"/>
    <s v="LATAM"/>
    <s v="Mexico"/>
    <x v="2"/>
    <s v="IC"/>
    <x v="182"/>
    <s v="FTE"/>
    <d v="2022-08-03T00:00:00"/>
    <s v="Active"/>
    <s v="Commercial"/>
    <s v="CC-Sal-589"/>
    <n v="5"/>
    <s v=""/>
    <n v="3"/>
    <x v="1"/>
    <n v="0"/>
    <s v=""/>
    <n v="2"/>
    <s v="No"/>
    <s v="No"/>
    <s v="No"/>
    <n v="4"/>
    <s v="Low"/>
    <n v="29321"/>
    <n v="0.1"/>
    <n v="32253.100000000002"/>
  </r>
  <r>
    <s v="EMP0447"/>
    <s v="LATAM"/>
    <s v="Mexico"/>
    <x v="5"/>
    <s v="IC"/>
    <x v="58"/>
    <s v="FTE"/>
    <d v="2022-07-13T00:00:00"/>
    <s v="Active"/>
    <s v="Technology"/>
    <s v="CC-IT-754"/>
    <n v="5"/>
    <s v=""/>
    <n v="3"/>
    <x v="1"/>
    <n v="0"/>
    <s v=""/>
    <n v="3"/>
    <s v="No"/>
    <s v="No"/>
    <s v="No"/>
    <n v="5"/>
    <s v="Low"/>
    <n v="40791"/>
    <n v="0.1"/>
    <n v="44870.100000000006"/>
  </r>
  <r>
    <s v="EMP0448"/>
    <s v="LATAM"/>
    <s v="Mexico"/>
    <x v="1"/>
    <s v="IC"/>
    <x v="195"/>
    <s v="FTE"/>
    <d v="2022-07-13T00:00:00"/>
    <s v="Active"/>
    <s v="Controlling"/>
    <s v="CC-Fin-397"/>
    <n v="5"/>
    <s v=""/>
    <n v="3"/>
    <x v="1"/>
    <n v="0"/>
    <s v=""/>
    <n v="3"/>
    <s v="No"/>
    <s v="No"/>
    <s v="No"/>
    <n v="4"/>
    <s v="Low"/>
    <n v="28896"/>
    <n v="0.1"/>
    <n v="31785.600000000002"/>
  </r>
  <r>
    <s v="EMP0449"/>
    <s v="LATAM"/>
    <s v="Mexico"/>
    <x v="1"/>
    <s v="IC"/>
    <x v="12"/>
    <s v="Contractor"/>
    <d v="2022-07-12T00:00:00"/>
    <s v="Inactive"/>
    <s v="Controlling"/>
    <s v="CC-Fin-756"/>
    <n v="5"/>
    <d v="2026-02-18T00:00:00"/>
    <n v="3"/>
    <x v="1"/>
    <n v="0"/>
    <s v="Voluntary"/>
    <n v="4"/>
    <s v="No"/>
    <s v="No"/>
    <s v="No"/>
    <n v="4"/>
    <s v="Low"/>
    <n v="26275"/>
    <n v="0.1"/>
    <n v="28902.500000000004"/>
  </r>
  <r>
    <s v="EMP0450"/>
    <s v="LATAM"/>
    <s v="Mexico"/>
    <x v="0"/>
    <s v="Manager"/>
    <x v="79"/>
    <s v="FTE"/>
    <d v="2022-07-08T00:00:00"/>
    <s v="Inactive"/>
    <s v="Logistics"/>
    <s v="CC-Sup-280"/>
    <n v="4"/>
    <d v="2025-03-12T00:00:00"/>
    <n v="2"/>
    <x v="0"/>
    <n v="1"/>
    <s v="Voluntary"/>
    <n v="4"/>
    <s v="No"/>
    <s v="No"/>
    <s v="No"/>
    <n v="5"/>
    <s v="Low"/>
    <n v="72138"/>
    <n v="0.15"/>
    <n v="82958.7"/>
  </r>
  <r>
    <s v="EMP0451"/>
    <s v="LATAM"/>
    <s v="Mexico"/>
    <x v="2"/>
    <s v="IC"/>
    <x v="17"/>
    <s v="FTE"/>
    <d v="2022-07-07T00:00:00"/>
    <s v="Inactive"/>
    <s v="Commercial"/>
    <s v="CC-Sal-850"/>
    <n v="5"/>
    <d v="2026-02-04T00:00:00"/>
    <n v="3"/>
    <x v="1"/>
    <n v="0"/>
    <s v="Involuntary"/>
    <n v="2"/>
    <s v="No"/>
    <s v="No"/>
    <s v="No"/>
    <n v="3"/>
    <s v="Medium"/>
    <n v="46425"/>
    <n v="0.1"/>
    <n v="51067.500000000007"/>
  </r>
  <r>
    <s v="EMP0452"/>
    <s v="LATAM"/>
    <s v="Mexico"/>
    <x v="1"/>
    <s v="IC"/>
    <x v="155"/>
    <s v="FTE"/>
    <d v="2022-07-05T00:00:00"/>
    <s v="Active"/>
    <s v="Controlling"/>
    <s v="CC-Fin-519"/>
    <n v="5"/>
    <s v=""/>
    <n v="3"/>
    <x v="1"/>
    <n v="0"/>
    <s v=""/>
    <n v="4"/>
    <s v="No"/>
    <s v="No"/>
    <s v="No"/>
    <n v="5"/>
    <s v="Low"/>
    <n v="23868"/>
    <n v="0.1"/>
    <n v="26254.800000000003"/>
  </r>
  <r>
    <s v="EMP0453"/>
    <s v="LATAM"/>
    <s v="Mexico"/>
    <x v="2"/>
    <s v="IC"/>
    <x v="210"/>
    <s v="FTE"/>
    <d v="2022-07-02T00:00:00"/>
    <s v="Active"/>
    <s v="Commercial"/>
    <s v="CC-Sal-122"/>
    <n v="5"/>
    <s v=""/>
    <n v="3"/>
    <x v="1"/>
    <n v="0"/>
    <s v=""/>
    <n v="4"/>
    <s v="No"/>
    <s v="No"/>
    <s v="No"/>
    <n v="3"/>
    <s v="Medium"/>
    <n v="34695"/>
    <n v="0.1"/>
    <n v="38164.5"/>
  </r>
  <r>
    <s v="EMP0454"/>
    <s v="LATAM"/>
    <s v="Mexico"/>
    <x v="4"/>
    <s v="Director"/>
    <x v="168"/>
    <s v="FTE"/>
    <d v="2022-06-27T00:00:00"/>
    <s v="Active"/>
    <s v="People Operations"/>
    <s v="CC-HR-641"/>
    <n v="3"/>
    <s v=""/>
    <n v="3"/>
    <x v="1"/>
    <n v="0"/>
    <s v=""/>
    <n v="3"/>
    <s v="No"/>
    <s v="No"/>
    <s v="No"/>
    <n v="5"/>
    <s v="Low"/>
    <n v="127949"/>
    <n v="0.2"/>
    <n v="153538.79999999999"/>
  </r>
  <r>
    <s v="EMP0455"/>
    <s v="LATAM"/>
    <s v="Mexico"/>
    <x v="0"/>
    <s v="IC"/>
    <x v="211"/>
    <s v="FTE"/>
    <d v="2022-06-26T00:00:00"/>
    <s v="Active"/>
    <s v="Logistics"/>
    <s v="CC-Sup-520"/>
    <n v="5"/>
    <s v=""/>
    <n v="3"/>
    <x v="1"/>
    <n v="0"/>
    <s v=""/>
    <n v="2"/>
    <s v="No"/>
    <s v="No"/>
    <s v="No"/>
    <n v="4"/>
    <s v="Low"/>
    <n v="43350"/>
    <n v="0.1"/>
    <n v="47685.000000000007"/>
  </r>
  <r>
    <s v="EMP0456"/>
    <s v="LATAM"/>
    <s v="Mexico"/>
    <x v="3"/>
    <s v="IC"/>
    <x v="60"/>
    <s v="FTE"/>
    <d v="2022-06-24T00:00:00"/>
    <s v="Active"/>
    <s v="Manufacturing"/>
    <s v="CC-Ope-287"/>
    <n v="5"/>
    <s v=""/>
    <n v="3"/>
    <x v="1"/>
    <n v="0"/>
    <s v=""/>
    <n v="3"/>
    <s v="No"/>
    <s v="Yes"/>
    <s v="No"/>
    <n v="5"/>
    <s v="Low"/>
    <n v="49212"/>
    <n v="0.1"/>
    <n v="54133.200000000004"/>
  </r>
  <r>
    <s v="EMP0457"/>
    <s v="LATAM"/>
    <s v="Mexico"/>
    <x v="5"/>
    <s v="IC"/>
    <x v="212"/>
    <s v="FTE"/>
    <d v="2022-06-23T00:00:00"/>
    <s v="Active"/>
    <s v="Technology"/>
    <s v="CC-IT-410"/>
    <n v="5"/>
    <s v=""/>
    <n v="3"/>
    <x v="1"/>
    <n v="0"/>
    <s v=""/>
    <n v="4"/>
    <s v="No"/>
    <s v="No"/>
    <s v="No"/>
    <n v="5"/>
    <s v="Low"/>
    <n v="30128"/>
    <n v="0.1"/>
    <n v="33140.800000000003"/>
  </r>
  <r>
    <s v="EMP0458"/>
    <s v="LATAM"/>
    <s v="Mexico"/>
    <x v="3"/>
    <s v="IC"/>
    <x v="188"/>
    <s v="FTE"/>
    <d v="2022-06-17T00:00:00"/>
    <s v="Active"/>
    <s v="Manufacturing"/>
    <s v="CC-Ope-225"/>
    <n v="5"/>
    <s v=""/>
    <n v="3"/>
    <x v="1"/>
    <n v="0"/>
    <s v=""/>
    <n v="4"/>
    <s v="No"/>
    <s v="No"/>
    <s v="No"/>
    <n v="1"/>
    <s v="High"/>
    <n v="28046"/>
    <n v="0.1"/>
    <n v="30850.600000000002"/>
  </r>
  <r>
    <s v="EMP0459"/>
    <s v="LATAM"/>
    <s v="Mexico"/>
    <x v="0"/>
    <s v="IC"/>
    <x v="51"/>
    <s v="FTE"/>
    <d v="2022-06-16T00:00:00"/>
    <s v="Active"/>
    <s v="Logistics"/>
    <s v="CC-Sup-639"/>
    <n v="5"/>
    <s v=""/>
    <n v="3"/>
    <x v="1"/>
    <n v="0"/>
    <s v=""/>
    <n v="4"/>
    <s v="No"/>
    <s v="Yes"/>
    <s v="Yes"/>
    <n v="1"/>
    <s v="High"/>
    <n v="32748"/>
    <n v="0.1"/>
    <n v="36022.800000000003"/>
  </r>
  <r>
    <s v="EMP0460"/>
    <s v="LATAM"/>
    <s v="Mexico"/>
    <x v="1"/>
    <s v="IC"/>
    <x v="99"/>
    <s v="FTE"/>
    <d v="2022-06-08T00:00:00"/>
    <s v="Inactive"/>
    <s v="Controlling"/>
    <s v="CC-Fin-227"/>
    <n v="5"/>
    <d v="2026-02-18T00:00:00"/>
    <n v="3"/>
    <x v="1"/>
    <n v="0"/>
    <s v="Voluntary"/>
    <n v="3"/>
    <s v="No"/>
    <s v="No"/>
    <s v="No"/>
    <n v="2"/>
    <s v="High"/>
    <n v="34052"/>
    <n v="0.1"/>
    <n v="37457.200000000004"/>
  </r>
  <r>
    <s v="EMP0461"/>
    <s v="LATAM"/>
    <s v="Mexico"/>
    <x v="1"/>
    <s v="IC"/>
    <x v="213"/>
    <s v="FTE"/>
    <d v="2022-06-04T00:00:00"/>
    <s v="Active"/>
    <s v="Controlling"/>
    <s v="CC-Fin-149"/>
    <n v="5"/>
    <s v=""/>
    <n v="3"/>
    <x v="1"/>
    <n v="0"/>
    <s v=""/>
    <n v="2"/>
    <s v="Yes"/>
    <s v="No"/>
    <s v="No"/>
    <n v="2"/>
    <s v="High"/>
    <n v="32349"/>
    <n v="0.1"/>
    <n v="35583.9"/>
  </r>
  <r>
    <s v="EMP0462"/>
    <s v="LATAM"/>
    <s v="Mexico"/>
    <x v="2"/>
    <s v="IC"/>
    <x v="98"/>
    <s v="FTE"/>
    <d v="2022-05-27T00:00:00"/>
    <s v="Active"/>
    <s v="Commercial"/>
    <s v="CC-Sal-787"/>
    <n v="5"/>
    <s v=""/>
    <n v="3"/>
    <x v="1"/>
    <n v="0"/>
    <s v=""/>
    <n v="3"/>
    <s v="No"/>
    <s v="No"/>
    <s v="No"/>
    <n v="1"/>
    <s v="High"/>
    <n v="25087"/>
    <n v="0.1"/>
    <n v="27595.7"/>
  </r>
  <r>
    <s v="EMP0463"/>
    <s v="LATAM"/>
    <s v="Mexico"/>
    <x v="5"/>
    <s v="Manager"/>
    <x v="205"/>
    <s v="FTE"/>
    <d v="2022-05-24T00:00:00"/>
    <s v="Active"/>
    <s v="Technology"/>
    <s v="CC-IT-170"/>
    <n v="4"/>
    <s v=""/>
    <n v="3"/>
    <x v="1"/>
    <n v="0"/>
    <s v=""/>
    <n v="3"/>
    <s v="No"/>
    <s v="Yes"/>
    <s v="No"/>
    <n v="5"/>
    <s v="Low"/>
    <n v="55950"/>
    <n v="0.15"/>
    <n v="64342.499999999993"/>
  </r>
  <r>
    <s v="EMP0464"/>
    <s v="LATAM"/>
    <s v="Mexico"/>
    <x v="1"/>
    <s v="IC"/>
    <x v="214"/>
    <s v="FTE"/>
    <d v="2022-05-24T00:00:00"/>
    <s v="Active"/>
    <s v="Controlling"/>
    <s v="CC-Fin-387"/>
    <n v="5"/>
    <s v=""/>
    <n v="3"/>
    <x v="1"/>
    <n v="0"/>
    <s v=""/>
    <n v="5"/>
    <s v="No"/>
    <s v="No"/>
    <s v="No"/>
    <n v="5"/>
    <s v="Low"/>
    <n v="20368"/>
    <n v="0.1"/>
    <n v="22404.800000000003"/>
  </r>
  <r>
    <s v="EMP0465"/>
    <s v="LATAM"/>
    <s v="Mexico"/>
    <x v="5"/>
    <s v="IC"/>
    <x v="158"/>
    <s v="FTE"/>
    <d v="2022-05-22T00:00:00"/>
    <s v="Active"/>
    <s v="Technology"/>
    <s v="CC-IT-389"/>
    <n v="5"/>
    <s v=""/>
    <n v="3"/>
    <x v="1"/>
    <n v="0"/>
    <s v=""/>
    <n v="4"/>
    <s v="No"/>
    <s v="No"/>
    <s v="No"/>
    <n v="2"/>
    <s v="High"/>
    <n v="29570"/>
    <n v="0.1"/>
    <n v="32527.000000000004"/>
  </r>
  <r>
    <s v="EMP0466"/>
    <s v="LATAM"/>
    <s v="Mexico"/>
    <x v="4"/>
    <s v="IC"/>
    <x v="87"/>
    <s v="FTE"/>
    <d v="2022-05-20T00:00:00"/>
    <s v="Active"/>
    <s v="People Operations"/>
    <s v="CC-HR-449"/>
    <n v="5"/>
    <s v=""/>
    <n v="3"/>
    <x v="1"/>
    <n v="0"/>
    <s v=""/>
    <n v="3"/>
    <s v="No"/>
    <s v="No"/>
    <s v="No"/>
    <n v="3"/>
    <s v="Medium"/>
    <n v="29511"/>
    <n v="0.1"/>
    <n v="32462.100000000002"/>
  </r>
  <r>
    <s v="EMP0467"/>
    <s v="LATAM"/>
    <s v="Mexico"/>
    <x v="1"/>
    <s v="IC"/>
    <x v="155"/>
    <s v="FTE"/>
    <d v="2022-05-13T00:00:00"/>
    <s v="Active"/>
    <s v="Controlling"/>
    <s v="CC-Fin-377"/>
    <n v="5"/>
    <s v=""/>
    <n v="3"/>
    <x v="1"/>
    <n v="0"/>
    <s v=""/>
    <n v="5"/>
    <s v="No"/>
    <s v="Yes"/>
    <s v="Yes"/>
    <n v="1"/>
    <s v="High"/>
    <n v="39535"/>
    <n v="0.1"/>
    <n v="43488.5"/>
  </r>
  <r>
    <s v="EMP0468"/>
    <s v="LATAM"/>
    <s v="Mexico"/>
    <x v="4"/>
    <s v="IC"/>
    <x v="68"/>
    <s v="FTE"/>
    <d v="2022-05-10T00:00:00"/>
    <s v="Active"/>
    <s v="People Operations"/>
    <s v="CC-HR-572"/>
    <n v="5"/>
    <s v=""/>
    <n v="3"/>
    <x v="1"/>
    <n v="0"/>
    <s v=""/>
    <n v="4"/>
    <s v="No"/>
    <s v="No"/>
    <s v="No"/>
    <n v="5"/>
    <s v="Low"/>
    <n v="22860"/>
    <n v="0.1"/>
    <n v="25146.000000000004"/>
  </r>
  <r>
    <s v="EMP0469"/>
    <s v="LATAM"/>
    <s v="Mexico"/>
    <x v="0"/>
    <s v="IC"/>
    <x v="116"/>
    <s v="FTE"/>
    <d v="2022-05-09T00:00:00"/>
    <s v="Active"/>
    <s v="Logistics"/>
    <s v="CC-Sup-232"/>
    <n v="5"/>
    <s v=""/>
    <n v="3"/>
    <x v="1"/>
    <n v="0"/>
    <s v=""/>
    <n v="3"/>
    <s v="Yes"/>
    <s v="No"/>
    <s v="No"/>
    <n v="5"/>
    <s v="Low"/>
    <n v="44170"/>
    <n v="0.1"/>
    <n v="48587.000000000007"/>
  </r>
  <r>
    <s v="EMP0470"/>
    <s v="LATAM"/>
    <s v="Mexico"/>
    <x v="4"/>
    <s v="Manager"/>
    <x v="207"/>
    <s v="FTE"/>
    <d v="2022-05-08T00:00:00"/>
    <s v="Active"/>
    <s v="People Operations"/>
    <s v="CC-HR-325"/>
    <n v="4"/>
    <s v=""/>
    <n v="3"/>
    <x v="1"/>
    <n v="0"/>
    <s v=""/>
    <n v="4"/>
    <s v="No"/>
    <s v="No"/>
    <s v="No"/>
    <n v="3"/>
    <s v="Medium"/>
    <n v="64602"/>
    <n v="0.15"/>
    <n v="74292.299999999988"/>
  </r>
  <r>
    <s v="EMP0471"/>
    <s v="LATAM"/>
    <s v="Mexico"/>
    <x v="2"/>
    <s v="IC"/>
    <x v="22"/>
    <s v="FTE"/>
    <d v="2022-04-24T00:00:00"/>
    <s v="Active"/>
    <s v="Commercial"/>
    <s v="CC-Sal-501"/>
    <n v="5"/>
    <s v=""/>
    <n v="3"/>
    <x v="1"/>
    <n v="0"/>
    <s v=""/>
    <n v="4"/>
    <s v="Yes"/>
    <s v="No"/>
    <s v="No"/>
    <n v="5"/>
    <s v="Low"/>
    <n v="46356"/>
    <n v="0.1"/>
    <n v="50991.600000000006"/>
  </r>
  <r>
    <s v="EMP0472"/>
    <s v="LATAM"/>
    <s v="Mexico"/>
    <x v="2"/>
    <s v="Manager"/>
    <x v="215"/>
    <s v="FTE"/>
    <d v="2022-04-22T00:00:00"/>
    <s v="Inactive"/>
    <s v="Commercial"/>
    <s v="CC-Sal-670"/>
    <n v="4"/>
    <d v="2025-12-09T00:00:00"/>
    <n v="3"/>
    <x v="1"/>
    <n v="0"/>
    <s v="Involuntary"/>
    <n v="4"/>
    <s v="Yes"/>
    <s v="No"/>
    <s v="No"/>
    <n v="4"/>
    <s v="Low"/>
    <n v="55836"/>
    <n v="0.15"/>
    <n v="64211.399999999994"/>
  </r>
  <r>
    <s v="EMP0473"/>
    <s v="LATAM"/>
    <s v="Mexico"/>
    <x v="3"/>
    <s v="IC"/>
    <x v="119"/>
    <s v="FTE"/>
    <d v="2022-04-22T00:00:00"/>
    <s v="Active"/>
    <s v="Manufacturing"/>
    <s v="CC-Ope-898"/>
    <n v="5"/>
    <s v=""/>
    <n v="3"/>
    <x v="1"/>
    <n v="0"/>
    <s v=""/>
    <n v="3"/>
    <s v="No"/>
    <s v="No"/>
    <s v="No"/>
    <n v="5"/>
    <s v="Low"/>
    <n v="47211"/>
    <n v="0.1"/>
    <n v="51932.100000000006"/>
  </r>
  <r>
    <s v="EMP0474"/>
    <s v="LATAM"/>
    <s v="Mexico"/>
    <x v="3"/>
    <s v="IC"/>
    <x v="108"/>
    <s v="FTE"/>
    <d v="2022-04-20T00:00:00"/>
    <s v="Active"/>
    <s v="Manufacturing"/>
    <s v="CC-Ope-786"/>
    <n v="5"/>
    <s v=""/>
    <n v="3"/>
    <x v="1"/>
    <n v="0"/>
    <s v=""/>
    <n v="4"/>
    <s v="No"/>
    <s v="No"/>
    <s v="No"/>
    <n v="5"/>
    <s v="Low"/>
    <n v="30003"/>
    <n v="0.1"/>
    <n v="33003.300000000003"/>
  </r>
  <r>
    <s v="EMP0475"/>
    <s v="LATAM"/>
    <s v="Mexico"/>
    <x v="1"/>
    <s v="IC"/>
    <x v="91"/>
    <s v="FTE"/>
    <d v="2022-04-12T00:00:00"/>
    <s v="Inactive"/>
    <s v="Controlling"/>
    <s v="CC-Fin-707"/>
    <n v="5"/>
    <d v="2026-02-18T00:00:00"/>
    <n v="3"/>
    <x v="1"/>
    <n v="0"/>
    <s v="Voluntary"/>
    <n v="3"/>
    <s v="No"/>
    <s v="No"/>
    <s v="No"/>
    <n v="1"/>
    <s v="High"/>
    <n v="38213"/>
    <n v="0.1"/>
    <n v="42034.3"/>
  </r>
  <r>
    <s v="EMP0476"/>
    <s v="LATAM"/>
    <s v="Mexico"/>
    <x v="5"/>
    <s v="IC"/>
    <x v="27"/>
    <s v="FTE"/>
    <d v="2022-04-12T00:00:00"/>
    <s v="Active"/>
    <s v="Technology"/>
    <s v="CC-IT-275"/>
    <n v="5"/>
    <s v=""/>
    <n v="3"/>
    <x v="1"/>
    <n v="0"/>
    <s v=""/>
    <n v="3"/>
    <s v="No"/>
    <s v="No"/>
    <s v="No"/>
    <n v="2"/>
    <s v="High"/>
    <n v="39149"/>
    <n v="0.1"/>
    <n v="43063.9"/>
  </r>
  <r>
    <s v="EMP0477"/>
    <s v="LATAM"/>
    <s v="Mexico"/>
    <x v="3"/>
    <s v="IC"/>
    <x v="102"/>
    <s v="FTE"/>
    <d v="2022-04-11T00:00:00"/>
    <s v="Active"/>
    <s v="Manufacturing"/>
    <s v="CC-Ope-252"/>
    <n v="5"/>
    <s v=""/>
    <n v="3"/>
    <x v="1"/>
    <n v="0"/>
    <s v=""/>
    <n v="3"/>
    <s v="No"/>
    <s v="Yes"/>
    <s v="No"/>
    <n v="3"/>
    <s v="Medium"/>
    <n v="25521"/>
    <n v="0.1"/>
    <n v="28073.100000000002"/>
  </r>
  <r>
    <s v="EMP0478"/>
    <s v="LATAM"/>
    <s v="Mexico"/>
    <x v="4"/>
    <s v="Manager"/>
    <x v="54"/>
    <s v="FTE"/>
    <d v="2022-04-10T00:00:00"/>
    <s v="Active"/>
    <s v="People Operations"/>
    <s v="CC-HR-487"/>
    <n v="4"/>
    <s v=""/>
    <n v="3"/>
    <x v="1"/>
    <n v="0"/>
    <s v=""/>
    <n v="4"/>
    <s v="No"/>
    <s v="No"/>
    <s v="No"/>
    <n v="5"/>
    <s v="Low"/>
    <n v="65764"/>
    <n v="0.15"/>
    <n v="75628.599999999991"/>
  </r>
  <r>
    <s v="EMP0479"/>
    <s v="LATAM"/>
    <s v="Mexico"/>
    <x v="0"/>
    <s v="IC"/>
    <x v="17"/>
    <s v="FTE"/>
    <d v="2022-04-07T00:00:00"/>
    <s v="Active"/>
    <s v="Logistics"/>
    <s v="CC-Sup-539"/>
    <n v="5"/>
    <s v=""/>
    <n v="3"/>
    <x v="1"/>
    <n v="0"/>
    <s v=""/>
    <n v="3"/>
    <s v="Yes"/>
    <s v="No"/>
    <s v="No"/>
    <n v="1"/>
    <s v="High"/>
    <n v="40917"/>
    <n v="0.1"/>
    <n v="45008.700000000004"/>
  </r>
  <r>
    <s v="EMP0480"/>
    <s v="LATAM"/>
    <s v="Mexico"/>
    <x v="5"/>
    <s v="Manager"/>
    <x v="205"/>
    <s v="FTE"/>
    <d v="2022-04-04T00:00:00"/>
    <s v="Active"/>
    <s v="Technology"/>
    <s v="CC-IT-461"/>
    <n v="4"/>
    <s v=""/>
    <n v="3"/>
    <x v="1"/>
    <n v="0"/>
    <s v=""/>
    <n v="2"/>
    <s v="No"/>
    <s v="No"/>
    <s v="No"/>
    <n v="1"/>
    <s v="High"/>
    <n v="56735"/>
    <n v="0.15"/>
    <n v="65245.249999999993"/>
  </r>
  <r>
    <s v="EMP0481"/>
    <s v="LATAM"/>
    <s v="Mexico"/>
    <x v="1"/>
    <s v="Manager"/>
    <x v="216"/>
    <s v="FTE"/>
    <d v="2022-04-03T00:00:00"/>
    <s v="Active"/>
    <s v="Controlling"/>
    <s v="CC-Fin-560"/>
    <n v="4"/>
    <s v=""/>
    <n v="3"/>
    <x v="1"/>
    <n v="0"/>
    <s v=""/>
    <n v="5"/>
    <s v="No"/>
    <s v="No"/>
    <s v="No"/>
    <n v="4"/>
    <s v="Low"/>
    <n v="56780"/>
    <n v="0.15"/>
    <n v="65296.999999999993"/>
  </r>
  <r>
    <s v="EMP0482"/>
    <s v="LATAM"/>
    <s v="Mexico"/>
    <x v="4"/>
    <s v="IC"/>
    <x v="95"/>
    <s v="FTE"/>
    <d v="2022-03-22T00:00:00"/>
    <s v="Active"/>
    <s v="People Operations"/>
    <s v="CC-HR-476"/>
    <n v="5"/>
    <s v=""/>
    <n v="3"/>
    <x v="1"/>
    <n v="0"/>
    <s v=""/>
    <n v="3"/>
    <s v="No"/>
    <s v="No"/>
    <s v="No"/>
    <n v="1"/>
    <s v="High"/>
    <n v="33649"/>
    <n v="0.1"/>
    <n v="37013.9"/>
  </r>
  <r>
    <s v="EMP0483"/>
    <s v="LATAM"/>
    <s v="Mexico"/>
    <x v="4"/>
    <s v="IC"/>
    <x v="69"/>
    <s v="FTE"/>
    <d v="2022-03-21T00:00:00"/>
    <s v="Active"/>
    <s v="People Operations"/>
    <s v="CC-HR-731"/>
    <n v="5"/>
    <s v=""/>
    <n v="3"/>
    <x v="1"/>
    <n v="0"/>
    <s v=""/>
    <n v="4"/>
    <s v="No"/>
    <s v="No"/>
    <s v="No"/>
    <n v="4"/>
    <s v="Low"/>
    <n v="46043"/>
    <n v="0.1"/>
    <n v="50647.3"/>
  </r>
  <r>
    <s v="EMP0484"/>
    <s v="LATAM"/>
    <s v="Mexico"/>
    <x v="1"/>
    <s v="IC"/>
    <x v="169"/>
    <s v="FTE"/>
    <d v="2022-03-15T00:00:00"/>
    <s v="Active"/>
    <s v="Controlling"/>
    <s v="CC-Fin-684"/>
    <n v="5"/>
    <s v=""/>
    <n v="3"/>
    <x v="1"/>
    <n v="0"/>
    <s v=""/>
    <n v="3"/>
    <s v="No"/>
    <s v="No"/>
    <s v="No"/>
    <n v="4"/>
    <s v="Low"/>
    <n v="26987"/>
    <n v="0.1"/>
    <n v="29685.7"/>
  </r>
  <r>
    <s v="EMP0485"/>
    <s v="LATAM"/>
    <s v="Mexico"/>
    <x v="0"/>
    <s v="Manager"/>
    <x v="133"/>
    <s v="FTE"/>
    <d v="2022-03-09T00:00:00"/>
    <s v="Active"/>
    <s v="Logistics"/>
    <s v="CC-Sup-182"/>
    <n v="4"/>
    <s v=""/>
    <n v="3"/>
    <x v="1"/>
    <n v="0"/>
    <s v=""/>
    <n v="3"/>
    <s v="Yes"/>
    <s v="No"/>
    <s v="No"/>
    <n v="5"/>
    <s v="Low"/>
    <n v="80138"/>
    <n v="0.15"/>
    <n v="92158.7"/>
  </r>
  <r>
    <s v="EMP0486"/>
    <s v="LATAM"/>
    <s v="Mexico"/>
    <x v="0"/>
    <s v="IC"/>
    <x v="22"/>
    <s v="FTE"/>
    <d v="2022-03-09T00:00:00"/>
    <s v="Inactive"/>
    <s v="Logistics"/>
    <s v="CC-Sup-634"/>
    <n v="5"/>
    <d v="2023-09-22T00:00:00"/>
    <n v="1"/>
    <x v="0"/>
    <n v="1"/>
    <s v="Voluntary"/>
    <n v="3"/>
    <s v="No"/>
    <s v="No"/>
    <s v="No"/>
    <n v="2"/>
    <s v="High"/>
    <n v="48110"/>
    <n v="0.1"/>
    <n v="52921.000000000007"/>
  </r>
  <r>
    <s v="EMP0487"/>
    <s v="LATAM"/>
    <s v="Mexico"/>
    <x v="5"/>
    <s v="IC"/>
    <x v="57"/>
    <s v="FTE"/>
    <d v="2022-03-02T00:00:00"/>
    <s v="Active"/>
    <s v="Technology"/>
    <s v="CC-IT-415"/>
    <n v="5"/>
    <s v=""/>
    <n v="3"/>
    <x v="1"/>
    <n v="0"/>
    <s v=""/>
    <n v="3"/>
    <s v="No"/>
    <s v="Yes"/>
    <s v="No"/>
    <n v="1"/>
    <s v="High"/>
    <n v="45639"/>
    <n v="0.1"/>
    <n v="50202.9"/>
  </r>
  <r>
    <s v="EMP0488"/>
    <s v="LATAM"/>
    <s v="Mexico"/>
    <x v="2"/>
    <s v="IC"/>
    <x v="77"/>
    <s v="FTE"/>
    <d v="2022-02-26T00:00:00"/>
    <s v="Active"/>
    <s v="Commercial"/>
    <s v="CC-Sal-946"/>
    <n v="5"/>
    <s v=""/>
    <n v="3"/>
    <x v="1"/>
    <n v="0"/>
    <s v=""/>
    <n v="4"/>
    <s v="Yes"/>
    <s v="No"/>
    <s v="No"/>
    <n v="3"/>
    <s v="Medium"/>
    <n v="45332"/>
    <n v="0.1"/>
    <n v="49865.200000000004"/>
  </r>
  <r>
    <s v="EMP0489"/>
    <s v="LATAM"/>
    <s v="Mexico"/>
    <x v="3"/>
    <s v="IC"/>
    <x v="147"/>
    <s v="FTE"/>
    <d v="2022-02-26T00:00:00"/>
    <s v="Active"/>
    <s v="Manufacturing"/>
    <s v="CC-Ope-542"/>
    <n v="5"/>
    <s v=""/>
    <n v="3"/>
    <x v="1"/>
    <n v="0"/>
    <s v=""/>
    <n v="4"/>
    <s v="No"/>
    <s v="No"/>
    <s v="No"/>
    <n v="5"/>
    <s v="Low"/>
    <n v="29134"/>
    <n v="0.1"/>
    <n v="32047.4"/>
  </r>
  <r>
    <s v="EMP0490"/>
    <s v="LATAM"/>
    <s v="Mexico"/>
    <x v="4"/>
    <s v="IC"/>
    <x v="217"/>
    <s v="FTE"/>
    <d v="2022-02-18T00:00:00"/>
    <s v="Inactive"/>
    <s v="People Operations"/>
    <s v="CC-HR-375"/>
    <n v="5"/>
    <d v="2024-05-01T00:00:00"/>
    <n v="2"/>
    <x v="0"/>
    <n v="1"/>
    <s v="Voluntary"/>
    <n v="3"/>
    <s v="No"/>
    <s v="No"/>
    <s v="No"/>
    <n v="3"/>
    <s v="Medium"/>
    <n v="46813"/>
    <n v="0.1"/>
    <n v="51494.3"/>
  </r>
  <r>
    <s v="EMP0491"/>
    <s v="LATAM"/>
    <s v="Mexico"/>
    <x v="1"/>
    <s v="IC"/>
    <x v="212"/>
    <s v="FTE"/>
    <d v="2022-02-16T00:00:00"/>
    <s v="Active"/>
    <s v="Controlling"/>
    <s v="CC-Fin-987"/>
    <n v="5"/>
    <s v=""/>
    <n v="4"/>
    <x v="1"/>
    <n v="0"/>
    <s v=""/>
    <n v="4"/>
    <s v="No"/>
    <s v="No"/>
    <s v="No"/>
    <n v="5"/>
    <s v="Low"/>
    <n v="27451"/>
    <n v="0.1"/>
    <n v="30196.100000000002"/>
  </r>
  <r>
    <s v="EMP0492"/>
    <s v="LATAM"/>
    <s v="Mexico"/>
    <x v="5"/>
    <s v="IC"/>
    <x v="145"/>
    <s v="FTE"/>
    <d v="2022-02-15T00:00:00"/>
    <s v="Active"/>
    <s v="Technology"/>
    <s v="CC-IT-348"/>
    <n v="5"/>
    <s v=""/>
    <n v="4"/>
    <x v="1"/>
    <n v="0"/>
    <s v=""/>
    <n v="3"/>
    <s v="No"/>
    <s v="Yes"/>
    <s v="Yes"/>
    <n v="4"/>
    <s v="Low"/>
    <n v="32882"/>
    <n v="0.1"/>
    <n v="36170.200000000004"/>
  </r>
  <r>
    <s v="EMP0493"/>
    <s v="LATAM"/>
    <s v="Mexico"/>
    <x v="0"/>
    <s v="IC"/>
    <x v="95"/>
    <s v="FTE"/>
    <d v="2022-02-14T00:00:00"/>
    <s v="Active"/>
    <s v="Logistics"/>
    <s v="CC-Sup-249"/>
    <n v="5"/>
    <s v=""/>
    <n v="4"/>
    <x v="1"/>
    <n v="0"/>
    <s v=""/>
    <n v="2"/>
    <s v="No"/>
    <s v="No"/>
    <s v="No"/>
    <n v="5"/>
    <s v="Low"/>
    <n v="39273"/>
    <n v="0.1"/>
    <n v="43200.3"/>
  </r>
  <r>
    <s v="EMP0494"/>
    <s v="LATAM"/>
    <s v="Mexico"/>
    <x v="2"/>
    <s v="IC"/>
    <x v="71"/>
    <s v="FTE"/>
    <d v="2022-02-12T00:00:00"/>
    <s v="Active"/>
    <s v="Commercial"/>
    <s v="CC-Sal-579"/>
    <n v="5"/>
    <s v=""/>
    <n v="4"/>
    <x v="1"/>
    <n v="0"/>
    <s v=""/>
    <n v="5"/>
    <s v="No"/>
    <s v="No"/>
    <s v="No"/>
    <n v="3"/>
    <s v="Medium"/>
    <n v="42167"/>
    <n v="0.1"/>
    <n v="46383.700000000004"/>
  </r>
  <r>
    <s v="EMP0495"/>
    <s v="LATAM"/>
    <s v="Mexico"/>
    <x v="4"/>
    <s v="IC"/>
    <x v="145"/>
    <s v="Contractor"/>
    <d v="2022-02-08T00:00:00"/>
    <s v="Active"/>
    <s v="People Operations"/>
    <s v="CC-HR-689"/>
    <n v="5"/>
    <s v=""/>
    <n v="4"/>
    <x v="1"/>
    <n v="0"/>
    <s v=""/>
    <n v="5"/>
    <s v="No"/>
    <s v="No"/>
    <s v="No"/>
    <n v="3"/>
    <s v="Medium"/>
    <n v="34979"/>
    <n v="0.1"/>
    <n v="38476.9"/>
  </r>
  <r>
    <s v="EMP0496"/>
    <s v="LATAM"/>
    <s v="Mexico"/>
    <x v="2"/>
    <s v="Manager"/>
    <x v="218"/>
    <s v="FTE"/>
    <d v="2022-02-05T00:00:00"/>
    <s v="Active"/>
    <s v="Commercial"/>
    <s v="CC-Sal-726"/>
    <n v="4"/>
    <s v=""/>
    <n v="4"/>
    <x v="1"/>
    <n v="0"/>
    <s v=""/>
    <n v="4"/>
    <s v="No"/>
    <s v="No"/>
    <s v="No"/>
    <n v="4"/>
    <s v="Low"/>
    <n v="56870"/>
    <n v="0.15"/>
    <n v="65400.499999999993"/>
  </r>
  <r>
    <s v="EMP0497"/>
    <s v="LATAM"/>
    <s v="Mexico"/>
    <x v="1"/>
    <s v="IC"/>
    <x v="7"/>
    <s v="FTE"/>
    <d v="2022-02-04T00:00:00"/>
    <s v="Active"/>
    <s v="Controlling"/>
    <s v="CC-Fin-463"/>
    <n v="5"/>
    <s v=""/>
    <n v="4"/>
    <x v="1"/>
    <n v="0"/>
    <s v=""/>
    <n v="3"/>
    <s v="No"/>
    <s v="Yes"/>
    <s v="No"/>
    <n v="3"/>
    <s v="Medium"/>
    <n v="28530"/>
    <n v="0.1"/>
    <n v="31383.000000000004"/>
  </r>
  <r>
    <s v="EMP0498"/>
    <s v="LATAM"/>
    <s v="Mexico"/>
    <x v="1"/>
    <s v="IC"/>
    <x v="156"/>
    <s v="FTE"/>
    <d v="2022-02-02T00:00:00"/>
    <s v="Active"/>
    <s v="Controlling"/>
    <s v="CC-Fin-444"/>
    <n v="5"/>
    <s v=""/>
    <n v="4"/>
    <x v="1"/>
    <n v="0"/>
    <s v=""/>
    <n v="3"/>
    <s v="No"/>
    <s v="No"/>
    <s v="No"/>
    <n v="5"/>
    <s v="Low"/>
    <n v="23647"/>
    <n v="0.1"/>
    <n v="26011.7"/>
  </r>
  <r>
    <s v="EMP0499"/>
    <s v="LATAM"/>
    <s v="Mexico"/>
    <x v="4"/>
    <s v="IC"/>
    <x v="35"/>
    <s v="FTE"/>
    <d v="2022-02-02T00:00:00"/>
    <s v="Inactive"/>
    <s v="People Operations"/>
    <s v="CC-HR-695"/>
    <n v="5"/>
    <d v="2026-02-18T00:00:00"/>
    <n v="4"/>
    <x v="1"/>
    <n v="0"/>
    <s v="Voluntary"/>
    <n v="4"/>
    <s v="No"/>
    <s v="Yes"/>
    <s v="No"/>
    <n v="3"/>
    <s v="Medium"/>
    <n v="27483"/>
    <n v="0.1"/>
    <n v="30231.300000000003"/>
  </r>
  <r>
    <s v="EMP0500"/>
    <s v="LATAM"/>
    <s v="Mexico"/>
    <x v="3"/>
    <s v="IC"/>
    <x v="214"/>
    <s v="FTE"/>
    <d v="2022-01-28T00:00:00"/>
    <s v="Active"/>
    <s v="Manufacturing"/>
    <s v="CC-Ope-801"/>
    <n v="5"/>
    <s v=""/>
    <n v="4"/>
    <x v="1"/>
    <n v="0"/>
    <s v=""/>
    <n v="5"/>
    <s v="No"/>
    <s v="No"/>
    <s v="No"/>
    <n v="1"/>
    <s v="High"/>
    <n v="20288"/>
    <n v="0.1"/>
    <n v="22316.800000000003"/>
  </r>
  <r>
    <s v="EMP0501"/>
    <s v="LATAM"/>
    <s v="Mexico"/>
    <x v="1"/>
    <s v="Manager"/>
    <x v="219"/>
    <s v="FTE"/>
    <d v="2022-01-27T00:00:00"/>
    <s v="Inactive"/>
    <s v="Controlling"/>
    <s v="CC-Fin-890"/>
    <n v="4"/>
    <d v="2026-02-18T00:00:00"/>
    <n v="4"/>
    <x v="1"/>
    <n v="0"/>
    <s v="Voluntary"/>
    <n v="3"/>
    <s v="No"/>
    <s v="No"/>
    <s v="No"/>
    <n v="5"/>
    <s v="Low"/>
    <n v="69561"/>
    <n v="0.15"/>
    <n v="79995.149999999994"/>
  </r>
  <r>
    <s v="EMP0502"/>
    <s v="LATAM"/>
    <s v="Mexico"/>
    <x v="1"/>
    <s v="IC"/>
    <x v="35"/>
    <s v="FTE"/>
    <d v="2022-01-18T00:00:00"/>
    <s v="Active"/>
    <s v="Controlling"/>
    <s v="CC-Fin-543"/>
    <n v="5"/>
    <s v=""/>
    <n v="4"/>
    <x v="1"/>
    <n v="0"/>
    <s v=""/>
    <n v="4"/>
    <s v="No"/>
    <s v="No"/>
    <s v="No"/>
    <n v="5"/>
    <s v="Low"/>
    <n v="35829"/>
    <n v="0.1"/>
    <n v="39411.9"/>
  </r>
  <r>
    <s v="EMP0503"/>
    <s v="LATAM"/>
    <s v="Mexico"/>
    <x v="1"/>
    <s v="IC"/>
    <x v="13"/>
    <s v="Contractor"/>
    <d v="2022-01-17T00:00:00"/>
    <s v="Active"/>
    <s v="Controlling"/>
    <s v="CC-Fin-602"/>
    <n v="5"/>
    <s v=""/>
    <n v="4"/>
    <x v="1"/>
    <n v="0"/>
    <s v=""/>
    <n v="4"/>
    <s v="No"/>
    <s v="No"/>
    <s v="No"/>
    <n v="5"/>
    <s v="Low"/>
    <n v="28598"/>
    <n v="0.1"/>
    <n v="31457.800000000003"/>
  </r>
  <r>
    <s v="EMP0504"/>
    <s v="LATAM"/>
    <s v="Mexico"/>
    <x v="0"/>
    <s v="IC"/>
    <x v="170"/>
    <s v="FTE"/>
    <d v="2022-01-12T00:00:00"/>
    <s v="Active"/>
    <s v="Logistics"/>
    <s v="CC-Sup-753"/>
    <n v="5"/>
    <s v=""/>
    <n v="4"/>
    <x v="1"/>
    <n v="0"/>
    <s v=""/>
    <n v="4"/>
    <s v="Yes"/>
    <s v="No"/>
    <s v="No"/>
    <n v="3"/>
    <s v="Medium"/>
    <n v="21844"/>
    <n v="0.1"/>
    <n v="24028.400000000001"/>
  </r>
  <r>
    <s v="EMP0505"/>
    <s v="LATAM"/>
    <s v="Mexico"/>
    <x v="4"/>
    <s v="IC"/>
    <x v="211"/>
    <s v="FTE"/>
    <d v="2022-01-10T00:00:00"/>
    <s v="Active"/>
    <s v="People Operations"/>
    <s v="CC-HR-326"/>
    <n v="5"/>
    <s v=""/>
    <n v="4"/>
    <x v="1"/>
    <n v="0"/>
    <s v=""/>
    <n v="4"/>
    <s v="No"/>
    <s v="No"/>
    <s v="No"/>
    <n v="4"/>
    <s v="Low"/>
    <n v="43263"/>
    <n v="0.1"/>
    <n v="47589.3"/>
  </r>
  <r>
    <s v="EMP0506"/>
    <s v="LATAM"/>
    <s v="Mexico"/>
    <x v="4"/>
    <s v="IC"/>
    <x v="98"/>
    <s v="FTE"/>
    <d v="2022-01-09T00:00:00"/>
    <s v="Active"/>
    <s v="People Operations"/>
    <s v="CC-HR-999"/>
    <n v="5"/>
    <s v=""/>
    <n v="4"/>
    <x v="1"/>
    <n v="0"/>
    <s v=""/>
    <n v="4"/>
    <s v="No"/>
    <s v="No"/>
    <s v="No"/>
    <n v="3"/>
    <s v="Medium"/>
    <n v="39267"/>
    <n v="0.1"/>
    <n v="43193.700000000004"/>
  </r>
  <r>
    <s v="EMP0507"/>
    <s v="LATAM"/>
    <s v="Mexico"/>
    <x v="1"/>
    <s v="IC"/>
    <x v="95"/>
    <s v="FTE"/>
    <d v="2022-01-05T00:00:00"/>
    <s v="Active"/>
    <s v="Controlling"/>
    <s v="CC-Fin-959"/>
    <n v="5"/>
    <s v=""/>
    <n v="4"/>
    <x v="1"/>
    <n v="0"/>
    <s v=""/>
    <n v="4"/>
    <s v="No"/>
    <s v="No"/>
    <s v="No"/>
    <n v="3"/>
    <s v="Medium"/>
    <n v="23894"/>
    <n v="0.1"/>
    <n v="26283.4"/>
  </r>
  <r>
    <s v="EMP0508"/>
    <s v="LATAM"/>
    <s v="Mexico"/>
    <x v="1"/>
    <s v="IC"/>
    <x v="182"/>
    <s v="FTE"/>
    <d v="2022-01-03T00:00:00"/>
    <s v="Active"/>
    <s v="Controlling"/>
    <s v="CC-Fin-688"/>
    <n v="5"/>
    <s v=""/>
    <n v="4"/>
    <x v="1"/>
    <n v="0"/>
    <s v=""/>
    <n v="4"/>
    <s v="No"/>
    <s v="No"/>
    <s v="No"/>
    <n v="2"/>
    <s v="High"/>
    <n v="37573"/>
    <n v="0.1"/>
    <n v="41330.300000000003"/>
  </r>
  <r>
    <s v="EMP0509"/>
    <s v="LATAM"/>
    <s v="Mexico"/>
    <x v="1"/>
    <s v="IC"/>
    <x v="61"/>
    <s v="FTE"/>
    <d v="2022-01-02T00:00:00"/>
    <s v="Active"/>
    <s v="Controlling"/>
    <s v="CC-Fin-529"/>
    <n v="5"/>
    <s v=""/>
    <n v="4"/>
    <x v="1"/>
    <n v="0"/>
    <s v=""/>
    <n v="3"/>
    <s v="No"/>
    <s v="No"/>
    <s v="No"/>
    <n v="3"/>
    <s v="Medium"/>
    <n v="47734"/>
    <n v="0.1"/>
    <n v="52507.4"/>
  </r>
  <r>
    <s v="EMP0510"/>
    <s v="LATAM"/>
    <s v="Mexico"/>
    <x v="2"/>
    <s v="IC"/>
    <x v="177"/>
    <s v="FTE"/>
    <d v="2022-01-01T00:00:00"/>
    <s v="Active"/>
    <s v="Commercial"/>
    <s v="CC-Sal-852"/>
    <n v="5"/>
    <s v=""/>
    <n v="4"/>
    <x v="1"/>
    <n v="0"/>
    <s v=""/>
    <n v="5"/>
    <s v="No"/>
    <s v="Yes"/>
    <s v="No"/>
    <n v="1"/>
    <s v="High"/>
    <n v="34638"/>
    <n v="0.1"/>
    <n v="38101.800000000003"/>
  </r>
  <r>
    <s v="EMP0511"/>
    <s v="LATAM"/>
    <s v="Mexico"/>
    <x v="0"/>
    <s v="IC"/>
    <x v="14"/>
    <s v="Contractor"/>
    <d v="2022-01-01T00:00:00"/>
    <s v="Active"/>
    <s v="Logistics"/>
    <s v="CC-Sup-405"/>
    <n v="5"/>
    <s v=""/>
    <n v="4"/>
    <x v="1"/>
    <n v="0"/>
    <s v=""/>
    <n v="5"/>
    <s v="No"/>
    <s v="No"/>
    <s v="No"/>
    <n v="1"/>
    <s v="High"/>
    <n v="23023"/>
    <n v="0.1"/>
    <n v="25325.300000000003"/>
  </r>
  <r>
    <s v="EMP0512"/>
    <s v="LATAM"/>
    <s v="Mexico"/>
    <x v="2"/>
    <s v="Manager"/>
    <x v="220"/>
    <s v="FTE"/>
    <d v="2021-12-17T00:00:00"/>
    <s v="Active"/>
    <s v="Commercial"/>
    <s v="CC-Sal-719"/>
    <n v="4"/>
    <s v=""/>
    <n v="4"/>
    <x v="1"/>
    <n v="0"/>
    <s v=""/>
    <n v="4"/>
    <s v="Yes"/>
    <s v="Yes"/>
    <s v="No"/>
    <n v="5"/>
    <s v="Low"/>
    <n v="80592"/>
    <n v="0.15"/>
    <n v="92680.799999999988"/>
  </r>
  <r>
    <s v="EMP0513"/>
    <s v="LATAM"/>
    <s v="Mexico"/>
    <x v="5"/>
    <s v="Manager"/>
    <x v="221"/>
    <s v="FTE"/>
    <d v="2021-12-07T00:00:00"/>
    <s v="Inactive"/>
    <s v="Technology"/>
    <s v="CC-IT-427"/>
    <n v="4"/>
    <d v="2026-02-18T00:00:00"/>
    <n v="4"/>
    <x v="1"/>
    <n v="0"/>
    <s v="Voluntary"/>
    <n v="3"/>
    <s v="No"/>
    <s v="No"/>
    <s v="No"/>
    <n v="2"/>
    <s v="High"/>
    <n v="87405"/>
    <n v="0.15"/>
    <n v="100515.74999999999"/>
  </r>
  <r>
    <s v="EMP0514"/>
    <s v="LATAM"/>
    <s v="Mexico"/>
    <x v="4"/>
    <s v="IC"/>
    <x v="181"/>
    <s v="Contractor"/>
    <d v="2021-12-06T00:00:00"/>
    <s v="Active"/>
    <s v="People Operations"/>
    <s v="CC-HR-167"/>
    <n v="5"/>
    <s v=""/>
    <n v="4"/>
    <x v="1"/>
    <n v="0"/>
    <s v=""/>
    <n v="2"/>
    <s v="Yes"/>
    <s v="No"/>
    <s v="No"/>
    <n v="5"/>
    <s v="Low"/>
    <n v="40552"/>
    <n v="0.1"/>
    <n v="44607.200000000004"/>
  </r>
  <r>
    <s v="EMP0515"/>
    <s v="LATAM"/>
    <s v="Mexico"/>
    <x v="5"/>
    <s v="Manager"/>
    <x v="172"/>
    <s v="FTE"/>
    <d v="2021-12-02T00:00:00"/>
    <s v="Active"/>
    <s v="Technology"/>
    <s v="CC-IT-647"/>
    <n v="4"/>
    <s v=""/>
    <n v="4"/>
    <x v="1"/>
    <n v="0"/>
    <s v=""/>
    <n v="3"/>
    <s v="No"/>
    <s v="No"/>
    <s v="No"/>
    <n v="4"/>
    <s v="Low"/>
    <n v="64650"/>
    <n v="0.15"/>
    <n v="74347.5"/>
  </r>
  <r>
    <s v="EMP0516"/>
    <s v="LATAM"/>
    <s v="Mexico"/>
    <x v="2"/>
    <s v="Manager"/>
    <x v="34"/>
    <s v="FTE"/>
    <d v="2021-11-19T00:00:00"/>
    <s v="Active"/>
    <s v="Commercial"/>
    <s v="CC-Sal-931"/>
    <n v="4"/>
    <s v=""/>
    <n v="4"/>
    <x v="1"/>
    <n v="0"/>
    <s v=""/>
    <n v="4"/>
    <s v="Yes"/>
    <s v="No"/>
    <s v="No"/>
    <n v="4"/>
    <s v="Low"/>
    <n v="53372"/>
    <n v="0.15"/>
    <n v="61377.799999999996"/>
  </r>
  <r>
    <s v="EMP0517"/>
    <s v="LATAM"/>
    <s v="Mexico"/>
    <x v="4"/>
    <s v="IC"/>
    <x v="222"/>
    <s v="FTE"/>
    <d v="2021-11-18T00:00:00"/>
    <s v="Active"/>
    <s v="People Operations"/>
    <s v="CC-HR-271"/>
    <n v="5"/>
    <s v=""/>
    <n v="4"/>
    <x v="1"/>
    <n v="0"/>
    <s v=""/>
    <n v="5"/>
    <s v="No"/>
    <s v="No"/>
    <s v="No"/>
    <n v="5"/>
    <s v="Low"/>
    <n v="44744"/>
    <n v="0.1"/>
    <n v="49218.400000000001"/>
  </r>
  <r>
    <s v="EMP0518"/>
    <s v="LATAM"/>
    <s v="Mexico"/>
    <x v="1"/>
    <s v="IC"/>
    <x v="88"/>
    <s v="FTE"/>
    <d v="2021-11-17T00:00:00"/>
    <s v="Active"/>
    <s v="Controlling"/>
    <s v="CC-Fin-515"/>
    <n v="5"/>
    <s v=""/>
    <n v="4"/>
    <x v="1"/>
    <n v="0"/>
    <s v=""/>
    <n v="4"/>
    <s v="No"/>
    <s v="No"/>
    <s v="No"/>
    <n v="1"/>
    <s v="High"/>
    <n v="39446"/>
    <n v="0.1"/>
    <n v="43390.600000000006"/>
  </r>
  <r>
    <s v="EMP0519"/>
    <s v="LATAM"/>
    <s v="Mexico"/>
    <x v="3"/>
    <s v="IC"/>
    <x v="31"/>
    <s v="FTE"/>
    <d v="2021-11-12T00:00:00"/>
    <s v="Active"/>
    <s v="Manufacturing"/>
    <s v="CC-Ope-266"/>
    <n v="5"/>
    <s v=""/>
    <n v="4"/>
    <x v="1"/>
    <n v="0"/>
    <s v=""/>
    <n v="3"/>
    <s v="Yes"/>
    <s v="No"/>
    <s v="No"/>
    <n v="5"/>
    <s v="Low"/>
    <n v="48761"/>
    <n v="0.1"/>
    <n v="53637.100000000006"/>
  </r>
  <r>
    <s v="EMP0520"/>
    <s v="LATAM"/>
    <s v="Mexico"/>
    <x v="1"/>
    <s v="Manager"/>
    <x v="90"/>
    <s v="FTE"/>
    <d v="2021-11-10T00:00:00"/>
    <s v="Inactive"/>
    <s v="Controlling"/>
    <s v="CC-Fin-189"/>
    <n v="4"/>
    <d v="2026-02-18T00:00:00"/>
    <n v="4"/>
    <x v="1"/>
    <n v="0"/>
    <s v="Voluntary"/>
    <n v="3"/>
    <s v="No"/>
    <s v="No"/>
    <s v="No"/>
    <n v="1"/>
    <s v="High"/>
    <n v="61276"/>
    <n v="0.15"/>
    <n v="70467.399999999994"/>
  </r>
  <r>
    <s v="EMP0521"/>
    <s v="LATAM"/>
    <s v="Mexico"/>
    <x v="1"/>
    <s v="IC"/>
    <x v="147"/>
    <s v="FTE"/>
    <d v="2021-11-07T00:00:00"/>
    <s v="Active"/>
    <s v="Controlling"/>
    <s v="CC-Fin-803"/>
    <n v="5"/>
    <s v=""/>
    <n v="4"/>
    <x v="1"/>
    <n v="0"/>
    <s v=""/>
    <n v="3"/>
    <s v="Yes"/>
    <s v="No"/>
    <s v="No"/>
    <n v="4"/>
    <s v="Low"/>
    <n v="21100"/>
    <n v="0.1"/>
    <n v="23210.000000000004"/>
  </r>
  <r>
    <s v="EMP0522"/>
    <s v="LATAM"/>
    <s v="Mexico"/>
    <x v="2"/>
    <s v="IC"/>
    <x v="18"/>
    <s v="FTE"/>
    <d v="2021-11-06T00:00:00"/>
    <s v="Active"/>
    <s v="Commercial"/>
    <s v="CC-Sal-178"/>
    <n v="5"/>
    <s v=""/>
    <n v="4"/>
    <x v="1"/>
    <n v="0"/>
    <s v=""/>
    <n v="3"/>
    <s v="Yes"/>
    <s v="No"/>
    <s v="No"/>
    <n v="5"/>
    <s v="Low"/>
    <n v="37631"/>
    <n v="0.1"/>
    <n v="41394.100000000006"/>
  </r>
  <r>
    <s v="EMP0523"/>
    <s v="LATAM"/>
    <s v="Mexico"/>
    <x v="4"/>
    <s v="IC"/>
    <x v="12"/>
    <s v="FTE"/>
    <d v="2021-11-03T00:00:00"/>
    <s v="Active"/>
    <s v="People Operations"/>
    <s v="CC-HR-880"/>
    <n v="5"/>
    <s v=""/>
    <n v="4"/>
    <x v="1"/>
    <n v="0"/>
    <s v=""/>
    <n v="3"/>
    <s v="No"/>
    <s v="No"/>
    <s v="No"/>
    <n v="3"/>
    <s v="Medium"/>
    <n v="26874"/>
    <n v="0.1"/>
    <n v="29561.4"/>
  </r>
  <r>
    <s v="EMP0524"/>
    <s v="LATAM"/>
    <s v="Mexico"/>
    <x v="2"/>
    <s v="Director"/>
    <x v="223"/>
    <s v="FTE"/>
    <d v="2021-10-27T00:00:00"/>
    <s v="Active"/>
    <s v="Commercial"/>
    <s v="CC-Sal-161"/>
    <n v="3"/>
    <s v=""/>
    <n v="4"/>
    <x v="1"/>
    <n v="0"/>
    <s v=""/>
    <n v="4"/>
    <s v="Yes"/>
    <s v="No"/>
    <s v="No"/>
    <n v="3"/>
    <s v="Medium"/>
    <n v="118458"/>
    <n v="0.2"/>
    <n v="142149.6"/>
  </r>
  <r>
    <s v="EMP0525"/>
    <s v="LATAM"/>
    <s v="Mexico"/>
    <x v="0"/>
    <s v="Manager"/>
    <x v="76"/>
    <s v="FTE"/>
    <d v="2021-10-19T00:00:00"/>
    <s v="Active"/>
    <s v="Logistics"/>
    <s v="CC-Sup-978"/>
    <n v="4"/>
    <s v=""/>
    <n v="4"/>
    <x v="1"/>
    <n v="0"/>
    <s v=""/>
    <n v="3"/>
    <s v="No"/>
    <s v="No"/>
    <s v="No"/>
    <n v="1"/>
    <s v="High"/>
    <n v="84159"/>
    <n v="0.15"/>
    <n v="96782.849999999991"/>
  </r>
  <r>
    <s v="EMP0526"/>
    <s v="LATAM"/>
    <s v="Mexico"/>
    <x v="1"/>
    <s v="IC"/>
    <x v="170"/>
    <s v="FTE"/>
    <d v="2021-10-17T00:00:00"/>
    <s v="Inactive"/>
    <s v="Controlling"/>
    <s v="CC-Fin-873"/>
    <n v="5"/>
    <d v="2026-02-18T00:00:00"/>
    <n v="4"/>
    <x v="1"/>
    <n v="0"/>
    <s v="Voluntary"/>
    <n v="4"/>
    <s v="No"/>
    <s v="Yes"/>
    <s v="No"/>
    <n v="5"/>
    <s v="Low"/>
    <n v="48603"/>
    <n v="0.1"/>
    <n v="53463.3"/>
  </r>
  <r>
    <s v="EMP0527"/>
    <s v="LATAM"/>
    <s v="Mexico"/>
    <x v="5"/>
    <s v="Manager"/>
    <x v="90"/>
    <s v="Contractor"/>
    <d v="2021-10-02T00:00:00"/>
    <s v="Active"/>
    <s v="Technology"/>
    <s v="CC-IT-120"/>
    <n v="4"/>
    <s v=""/>
    <n v="4"/>
    <x v="1"/>
    <n v="0"/>
    <s v=""/>
    <n v="4"/>
    <s v="Yes"/>
    <s v="No"/>
    <s v="No"/>
    <n v="4"/>
    <s v="Low"/>
    <n v="71862"/>
    <n v="0.15"/>
    <n v="82641.299999999988"/>
  </r>
  <r>
    <s v="EMP0528"/>
    <s v="LATAM"/>
    <s v="Mexico"/>
    <x v="4"/>
    <s v="Director"/>
    <x v="189"/>
    <s v="FTE"/>
    <d v="2021-10-01T00:00:00"/>
    <s v="Active"/>
    <s v="People Operations"/>
    <s v="CC-HR-113"/>
    <n v="3"/>
    <s v=""/>
    <n v="4"/>
    <x v="1"/>
    <n v="0"/>
    <s v=""/>
    <n v="3"/>
    <s v="No"/>
    <s v="No"/>
    <s v="No"/>
    <n v="3"/>
    <s v="Medium"/>
    <n v="103507"/>
    <n v="0.2"/>
    <n v="124208.4"/>
  </r>
  <r>
    <s v="EMP0529"/>
    <s v="LATAM"/>
    <s v="Mexico"/>
    <x v="3"/>
    <s v="IC"/>
    <x v="86"/>
    <s v="FTE"/>
    <d v="2021-10-01T00:00:00"/>
    <s v="Active"/>
    <s v="Manufacturing"/>
    <s v="CC-Ope-352"/>
    <n v="5"/>
    <s v=""/>
    <n v="4"/>
    <x v="1"/>
    <n v="0"/>
    <s v=""/>
    <n v="4"/>
    <s v="No"/>
    <s v="No"/>
    <s v="No"/>
    <n v="5"/>
    <s v="Low"/>
    <n v="43091"/>
    <n v="0.1"/>
    <n v="47400.100000000006"/>
  </r>
  <r>
    <s v="EMP0530"/>
    <s v="LATAM"/>
    <s v="Mexico"/>
    <x v="4"/>
    <s v="IC"/>
    <x v="224"/>
    <s v="FTE"/>
    <d v="2021-09-26T00:00:00"/>
    <s v="Active"/>
    <s v="People Operations"/>
    <s v="CC-HR-436"/>
    <n v="5"/>
    <s v=""/>
    <n v="4"/>
    <x v="1"/>
    <n v="0"/>
    <s v=""/>
    <n v="3"/>
    <s v="No"/>
    <s v="No"/>
    <s v="No"/>
    <n v="3"/>
    <s v="Medium"/>
    <n v="34955"/>
    <n v="0.1"/>
    <n v="38450.5"/>
  </r>
  <r>
    <s v="EMP0531"/>
    <s v="LATAM"/>
    <s v="Mexico"/>
    <x v="0"/>
    <s v="IC"/>
    <x v="17"/>
    <s v="Contractor"/>
    <d v="2021-09-26T00:00:00"/>
    <s v="Active"/>
    <s v="Logistics"/>
    <s v="CC-Sup-822"/>
    <n v="5"/>
    <s v=""/>
    <n v="4"/>
    <x v="1"/>
    <n v="0"/>
    <s v=""/>
    <n v="3"/>
    <s v="No"/>
    <s v="No"/>
    <s v="No"/>
    <n v="5"/>
    <s v="Low"/>
    <n v="45105"/>
    <n v="0.1"/>
    <n v="49615.500000000007"/>
  </r>
  <r>
    <s v="EMP0532"/>
    <s v="LATAM"/>
    <s v="Mexico"/>
    <x v="5"/>
    <s v="IC"/>
    <x v="51"/>
    <s v="FTE"/>
    <d v="2021-09-24T00:00:00"/>
    <s v="Active"/>
    <s v="Technology"/>
    <s v="CC-IT-472"/>
    <n v="5"/>
    <s v=""/>
    <n v="4"/>
    <x v="1"/>
    <n v="0"/>
    <s v=""/>
    <n v="2"/>
    <s v="No"/>
    <s v="No"/>
    <s v="No"/>
    <n v="5"/>
    <s v="Low"/>
    <n v="41006"/>
    <n v="0.1"/>
    <n v="45106.600000000006"/>
  </r>
  <r>
    <s v="EMP0533"/>
    <s v="LATAM"/>
    <s v="Mexico"/>
    <x v="0"/>
    <s v="VP"/>
    <x v="225"/>
    <s v="FTE"/>
    <d v="2021-09-23T00:00:00"/>
    <s v="Active"/>
    <s v="Logistics"/>
    <s v="CC-Sup-590"/>
    <n v="2"/>
    <s v=""/>
    <n v="4"/>
    <x v="1"/>
    <n v="0"/>
    <s v=""/>
    <n v="2"/>
    <s v="No"/>
    <s v="No"/>
    <s v="No"/>
    <n v="1"/>
    <s v="High"/>
    <n v="192882"/>
    <n v="0.25"/>
    <n v="241102.5"/>
  </r>
  <r>
    <s v="EMP0534"/>
    <s v="LATAM"/>
    <s v="Mexico"/>
    <x v="5"/>
    <s v="Manager"/>
    <x v="194"/>
    <s v="FTE"/>
    <d v="2021-09-13T00:00:00"/>
    <s v="Active"/>
    <s v="Technology"/>
    <s v="CC-IT-254"/>
    <n v="4"/>
    <s v=""/>
    <n v="4"/>
    <x v="1"/>
    <n v="0"/>
    <s v=""/>
    <n v="4"/>
    <s v="No"/>
    <s v="No"/>
    <s v="No"/>
    <n v="1"/>
    <s v="High"/>
    <n v="83368"/>
    <n v="0.15"/>
    <n v="95873.2"/>
  </r>
  <r>
    <s v="EMP0535"/>
    <s v="LATAM"/>
    <s v="Mexico"/>
    <x v="0"/>
    <s v="IC"/>
    <x v="37"/>
    <s v="FTE"/>
    <d v="2021-09-12T00:00:00"/>
    <s v="Active"/>
    <s v="Logistics"/>
    <s v="CC-Sup-500"/>
    <n v="5"/>
    <s v=""/>
    <n v="4"/>
    <x v="1"/>
    <n v="0"/>
    <s v=""/>
    <n v="3"/>
    <s v="No"/>
    <s v="No"/>
    <s v="No"/>
    <n v="5"/>
    <s v="Low"/>
    <n v="40652"/>
    <n v="0.1"/>
    <n v="44717.200000000004"/>
  </r>
  <r>
    <s v="EMP0536"/>
    <s v="LATAM"/>
    <s v="Mexico"/>
    <x v="0"/>
    <s v="Manager"/>
    <x v="226"/>
    <s v="FTE"/>
    <d v="2021-09-06T00:00:00"/>
    <s v="Inactive"/>
    <s v="Logistics"/>
    <s v="CC-Sup-221"/>
    <n v="4"/>
    <d v="2026-02-18T00:00:00"/>
    <n v="4"/>
    <x v="1"/>
    <n v="0"/>
    <s v="Voluntary"/>
    <n v="3"/>
    <s v="No"/>
    <s v="No"/>
    <s v="No"/>
    <n v="2"/>
    <s v="High"/>
    <n v="75374"/>
    <n v="0.15"/>
    <n v="86680.099999999991"/>
  </r>
  <r>
    <s v="EMP0537"/>
    <s v="LATAM"/>
    <s v="Mexico"/>
    <x v="5"/>
    <s v="Manager"/>
    <x v="227"/>
    <s v="FTE"/>
    <d v="2021-08-28T00:00:00"/>
    <s v="Active"/>
    <s v="Technology"/>
    <s v="CC-IT-328"/>
    <n v="4"/>
    <s v=""/>
    <n v="4"/>
    <x v="1"/>
    <n v="0"/>
    <s v=""/>
    <n v="4"/>
    <s v="No"/>
    <s v="Yes"/>
    <s v="No"/>
    <n v="4"/>
    <s v="Low"/>
    <n v="54054"/>
    <n v="0.15"/>
    <n v="62162.1"/>
  </r>
  <r>
    <s v="EMP0538"/>
    <s v="LATAM"/>
    <s v="Mexico"/>
    <x v="1"/>
    <s v="Director"/>
    <x v="223"/>
    <s v="FTE"/>
    <d v="2021-08-27T00:00:00"/>
    <s v="Active"/>
    <s v="Controlling"/>
    <s v="CC-Fin-438"/>
    <n v="3"/>
    <s v=""/>
    <n v="4"/>
    <x v="1"/>
    <n v="0"/>
    <s v=""/>
    <n v="5"/>
    <s v="No"/>
    <s v="No"/>
    <s v="No"/>
    <n v="5"/>
    <s v="Low"/>
    <n v="117173"/>
    <n v="0.2"/>
    <n v="140607.6"/>
  </r>
  <r>
    <s v="EMP0539"/>
    <s v="LATAM"/>
    <s v="Mexico"/>
    <x v="0"/>
    <s v="IC"/>
    <x v="60"/>
    <s v="FTE"/>
    <d v="2021-08-26T00:00:00"/>
    <s v="Active"/>
    <s v="Logistics"/>
    <s v="CC-Sup-160"/>
    <n v="5"/>
    <s v=""/>
    <n v="4"/>
    <x v="1"/>
    <n v="0"/>
    <s v=""/>
    <n v="4"/>
    <s v="Yes"/>
    <s v="No"/>
    <s v="No"/>
    <n v="5"/>
    <s v="Low"/>
    <n v="49275"/>
    <n v="0.1"/>
    <n v="54202.500000000007"/>
  </r>
  <r>
    <s v="EMP0540"/>
    <s v="LATAM"/>
    <s v="Mexico"/>
    <x v="3"/>
    <s v="Manager"/>
    <x v="160"/>
    <s v="FTE"/>
    <d v="2021-08-24T00:00:00"/>
    <s v="Active"/>
    <s v="Manufacturing"/>
    <s v="CC-Ope-200"/>
    <n v="4"/>
    <s v=""/>
    <n v="4"/>
    <x v="1"/>
    <n v="0"/>
    <s v=""/>
    <n v="5"/>
    <s v="No"/>
    <s v="No"/>
    <s v="No"/>
    <n v="4"/>
    <s v="Low"/>
    <n v="77901"/>
    <n v="0.15"/>
    <n v="89586.15"/>
  </r>
  <r>
    <s v="EMP0541"/>
    <s v="LATAM"/>
    <s v="Mexico"/>
    <x v="1"/>
    <s v="IC"/>
    <x v="70"/>
    <s v="FTE"/>
    <d v="2021-08-18T00:00:00"/>
    <s v="Active"/>
    <s v="Controlling"/>
    <s v="CC-Fin-396"/>
    <n v="5"/>
    <s v=""/>
    <n v="4"/>
    <x v="1"/>
    <n v="0"/>
    <s v=""/>
    <n v="4"/>
    <s v="No"/>
    <s v="Yes"/>
    <s v="No"/>
    <n v="1"/>
    <s v="High"/>
    <n v="31294"/>
    <n v="0.1"/>
    <n v="34423.4"/>
  </r>
  <r>
    <s v="EMP0542"/>
    <s v="LATAM"/>
    <s v="Mexico"/>
    <x v="2"/>
    <s v="IC"/>
    <x v="144"/>
    <s v="FTE"/>
    <d v="2021-08-14T00:00:00"/>
    <s v="Active"/>
    <s v="Commercial"/>
    <s v="CC-Sal-704"/>
    <n v="5"/>
    <s v=""/>
    <n v="4"/>
    <x v="1"/>
    <n v="0"/>
    <s v=""/>
    <n v="2"/>
    <s v="No"/>
    <s v="No"/>
    <s v="No"/>
    <n v="5"/>
    <s v="Low"/>
    <n v="24253"/>
    <n v="0.1"/>
    <n v="26678.300000000003"/>
  </r>
  <r>
    <s v="EMP0543"/>
    <s v="LATAM"/>
    <s v="Mexico"/>
    <x v="1"/>
    <s v="IC"/>
    <x v="60"/>
    <s v="FTE"/>
    <d v="2021-08-12T00:00:00"/>
    <s v="Active"/>
    <s v="Controlling"/>
    <s v="CC-Fin-935"/>
    <n v="5"/>
    <s v=""/>
    <n v="4"/>
    <x v="1"/>
    <n v="0"/>
    <s v=""/>
    <n v="3"/>
    <s v="No"/>
    <s v="No"/>
    <s v="No"/>
    <n v="5"/>
    <s v="Low"/>
    <n v="48059"/>
    <n v="0.1"/>
    <n v="52864.9"/>
  </r>
  <r>
    <s v="EMP0544"/>
    <s v="LATAM"/>
    <s v="Mexico"/>
    <x v="0"/>
    <s v="IC"/>
    <x v="46"/>
    <s v="FTE"/>
    <d v="2021-08-11T00:00:00"/>
    <s v="Active"/>
    <s v="Logistics"/>
    <s v="CC-Sup-413"/>
    <n v="5"/>
    <s v=""/>
    <n v="4"/>
    <x v="1"/>
    <n v="0"/>
    <s v=""/>
    <n v="2"/>
    <s v="Yes"/>
    <s v="No"/>
    <s v="No"/>
    <n v="1"/>
    <s v="High"/>
    <n v="32706"/>
    <n v="0.1"/>
    <n v="35976.600000000006"/>
  </r>
  <r>
    <s v="EMP0545"/>
    <s v="LATAM"/>
    <s v="Mexico"/>
    <x v="0"/>
    <s v="IC"/>
    <x v="228"/>
    <s v="FTE"/>
    <d v="2021-08-07T00:00:00"/>
    <s v="Active"/>
    <s v="Logistics"/>
    <s v="CC-Sup-561"/>
    <n v="5"/>
    <s v=""/>
    <n v="4"/>
    <x v="1"/>
    <n v="0"/>
    <s v=""/>
    <n v="4"/>
    <s v="No"/>
    <s v="No"/>
    <s v="No"/>
    <n v="2"/>
    <s v="High"/>
    <n v="31823"/>
    <n v="0.1"/>
    <n v="35005.300000000003"/>
  </r>
  <r>
    <s v="EMP0546"/>
    <s v="LATAM"/>
    <s v="Mexico"/>
    <x v="5"/>
    <s v="IC"/>
    <x v="25"/>
    <s v="FTE"/>
    <d v="2021-08-03T00:00:00"/>
    <s v="Active"/>
    <s v="Technology"/>
    <s v="CC-IT-829"/>
    <n v="5"/>
    <s v=""/>
    <n v="4"/>
    <x v="1"/>
    <n v="0"/>
    <s v=""/>
    <n v="4"/>
    <s v="No"/>
    <s v="Yes"/>
    <s v="No"/>
    <n v="3"/>
    <s v="Medium"/>
    <n v="28835"/>
    <n v="0.1"/>
    <n v="31718.500000000004"/>
  </r>
  <r>
    <s v="EMP0547"/>
    <s v="LATAM"/>
    <s v="Mexico"/>
    <x v="0"/>
    <s v="IC"/>
    <x v="203"/>
    <s v="FTE"/>
    <d v="2021-07-25T00:00:00"/>
    <s v="Inactive"/>
    <s v="Logistics"/>
    <s v="CC-Sup-905"/>
    <n v="5"/>
    <d v="2026-02-18T00:00:00"/>
    <n v="4"/>
    <x v="1"/>
    <n v="0"/>
    <s v="Voluntary"/>
    <n v="4"/>
    <s v="No"/>
    <s v="No"/>
    <s v="No"/>
    <n v="2"/>
    <s v="High"/>
    <n v="32116"/>
    <n v="0.1"/>
    <n v="35327.600000000006"/>
  </r>
  <r>
    <s v="EMP0548"/>
    <s v="LATAM"/>
    <s v="Mexico"/>
    <x v="0"/>
    <s v="IC"/>
    <x v="177"/>
    <s v="Contractor"/>
    <d v="2021-07-25T00:00:00"/>
    <s v="Active"/>
    <s v="Logistics"/>
    <s v="CC-Sup-668"/>
    <n v="5"/>
    <s v=""/>
    <n v="4"/>
    <x v="1"/>
    <n v="0"/>
    <s v=""/>
    <n v="3"/>
    <s v="No"/>
    <s v="No"/>
    <s v="No"/>
    <n v="3"/>
    <s v="Medium"/>
    <n v="31804"/>
    <n v="0.1"/>
    <n v="34984.400000000001"/>
  </r>
  <r>
    <s v="EMP0549"/>
    <s v="LATAM"/>
    <s v="Mexico"/>
    <x v="1"/>
    <s v="Director"/>
    <x v="11"/>
    <s v="FTE"/>
    <d v="2021-07-23T00:00:00"/>
    <s v="Active"/>
    <s v="Controlling"/>
    <s v="CC-Fin-480"/>
    <n v="3"/>
    <s v=""/>
    <n v="4"/>
    <x v="1"/>
    <n v="0"/>
    <s v=""/>
    <n v="4"/>
    <s v="No"/>
    <s v="No"/>
    <s v="No"/>
    <n v="2"/>
    <s v="High"/>
    <n v="136313"/>
    <n v="0.2"/>
    <n v="163575.6"/>
  </r>
  <r>
    <s v="EMP0550"/>
    <s v="LATAM"/>
    <s v="Mexico"/>
    <x v="5"/>
    <s v="Manager"/>
    <x v="141"/>
    <s v="FTE"/>
    <d v="2021-07-21T00:00:00"/>
    <s v="Active"/>
    <s v="Technology"/>
    <s v="CC-IT-383"/>
    <n v="4"/>
    <s v=""/>
    <n v="4"/>
    <x v="1"/>
    <n v="0"/>
    <s v=""/>
    <n v="3"/>
    <s v="No"/>
    <s v="No"/>
    <s v="No"/>
    <n v="4"/>
    <s v="Low"/>
    <n v="75324"/>
    <n v="0.15"/>
    <n v="86622.599999999991"/>
  </r>
  <r>
    <s v="EMP0551"/>
    <s v="LATAM"/>
    <s v="Mexico"/>
    <x v="4"/>
    <s v="IC"/>
    <x v="177"/>
    <s v="FTE"/>
    <d v="2021-07-20T00:00:00"/>
    <s v="Active"/>
    <s v="People Operations"/>
    <s v="CC-HR-871"/>
    <n v="5"/>
    <s v=""/>
    <n v="4"/>
    <x v="1"/>
    <n v="0"/>
    <s v=""/>
    <n v="5"/>
    <s v="Yes"/>
    <s v="No"/>
    <s v="No"/>
    <n v="1"/>
    <s v="High"/>
    <n v="25880"/>
    <n v="0.1"/>
    <n v="28468.000000000004"/>
  </r>
  <r>
    <s v="EMP0552"/>
    <s v="LATAM"/>
    <s v="Mexico"/>
    <x v="0"/>
    <s v="Manager"/>
    <x v="207"/>
    <s v="FTE"/>
    <d v="2021-07-17T00:00:00"/>
    <s v="Active"/>
    <s v="Logistics"/>
    <s v="CC-Sup-971"/>
    <n v="4"/>
    <s v=""/>
    <n v="4"/>
    <x v="1"/>
    <n v="0"/>
    <s v=""/>
    <n v="4"/>
    <s v="No"/>
    <s v="No"/>
    <s v="No"/>
    <n v="3"/>
    <s v="Medium"/>
    <n v="85192"/>
    <n v="0.15"/>
    <n v="97970.799999999988"/>
  </r>
  <r>
    <s v="EMP0553"/>
    <s v="LATAM"/>
    <s v="Mexico"/>
    <x v="4"/>
    <s v="IC"/>
    <x v="73"/>
    <s v="FTE"/>
    <d v="2021-07-05T00:00:00"/>
    <s v="Active"/>
    <s v="People Operations"/>
    <s v="CC-HR-744"/>
    <n v="5"/>
    <s v=""/>
    <n v="4"/>
    <x v="1"/>
    <n v="0"/>
    <s v=""/>
    <n v="5"/>
    <s v="No"/>
    <s v="Yes"/>
    <s v="No"/>
    <n v="5"/>
    <s v="Low"/>
    <n v="44256"/>
    <n v="0.1"/>
    <n v="48681.600000000006"/>
  </r>
  <r>
    <s v="EMP0554"/>
    <s v="LATAM"/>
    <s v="Mexico"/>
    <x v="2"/>
    <s v="IC"/>
    <x v="134"/>
    <s v="Contractor"/>
    <d v="2021-07-05T00:00:00"/>
    <s v="Active"/>
    <s v="Commercial"/>
    <s v="CC-Sal-725"/>
    <n v="5"/>
    <s v=""/>
    <n v="4"/>
    <x v="1"/>
    <n v="0"/>
    <s v=""/>
    <n v="2"/>
    <s v="No"/>
    <s v="Yes"/>
    <s v="No"/>
    <n v="5"/>
    <s v="Low"/>
    <n v="44713"/>
    <n v="0.1"/>
    <n v="49184.3"/>
  </r>
  <r>
    <s v="EMP0555"/>
    <s v="LATAM"/>
    <s v="Mexico"/>
    <x v="5"/>
    <s v="IC"/>
    <x v="31"/>
    <s v="FTE"/>
    <d v="2021-07-02T00:00:00"/>
    <s v="Active"/>
    <s v="Technology"/>
    <s v="CC-IT-595"/>
    <n v="5"/>
    <s v=""/>
    <n v="4"/>
    <x v="1"/>
    <n v="0"/>
    <s v=""/>
    <n v="2"/>
    <s v="No"/>
    <s v="No"/>
    <s v="No"/>
    <n v="1"/>
    <s v="High"/>
    <n v="26384"/>
    <n v="0.1"/>
    <n v="29022.400000000001"/>
  </r>
  <r>
    <s v="EMP0556"/>
    <s v="LATAM"/>
    <s v="Mexico"/>
    <x v="1"/>
    <s v="IC"/>
    <x v="68"/>
    <s v="FTE"/>
    <d v="2021-07-02T00:00:00"/>
    <s v="Active"/>
    <s v="Controlling"/>
    <s v="CC-Fin-101"/>
    <n v="5"/>
    <s v=""/>
    <n v="4"/>
    <x v="1"/>
    <n v="0"/>
    <s v=""/>
    <n v="4"/>
    <s v="No"/>
    <s v="No"/>
    <s v="No"/>
    <n v="5"/>
    <s v="Low"/>
    <n v="46317"/>
    <n v="0.1"/>
    <n v="50948.700000000004"/>
  </r>
  <r>
    <s v="EMP0557"/>
    <s v="LATAM"/>
    <s v="Mexico"/>
    <x v="4"/>
    <s v="IC"/>
    <x v="229"/>
    <s v="FTE"/>
    <d v="2021-06-18T00:00:00"/>
    <s v="Active"/>
    <s v="People Operations"/>
    <s v="CC-HR-171"/>
    <n v="5"/>
    <s v=""/>
    <n v="4"/>
    <x v="1"/>
    <n v="0"/>
    <s v=""/>
    <n v="3"/>
    <s v="No"/>
    <s v="No"/>
    <s v="No"/>
    <n v="5"/>
    <s v="Low"/>
    <n v="26304"/>
    <n v="0.1"/>
    <n v="28934.400000000001"/>
  </r>
  <r>
    <s v="EMP0558"/>
    <s v="LATAM"/>
    <s v="Mexico"/>
    <x v="5"/>
    <s v="IC"/>
    <x v="108"/>
    <s v="FTE"/>
    <d v="2021-06-15T00:00:00"/>
    <s v="Active"/>
    <s v="Technology"/>
    <s v="CC-IT-792"/>
    <n v="5"/>
    <s v=""/>
    <n v="4"/>
    <x v="1"/>
    <n v="0"/>
    <s v=""/>
    <n v="5"/>
    <s v="No"/>
    <s v="No"/>
    <s v="No"/>
    <n v="4"/>
    <s v="Low"/>
    <n v="30256"/>
    <n v="0.1"/>
    <n v="33281.600000000006"/>
  </r>
  <r>
    <s v="EMP0559"/>
    <s v="LATAM"/>
    <s v="Mexico"/>
    <x v="5"/>
    <s v="IC"/>
    <x v="211"/>
    <s v="FTE"/>
    <d v="2021-06-14T00:00:00"/>
    <s v="Inactive"/>
    <s v="Technology"/>
    <s v="CC-IT-142"/>
    <n v="5"/>
    <d v="2026-02-18T00:00:00"/>
    <n v="4"/>
    <x v="1"/>
    <n v="0"/>
    <s v="Voluntary"/>
    <n v="5"/>
    <s v="No"/>
    <s v="No"/>
    <s v="No"/>
    <n v="1"/>
    <s v="High"/>
    <n v="30568"/>
    <n v="0.1"/>
    <n v="33624.800000000003"/>
  </r>
  <r>
    <s v="EMP0560"/>
    <s v="LATAM"/>
    <s v="Mexico"/>
    <x v="5"/>
    <s v="IC"/>
    <x v="120"/>
    <s v="FTE"/>
    <d v="2021-06-11T00:00:00"/>
    <s v="Active"/>
    <s v="Technology"/>
    <s v="CC-IT-811"/>
    <n v="5"/>
    <s v=""/>
    <n v="4"/>
    <x v="1"/>
    <n v="0"/>
    <s v=""/>
    <n v="5"/>
    <s v="No"/>
    <s v="No"/>
    <s v="No"/>
    <n v="3"/>
    <s v="Medium"/>
    <n v="35082"/>
    <n v="0.1"/>
    <n v="38590.200000000004"/>
  </r>
  <r>
    <s v="EMP0561"/>
    <s v="LATAM"/>
    <s v="Mexico"/>
    <x v="5"/>
    <s v="IC"/>
    <x v="144"/>
    <s v="Contractor"/>
    <d v="2021-06-09T00:00:00"/>
    <s v="Active"/>
    <s v="Technology"/>
    <s v="CC-IT-567"/>
    <n v="5"/>
    <s v=""/>
    <n v="4"/>
    <x v="1"/>
    <n v="0"/>
    <s v=""/>
    <n v="2"/>
    <s v="No"/>
    <s v="No"/>
    <s v="No"/>
    <n v="4"/>
    <s v="Low"/>
    <n v="35743"/>
    <n v="0.1"/>
    <n v="39317.300000000003"/>
  </r>
  <r>
    <s v="EMP0562"/>
    <s v="LATAM"/>
    <s v="Mexico"/>
    <x v="3"/>
    <s v="IC"/>
    <x v="113"/>
    <s v="FTE"/>
    <d v="2021-06-07T00:00:00"/>
    <s v="Active"/>
    <s v="Manufacturing"/>
    <s v="CC-Ope-807"/>
    <n v="5"/>
    <s v=""/>
    <n v="4"/>
    <x v="1"/>
    <n v="0"/>
    <s v=""/>
    <n v="3"/>
    <s v="Yes"/>
    <s v="No"/>
    <s v="No"/>
    <n v="4"/>
    <s v="Low"/>
    <n v="43959"/>
    <n v="0.1"/>
    <n v="48354.9"/>
  </r>
  <r>
    <s v="EMP0563"/>
    <s v="LATAM"/>
    <s v="Mexico"/>
    <x v="0"/>
    <s v="Manager"/>
    <x v="208"/>
    <s v="FTE"/>
    <d v="2021-06-04T00:00:00"/>
    <s v="Active"/>
    <s v="Logistics"/>
    <s v="CC-Sup-348"/>
    <n v="4"/>
    <s v=""/>
    <n v="4"/>
    <x v="1"/>
    <n v="0"/>
    <s v=""/>
    <n v="3"/>
    <s v="No"/>
    <s v="No"/>
    <s v="No"/>
    <n v="4"/>
    <s v="Low"/>
    <n v="66081"/>
    <n v="0.15"/>
    <n v="75993.149999999994"/>
  </r>
  <r>
    <s v="EMP0564"/>
    <s v="LATAM"/>
    <s v="Mexico"/>
    <x v="0"/>
    <s v="IC"/>
    <x v="85"/>
    <s v="FTE"/>
    <d v="2021-06-04T00:00:00"/>
    <s v="Active"/>
    <s v="Logistics"/>
    <s v="CC-Sup-538"/>
    <n v="5"/>
    <s v=""/>
    <n v="4"/>
    <x v="1"/>
    <n v="0"/>
    <s v=""/>
    <n v="3"/>
    <s v="No"/>
    <s v="No"/>
    <s v="No"/>
    <n v="2"/>
    <s v="High"/>
    <n v="43745"/>
    <n v="0.1"/>
    <n v="48119.500000000007"/>
  </r>
  <r>
    <s v="EMP0565"/>
    <s v="LATAM"/>
    <s v="Mexico"/>
    <x v="3"/>
    <s v="IC"/>
    <x v="117"/>
    <s v="FTE"/>
    <d v="2021-05-28T00:00:00"/>
    <s v="Active"/>
    <s v="Manufacturing"/>
    <s v="CC-Ope-713"/>
    <n v="5"/>
    <s v=""/>
    <n v="4"/>
    <x v="1"/>
    <n v="0"/>
    <s v=""/>
    <n v="4"/>
    <s v="No"/>
    <s v="No"/>
    <s v="No"/>
    <n v="3"/>
    <s v="Medium"/>
    <n v="21035"/>
    <n v="0.1"/>
    <n v="23138.500000000004"/>
  </r>
  <r>
    <s v="EMP0566"/>
    <s v="LATAM"/>
    <s v="Mexico"/>
    <x v="3"/>
    <s v="IC"/>
    <x v="145"/>
    <s v="FTE"/>
    <d v="2021-05-21T00:00:00"/>
    <s v="Active"/>
    <s v="Manufacturing"/>
    <s v="CC-Ope-196"/>
    <n v="5"/>
    <s v=""/>
    <n v="4"/>
    <x v="1"/>
    <n v="0"/>
    <s v=""/>
    <n v="3"/>
    <s v="No"/>
    <s v="No"/>
    <s v="No"/>
    <n v="2"/>
    <s v="High"/>
    <n v="40035"/>
    <n v="0.1"/>
    <n v="44038.5"/>
  </r>
  <r>
    <s v="EMP0567"/>
    <s v="LATAM"/>
    <s v="Mexico"/>
    <x v="2"/>
    <s v="IC"/>
    <x v="182"/>
    <s v="FTE"/>
    <d v="2021-05-18T00:00:00"/>
    <s v="Active"/>
    <s v="Commercial"/>
    <s v="CC-Sal-543"/>
    <n v="5"/>
    <s v=""/>
    <n v="4"/>
    <x v="1"/>
    <n v="0"/>
    <s v=""/>
    <n v="2"/>
    <s v="No"/>
    <s v="No"/>
    <s v="No"/>
    <n v="1"/>
    <s v="High"/>
    <n v="25003"/>
    <n v="0.1"/>
    <n v="27503.300000000003"/>
  </r>
  <r>
    <s v="EMP0568"/>
    <s v="LATAM"/>
    <s v="Mexico"/>
    <x v="3"/>
    <s v="Manager"/>
    <x v="100"/>
    <s v="FTE"/>
    <d v="2021-05-10T00:00:00"/>
    <s v="Active"/>
    <s v="Manufacturing"/>
    <s v="CC-Ope-675"/>
    <n v="4"/>
    <s v=""/>
    <n v="4"/>
    <x v="1"/>
    <n v="0"/>
    <s v=""/>
    <n v="3"/>
    <s v="No"/>
    <s v="No"/>
    <s v="No"/>
    <n v="3"/>
    <s v="Medium"/>
    <n v="86852"/>
    <n v="0.15"/>
    <n v="99879.799999999988"/>
  </r>
  <r>
    <s v="EMP0569"/>
    <s v="LATAM"/>
    <s v="Mexico"/>
    <x v="3"/>
    <s v="IC"/>
    <x v="230"/>
    <s v="FTE"/>
    <d v="2021-05-08T00:00:00"/>
    <s v="Active"/>
    <s v="Manufacturing"/>
    <s v="CC-Ope-448"/>
    <n v="5"/>
    <s v=""/>
    <n v="4"/>
    <x v="1"/>
    <n v="0"/>
    <s v=""/>
    <n v="3"/>
    <s v="No"/>
    <s v="No"/>
    <s v="No"/>
    <n v="1"/>
    <s v="High"/>
    <n v="31688"/>
    <n v="0.1"/>
    <n v="34856.800000000003"/>
  </r>
  <r>
    <s v="EMP0570"/>
    <s v="LATAM"/>
    <s v="Mexico"/>
    <x v="3"/>
    <s v="IC"/>
    <x v="185"/>
    <s v="FTE"/>
    <d v="2021-05-07T00:00:00"/>
    <s v="Active"/>
    <s v="Manufacturing"/>
    <s v="CC-Ope-544"/>
    <n v="5"/>
    <s v=""/>
    <n v="4"/>
    <x v="1"/>
    <n v="0"/>
    <s v=""/>
    <n v="2"/>
    <s v="No"/>
    <s v="No"/>
    <s v="No"/>
    <n v="1"/>
    <s v="High"/>
    <n v="49461"/>
    <n v="0.1"/>
    <n v="54407.100000000006"/>
  </r>
  <r>
    <s v="EMP0571"/>
    <s v="LATAM"/>
    <s v="Mexico"/>
    <x v="3"/>
    <s v="IC"/>
    <x v="27"/>
    <s v="FTE"/>
    <d v="2021-05-07T00:00:00"/>
    <s v="Active"/>
    <s v="Manufacturing"/>
    <s v="CC-Ope-185"/>
    <n v="5"/>
    <s v=""/>
    <n v="4"/>
    <x v="1"/>
    <n v="0"/>
    <s v=""/>
    <n v="4"/>
    <s v="No"/>
    <s v="No"/>
    <s v="No"/>
    <n v="5"/>
    <s v="Low"/>
    <n v="30951"/>
    <n v="0.1"/>
    <n v="34046.100000000006"/>
  </r>
  <r>
    <s v="EMP0572"/>
    <s v="LATAM"/>
    <s v="Mexico"/>
    <x v="5"/>
    <s v="IC"/>
    <x v="119"/>
    <s v="FTE"/>
    <d v="2021-05-05T00:00:00"/>
    <s v="Inactive"/>
    <s v="Technology"/>
    <s v="CC-IT-992"/>
    <n v="5"/>
    <d v="2022-07-29T00:00:00"/>
    <n v="1"/>
    <x v="0"/>
    <n v="1"/>
    <s v="Involuntary"/>
    <n v="3"/>
    <s v="No"/>
    <s v="No"/>
    <s v="No"/>
    <n v="4"/>
    <s v="Low"/>
    <n v="38631"/>
    <n v="0.1"/>
    <n v="42494.100000000006"/>
  </r>
  <r>
    <s v="EMP0573"/>
    <s v="LATAM"/>
    <s v="Mexico"/>
    <x v="2"/>
    <s v="IC"/>
    <x v="199"/>
    <s v="FTE"/>
    <d v="2021-05-04T00:00:00"/>
    <s v="Active"/>
    <s v="Commercial"/>
    <s v="CC-Sal-691"/>
    <n v="5"/>
    <s v=""/>
    <n v="4"/>
    <x v="1"/>
    <n v="0"/>
    <s v=""/>
    <n v="2"/>
    <s v="No"/>
    <s v="No"/>
    <s v="No"/>
    <n v="4"/>
    <s v="Low"/>
    <n v="37711"/>
    <n v="0.1"/>
    <n v="41482.100000000006"/>
  </r>
  <r>
    <s v="EMP0574"/>
    <s v="LATAM"/>
    <s v="Mexico"/>
    <x v="5"/>
    <s v="IC"/>
    <x v="115"/>
    <s v="FTE"/>
    <d v="2021-04-26T00:00:00"/>
    <s v="Active"/>
    <s v="Technology"/>
    <s v="CC-IT-388"/>
    <n v="5"/>
    <s v=""/>
    <n v="4"/>
    <x v="1"/>
    <n v="0"/>
    <s v=""/>
    <n v="3"/>
    <s v="No"/>
    <s v="No"/>
    <s v="No"/>
    <n v="4"/>
    <s v="Low"/>
    <n v="26809"/>
    <n v="0.1"/>
    <n v="29489.9"/>
  </r>
  <r>
    <s v="EMP0575"/>
    <s v="LATAM"/>
    <s v="Mexico"/>
    <x v="5"/>
    <s v="IC"/>
    <x v="21"/>
    <s v="FTE"/>
    <d v="2021-04-15T00:00:00"/>
    <s v="Active"/>
    <s v="Technology"/>
    <s v="CC-IT-199"/>
    <n v="5"/>
    <s v=""/>
    <n v="4"/>
    <x v="1"/>
    <n v="0"/>
    <s v=""/>
    <n v="4"/>
    <s v="No"/>
    <s v="No"/>
    <s v="No"/>
    <n v="4"/>
    <s v="Low"/>
    <n v="47913"/>
    <n v="0.1"/>
    <n v="52704.3"/>
  </r>
  <r>
    <s v="EMP0576"/>
    <s v="LATAM"/>
    <s v="Mexico"/>
    <x v="4"/>
    <s v="IC"/>
    <x v="186"/>
    <s v="FTE"/>
    <d v="2021-04-14T00:00:00"/>
    <s v="Active"/>
    <s v="People Operations"/>
    <s v="CC-HR-436"/>
    <n v="5"/>
    <s v=""/>
    <n v="4"/>
    <x v="1"/>
    <n v="0"/>
    <s v=""/>
    <n v="3"/>
    <s v="No"/>
    <s v="No"/>
    <s v="No"/>
    <n v="5"/>
    <s v="Low"/>
    <n v="39622"/>
    <n v="0.1"/>
    <n v="43584.200000000004"/>
  </r>
  <r>
    <s v="EMP0577"/>
    <s v="LATAM"/>
    <s v="Mexico"/>
    <x v="0"/>
    <s v="IC"/>
    <x v="210"/>
    <s v="FTE"/>
    <d v="2021-04-13T00:00:00"/>
    <s v="Active"/>
    <s v="Logistics"/>
    <s v="CC-Sup-331"/>
    <n v="5"/>
    <s v=""/>
    <n v="4"/>
    <x v="1"/>
    <n v="0"/>
    <s v=""/>
    <n v="4"/>
    <s v="No"/>
    <s v="No"/>
    <s v="No"/>
    <n v="5"/>
    <s v="Low"/>
    <n v="22188"/>
    <n v="0.1"/>
    <n v="24406.800000000003"/>
  </r>
  <r>
    <s v="EMP0578"/>
    <s v="LATAM"/>
    <s v="Mexico"/>
    <x v="0"/>
    <s v="IC"/>
    <x v="7"/>
    <s v="FTE"/>
    <d v="2021-04-12T00:00:00"/>
    <s v="Active"/>
    <s v="Logistics"/>
    <s v="CC-Sup-219"/>
    <n v="5"/>
    <s v=""/>
    <n v="4"/>
    <x v="1"/>
    <n v="0"/>
    <s v=""/>
    <n v="3"/>
    <s v="No"/>
    <s v="No"/>
    <s v="No"/>
    <n v="1"/>
    <s v="High"/>
    <n v="39406"/>
    <n v="0.1"/>
    <n v="43346.600000000006"/>
  </r>
  <r>
    <s v="EMP0579"/>
    <s v="LATAM"/>
    <s v="Mexico"/>
    <x v="5"/>
    <s v="VP"/>
    <x v="225"/>
    <s v="FTE"/>
    <d v="2021-04-11T00:00:00"/>
    <s v="Active"/>
    <s v="Technology"/>
    <s v="CC-IT-954"/>
    <n v="2"/>
    <s v=""/>
    <n v="4"/>
    <x v="1"/>
    <n v="0"/>
    <s v=""/>
    <n v="3"/>
    <s v="No"/>
    <s v="No"/>
    <s v="No"/>
    <n v="1"/>
    <s v="High"/>
    <n v="177970"/>
    <n v="0.25"/>
    <n v="222462.5"/>
  </r>
  <r>
    <s v="EMP0580"/>
    <s v="LATAM"/>
    <s v="Mexico"/>
    <x v="3"/>
    <s v="IC"/>
    <x v="27"/>
    <s v="FTE"/>
    <d v="2021-04-02T00:00:00"/>
    <s v="Active"/>
    <s v="Manufacturing"/>
    <s v="CC-Ope-426"/>
    <n v="5"/>
    <s v=""/>
    <n v="4"/>
    <x v="1"/>
    <n v="0"/>
    <s v=""/>
    <n v="3"/>
    <s v="No"/>
    <s v="No"/>
    <s v="No"/>
    <n v="2"/>
    <s v="High"/>
    <n v="38726"/>
    <n v="0.1"/>
    <n v="42598.600000000006"/>
  </r>
  <r>
    <s v="EMP0581"/>
    <s v="LATAM"/>
    <s v="Mexico"/>
    <x v="3"/>
    <s v="IC"/>
    <x v="231"/>
    <s v="FTE"/>
    <d v="2021-03-28T00:00:00"/>
    <s v="Active"/>
    <s v="Manufacturing"/>
    <s v="CC-Ope-943"/>
    <n v="5"/>
    <s v=""/>
    <n v="4"/>
    <x v="1"/>
    <n v="0"/>
    <s v=""/>
    <n v="4"/>
    <s v="No"/>
    <s v="No"/>
    <s v="No"/>
    <n v="4"/>
    <s v="Low"/>
    <n v="39208"/>
    <n v="0.1"/>
    <n v="43128.800000000003"/>
  </r>
  <r>
    <s v="EMP0582"/>
    <s v="LATAM"/>
    <s v="Mexico"/>
    <x v="2"/>
    <s v="Manager"/>
    <x v="232"/>
    <s v="Contractor"/>
    <d v="2021-03-20T00:00:00"/>
    <s v="Active"/>
    <s v="Commercial"/>
    <s v="CC-Sal-135"/>
    <n v="4"/>
    <s v=""/>
    <n v="4"/>
    <x v="1"/>
    <n v="0"/>
    <s v=""/>
    <n v="3"/>
    <s v="No"/>
    <s v="No"/>
    <s v="No"/>
    <n v="1"/>
    <s v="High"/>
    <n v="80065"/>
    <n v="0.15"/>
    <n v="92074.75"/>
  </r>
  <r>
    <s v="EMP0583"/>
    <s v="LATAM"/>
    <s v="Mexico"/>
    <x v="1"/>
    <s v="Manager"/>
    <x v="106"/>
    <s v="FTE"/>
    <d v="2021-03-14T00:00:00"/>
    <s v="Active"/>
    <s v="Controlling"/>
    <s v="CC-Fin-865"/>
    <n v="4"/>
    <s v=""/>
    <n v="4"/>
    <x v="1"/>
    <n v="0"/>
    <s v=""/>
    <n v="4"/>
    <s v="No"/>
    <s v="Yes"/>
    <s v="Yes"/>
    <n v="4"/>
    <s v="Low"/>
    <n v="58220"/>
    <n v="0.15"/>
    <n v="66953"/>
  </r>
  <r>
    <s v="EMP0584"/>
    <s v="LATAM"/>
    <s v="Mexico"/>
    <x v="3"/>
    <s v="IC"/>
    <x v="97"/>
    <s v="FTE"/>
    <d v="2021-03-12T00:00:00"/>
    <s v="Active"/>
    <s v="Manufacturing"/>
    <s v="CC-Ope-788"/>
    <n v="5"/>
    <s v=""/>
    <n v="4"/>
    <x v="1"/>
    <n v="0"/>
    <s v=""/>
    <n v="4"/>
    <s v="No"/>
    <s v="No"/>
    <s v="No"/>
    <n v="4"/>
    <s v="Low"/>
    <n v="45377"/>
    <n v="0.1"/>
    <n v="49914.700000000004"/>
  </r>
  <r>
    <s v="EMP0585"/>
    <s v="LATAM"/>
    <s v="Mexico"/>
    <x v="5"/>
    <s v="IC"/>
    <x v="18"/>
    <s v="FTE"/>
    <d v="2021-03-11T00:00:00"/>
    <s v="Active"/>
    <s v="Technology"/>
    <s v="CC-IT-821"/>
    <n v="5"/>
    <s v=""/>
    <n v="4"/>
    <x v="1"/>
    <n v="0"/>
    <s v=""/>
    <n v="2"/>
    <s v="No"/>
    <s v="No"/>
    <s v="No"/>
    <n v="3"/>
    <s v="Medium"/>
    <n v="26537"/>
    <n v="0.1"/>
    <n v="29190.7"/>
  </r>
  <r>
    <s v="EMP0586"/>
    <s v="LATAM"/>
    <s v="Mexico"/>
    <x v="3"/>
    <s v="IC"/>
    <x v="203"/>
    <s v="FTE"/>
    <d v="2021-03-06T00:00:00"/>
    <s v="Active"/>
    <s v="Manufacturing"/>
    <s v="CC-Ope-152"/>
    <n v="5"/>
    <s v=""/>
    <n v="4"/>
    <x v="1"/>
    <n v="0"/>
    <s v=""/>
    <n v="3"/>
    <s v="Yes"/>
    <s v="No"/>
    <s v="No"/>
    <n v="5"/>
    <s v="Low"/>
    <n v="29624"/>
    <n v="0.1"/>
    <n v="32586.400000000001"/>
  </r>
  <r>
    <s v="EMP0587"/>
    <s v="LATAM"/>
    <s v="Mexico"/>
    <x v="3"/>
    <s v="IC"/>
    <x v="233"/>
    <s v="FTE"/>
    <d v="2021-03-02T00:00:00"/>
    <s v="Inactive"/>
    <s v="Manufacturing"/>
    <s v="CC-Ope-971"/>
    <n v="5"/>
    <d v="2023-02-16T00:00:00"/>
    <n v="1"/>
    <x v="0"/>
    <n v="1"/>
    <s v="Involuntary"/>
    <n v="3"/>
    <s v="No"/>
    <s v="No"/>
    <s v="No"/>
    <n v="4"/>
    <s v="Low"/>
    <n v="49178"/>
    <n v="0.1"/>
    <n v="54095.8"/>
  </r>
  <r>
    <s v="EMP0588"/>
    <s v="LATAM"/>
    <s v="Mexico"/>
    <x v="0"/>
    <s v="IC"/>
    <x v="6"/>
    <s v="FTE"/>
    <d v="2021-02-20T00:00:00"/>
    <s v="Active"/>
    <s v="Logistics"/>
    <s v="CC-Sup-679"/>
    <n v="5"/>
    <s v=""/>
    <n v="5"/>
    <x v="1"/>
    <n v="0"/>
    <s v=""/>
    <n v="4"/>
    <s v="No"/>
    <s v="No"/>
    <s v="No"/>
    <n v="1"/>
    <s v="High"/>
    <n v="27954"/>
    <n v="0.1"/>
    <n v="30749.4"/>
  </r>
  <r>
    <s v="EMP0589"/>
    <s v="LATAM"/>
    <s v="Mexico"/>
    <x v="0"/>
    <s v="IC"/>
    <x v="214"/>
    <s v="FTE"/>
    <d v="2021-02-18T00:00:00"/>
    <s v="Active"/>
    <s v="Logistics"/>
    <s v="CC-Sup-414"/>
    <n v="5"/>
    <s v=""/>
    <n v="5"/>
    <x v="1"/>
    <n v="0"/>
    <s v=""/>
    <n v="5"/>
    <s v="No"/>
    <s v="No"/>
    <s v="No"/>
    <n v="1"/>
    <s v="High"/>
    <n v="45908"/>
    <n v="0.1"/>
    <n v="50498.8"/>
  </r>
  <r>
    <s v="EMP0590"/>
    <s v="LATAM"/>
    <s v="Mexico"/>
    <x v="4"/>
    <s v="IC"/>
    <x v="60"/>
    <s v="FTE"/>
    <d v="2021-02-17T00:00:00"/>
    <s v="Active"/>
    <s v="People Operations"/>
    <s v="CC-HR-617"/>
    <n v="5"/>
    <s v=""/>
    <n v="5"/>
    <x v="1"/>
    <n v="0"/>
    <s v=""/>
    <n v="3"/>
    <s v="No"/>
    <s v="No"/>
    <s v="No"/>
    <n v="4"/>
    <s v="Low"/>
    <n v="20571"/>
    <n v="0.1"/>
    <n v="22628.100000000002"/>
  </r>
  <r>
    <s v="EMP0591"/>
    <s v="LATAM"/>
    <s v="Mexico"/>
    <x v="3"/>
    <s v="Manager"/>
    <x v="16"/>
    <s v="FTE"/>
    <d v="2021-02-15T00:00:00"/>
    <s v="Inactive"/>
    <s v="Manufacturing"/>
    <s v="CC-Ope-585"/>
    <n v="4"/>
    <d v="2026-02-18T00:00:00"/>
    <n v="5"/>
    <x v="1"/>
    <n v="0"/>
    <s v="Involuntary"/>
    <n v="4"/>
    <s v="No"/>
    <s v="No"/>
    <s v="No"/>
    <n v="1"/>
    <s v="High"/>
    <n v="69559"/>
    <n v="0.15"/>
    <n v="79992.849999999991"/>
  </r>
  <r>
    <s v="EMP0592"/>
    <s v="LATAM"/>
    <s v="Mexico"/>
    <x v="1"/>
    <s v="IC"/>
    <x v="58"/>
    <s v="FTE"/>
    <d v="2021-02-10T00:00:00"/>
    <s v="Active"/>
    <s v="Controlling"/>
    <s v="CC-Fin-647"/>
    <n v="5"/>
    <s v=""/>
    <n v="5"/>
    <x v="1"/>
    <n v="0"/>
    <s v=""/>
    <n v="3"/>
    <s v="No"/>
    <s v="Yes"/>
    <s v="No"/>
    <n v="1"/>
    <s v="High"/>
    <n v="43690"/>
    <n v="0.1"/>
    <n v="48059.000000000007"/>
  </r>
  <r>
    <s v="EMP0593"/>
    <s v="LATAM"/>
    <s v="Mexico"/>
    <x v="5"/>
    <s v="IC"/>
    <x v="173"/>
    <s v="Contractor"/>
    <d v="2021-02-08T00:00:00"/>
    <s v="Active"/>
    <s v="Technology"/>
    <s v="CC-IT-888"/>
    <n v="5"/>
    <s v=""/>
    <n v="5"/>
    <x v="1"/>
    <n v="0"/>
    <s v=""/>
    <n v="4"/>
    <s v="Yes"/>
    <s v="No"/>
    <s v="No"/>
    <n v="4"/>
    <s v="Low"/>
    <n v="41474"/>
    <n v="0.1"/>
    <n v="45621.4"/>
  </r>
  <r>
    <s v="EMP0594"/>
    <s v="LATAM"/>
    <s v="Mexico"/>
    <x v="4"/>
    <s v="IC"/>
    <x v="97"/>
    <s v="Contractor"/>
    <d v="2021-02-08T00:00:00"/>
    <s v="Active"/>
    <s v="People Operations"/>
    <s v="CC-HR-440"/>
    <n v="5"/>
    <s v=""/>
    <n v="5"/>
    <x v="1"/>
    <n v="0"/>
    <s v=""/>
    <n v="3"/>
    <s v="No"/>
    <s v="No"/>
    <s v="No"/>
    <n v="4"/>
    <s v="Low"/>
    <n v="28270"/>
    <n v="0.1"/>
    <n v="31097.000000000004"/>
  </r>
  <r>
    <s v="EMP0595"/>
    <s v="LATAM"/>
    <s v="Mexico"/>
    <x v="0"/>
    <s v="IC"/>
    <x v="131"/>
    <s v="FTE"/>
    <d v="2021-02-05T00:00:00"/>
    <s v="Active"/>
    <s v="Logistics"/>
    <s v="CC-Sup-182"/>
    <n v="5"/>
    <s v=""/>
    <n v="5"/>
    <x v="1"/>
    <n v="0"/>
    <s v=""/>
    <n v="5"/>
    <s v="No"/>
    <s v="No"/>
    <s v="No"/>
    <n v="5"/>
    <s v="Low"/>
    <n v="43801"/>
    <n v="0.1"/>
    <n v="48181.100000000006"/>
  </r>
  <r>
    <s v="EMP0596"/>
    <s v="LATAM"/>
    <s v="Mexico"/>
    <x v="1"/>
    <s v="Director"/>
    <x v="0"/>
    <s v="FTE"/>
    <d v="2021-01-28T00:00:00"/>
    <s v="Active"/>
    <s v="Controlling"/>
    <s v="CC-Fin-823"/>
    <n v="3"/>
    <s v=""/>
    <n v="5"/>
    <x v="1"/>
    <n v="0"/>
    <s v=""/>
    <n v="5"/>
    <s v="No"/>
    <s v="No"/>
    <s v="No"/>
    <n v="4"/>
    <s v="Low"/>
    <n v="105424"/>
    <n v="0.2"/>
    <n v="126508.79999999999"/>
  </r>
  <r>
    <s v="EMP0597"/>
    <s v="LATAM"/>
    <s v="Mexico"/>
    <x v="1"/>
    <s v="C"/>
    <x v="183"/>
    <s v="FTE"/>
    <d v="2021-01-25T00:00:00"/>
    <s v="Active"/>
    <s v="Controlling"/>
    <s v="CC-Fin-732"/>
    <n v="1"/>
    <s v=""/>
    <n v="5"/>
    <x v="1"/>
    <n v="0"/>
    <s v=""/>
    <n v="2"/>
    <s v="No"/>
    <s v="No"/>
    <s v="No"/>
    <n v="4"/>
    <s v="Low"/>
    <n v="212961"/>
    <n v="0.3"/>
    <n v="276849.3"/>
  </r>
  <r>
    <s v="EMP0598"/>
    <s v="LATAM"/>
    <s v="Mexico"/>
    <x v="2"/>
    <s v="IC"/>
    <x v="63"/>
    <s v="FTE"/>
    <d v="2021-01-24T00:00:00"/>
    <s v="Active"/>
    <s v="Commercial"/>
    <s v="CC-Sal-364"/>
    <n v="5"/>
    <s v=""/>
    <n v="5"/>
    <x v="1"/>
    <n v="0"/>
    <s v=""/>
    <n v="3"/>
    <s v="No"/>
    <s v="No"/>
    <s v="No"/>
    <n v="4"/>
    <s v="Low"/>
    <n v="27696"/>
    <n v="0.1"/>
    <n v="30465.600000000002"/>
  </r>
  <r>
    <s v="EMP0599"/>
    <s v="LATAM"/>
    <s v="Mexico"/>
    <x v="1"/>
    <s v="Director"/>
    <x v="43"/>
    <s v="FTE"/>
    <d v="2021-01-07T00:00:00"/>
    <s v="Active"/>
    <s v="Controlling"/>
    <s v="CC-Fin-339"/>
    <n v="3"/>
    <s v=""/>
    <n v="5"/>
    <x v="1"/>
    <n v="0"/>
    <s v=""/>
    <n v="3"/>
    <s v="Yes"/>
    <s v="No"/>
    <s v="No"/>
    <n v="2"/>
    <s v="High"/>
    <n v="131731"/>
    <n v="0.2"/>
    <n v="158077.19999999998"/>
  </r>
  <r>
    <s v="EMP0600"/>
    <s v="LATAM"/>
    <s v="Mexico"/>
    <x v="5"/>
    <s v="IC"/>
    <x v="159"/>
    <s v="FTE"/>
    <d v="2021-01-07T00:00:00"/>
    <s v="Active"/>
    <s v="Technology"/>
    <s v="CC-IT-591"/>
    <n v="5"/>
    <s v=""/>
    <n v="5"/>
    <x v="1"/>
    <n v="0"/>
    <s v=""/>
    <n v="4"/>
    <s v="Yes"/>
    <s v="No"/>
    <s v="No"/>
    <n v="2"/>
    <s v="High"/>
    <n v="46386"/>
    <n v="0.1"/>
    <n v="51024.600000000006"/>
  </r>
  <r>
    <s v="EMP0601"/>
    <s v="LATAM"/>
    <s v="Mexico"/>
    <x v="4"/>
    <s v="Manager"/>
    <x v="76"/>
    <s v="FTE"/>
    <d v="2021-01-03T00:00:00"/>
    <s v="Active"/>
    <s v="People Operations"/>
    <s v="CC-HR-802"/>
    <n v="4"/>
    <s v=""/>
    <n v="5"/>
    <x v="1"/>
    <n v="0"/>
    <s v=""/>
    <n v="4"/>
    <s v="Yes"/>
    <s v="Yes"/>
    <s v="No"/>
    <n v="2"/>
    <s v="High"/>
    <n v="73746"/>
    <n v="0.15"/>
    <n v="84807.9"/>
  </r>
  <r>
    <s v="EMP0602"/>
    <s v="LATAM"/>
    <s v="Mexico"/>
    <x v="3"/>
    <s v="IC"/>
    <x v="42"/>
    <s v="FTE"/>
    <d v="2020-12-28T00:00:00"/>
    <s v="Active"/>
    <s v="Manufacturing"/>
    <s v="CC-Ope-778"/>
    <n v="5"/>
    <s v=""/>
    <n v="5"/>
    <x v="1"/>
    <n v="0"/>
    <s v=""/>
    <n v="5"/>
    <s v="No"/>
    <s v="No"/>
    <s v="No"/>
    <n v="5"/>
    <s v="Low"/>
    <n v="23555"/>
    <n v="0.1"/>
    <n v="25910.500000000004"/>
  </r>
  <r>
    <s v="EMP0603"/>
    <s v="LATAM"/>
    <s v="Mexico"/>
    <x v="0"/>
    <s v="IC"/>
    <x v="12"/>
    <s v="FTE"/>
    <d v="2020-12-25T00:00:00"/>
    <s v="Active"/>
    <s v="Logistics"/>
    <s v="CC-Sup-981"/>
    <n v="5"/>
    <s v=""/>
    <n v="5"/>
    <x v="1"/>
    <n v="0"/>
    <s v=""/>
    <n v="3"/>
    <s v="No"/>
    <s v="No"/>
    <s v="No"/>
    <n v="5"/>
    <s v="Low"/>
    <n v="45866"/>
    <n v="0.1"/>
    <n v="50452.600000000006"/>
  </r>
  <r>
    <s v="EMP0604"/>
    <s v="LATAM"/>
    <s v="Mexico"/>
    <x v="4"/>
    <s v="Manager"/>
    <x v="234"/>
    <s v="FTE"/>
    <d v="2020-12-20T00:00:00"/>
    <s v="Active"/>
    <s v="People Operations"/>
    <s v="CC-HR-135"/>
    <n v="4"/>
    <s v=""/>
    <n v="5"/>
    <x v="1"/>
    <n v="0"/>
    <s v=""/>
    <n v="3"/>
    <s v="Yes"/>
    <s v="No"/>
    <s v="No"/>
    <n v="3"/>
    <s v="Medium"/>
    <n v="65338"/>
    <n v="0.15"/>
    <n v="75138.7"/>
  </r>
  <r>
    <s v="EMP0605"/>
    <s v="LATAM"/>
    <s v="Mexico"/>
    <x v="5"/>
    <s v="Director"/>
    <x v="0"/>
    <s v="Contractor"/>
    <d v="2020-12-12T00:00:00"/>
    <s v="Active"/>
    <s v="Technology"/>
    <s v="CC-IT-449"/>
    <n v="3"/>
    <s v=""/>
    <n v="5"/>
    <x v="1"/>
    <n v="0"/>
    <s v=""/>
    <n v="4"/>
    <s v="No"/>
    <s v="No"/>
    <s v="No"/>
    <n v="1"/>
    <s v="High"/>
    <n v="127634"/>
    <n v="0.2"/>
    <n v="153160.79999999999"/>
  </r>
  <r>
    <s v="EMP0606"/>
    <s v="LATAM"/>
    <s v="Mexico"/>
    <x v="2"/>
    <s v="Manager"/>
    <x v="103"/>
    <s v="FTE"/>
    <d v="2020-12-10T00:00:00"/>
    <s v="Active"/>
    <s v="Commercial"/>
    <s v="CC-Sal-514"/>
    <n v="4"/>
    <s v=""/>
    <n v="5"/>
    <x v="1"/>
    <n v="0"/>
    <s v=""/>
    <n v="4"/>
    <s v="No"/>
    <s v="No"/>
    <s v="No"/>
    <n v="3"/>
    <s v="Medium"/>
    <n v="52604"/>
    <n v="0.15"/>
    <n v="60494.6"/>
  </r>
  <r>
    <s v="EMP0607"/>
    <s v="LATAM"/>
    <s v="Mexico"/>
    <x v="3"/>
    <s v="IC"/>
    <x v="86"/>
    <s v="FTE"/>
    <d v="2020-12-05T00:00:00"/>
    <s v="Inactive"/>
    <s v="Manufacturing"/>
    <s v="CC-Ope-830"/>
    <n v="5"/>
    <d v="2026-01-03T00:00:00"/>
    <n v="5"/>
    <x v="1"/>
    <n v="0"/>
    <s v="Voluntary"/>
    <n v="3"/>
    <s v="No"/>
    <s v="No"/>
    <s v="No"/>
    <n v="1"/>
    <s v="High"/>
    <n v="21438"/>
    <n v="0.1"/>
    <n v="23581.800000000003"/>
  </r>
  <r>
    <s v="EMP0608"/>
    <s v="LATAM"/>
    <s v="Mexico"/>
    <x v="0"/>
    <s v="IC"/>
    <x v="184"/>
    <s v="FTE"/>
    <d v="2020-12-03T00:00:00"/>
    <s v="Active"/>
    <s v="Logistics"/>
    <s v="CC-Sup-860"/>
    <n v="5"/>
    <s v=""/>
    <n v="5"/>
    <x v="1"/>
    <n v="0"/>
    <s v=""/>
    <n v="5"/>
    <s v="No"/>
    <s v="No"/>
    <s v="No"/>
    <n v="1"/>
    <s v="High"/>
    <n v="40625"/>
    <n v="0.1"/>
    <n v="44687.5"/>
  </r>
  <r>
    <s v="EMP0609"/>
    <s v="LATAM"/>
    <s v="Mexico"/>
    <x v="1"/>
    <s v="IC"/>
    <x v="199"/>
    <s v="FTE"/>
    <d v="2020-11-28T00:00:00"/>
    <s v="Inactive"/>
    <s v="Controlling"/>
    <s v="CC-Fin-359"/>
    <n v="5"/>
    <d v="2025-12-28T00:00:00"/>
    <n v="5"/>
    <x v="1"/>
    <n v="0"/>
    <s v="Voluntary"/>
    <n v="3"/>
    <s v="No"/>
    <s v="No"/>
    <s v="No"/>
    <n v="2"/>
    <s v="High"/>
    <n v="32479"/>
    <n v="0.1"/>
    <n v="35726.9"/>
  </r>
  <r>
    <s v="EMP0610"/>
    <s v="LATAM"/>
    <s v="Mexico"/>
    <x v="5"/>
    <s v="Manager"/>
    <x v="16"/>
    <s v="FTE"/>
    <d v="2020-11-26T00:00:00"/>
    <s v="Active"/>
    <s v="Technology"/>
    <s v="CC-IT-627"/>
    <n v="4"/>
    <s v=""/>
    <n v="5"/>
    <x v="1"/>
    <n v="0"/>
    <s v=""/>
    <n v="3"/>
    <s v="No"/>
    <s v="No"/>
    <s v="No"/>
    <n v="1"/>
    <s v="High"/>
    <n v="63463"/>
    <n v="0.15"/>
    <n v="72982.45"/>
  </r>
  <r>
    <s v="EMP0611"/>
    <s v="LATAM"/>
    <s v="Mexico"/>
    <x v="1"/>
    <s v="Manager"/>
    <x v="235"/>
    <s v="Contractor"/>
    <d v="2020-11-24T00:00:00"/>
    <s v="Active"/>
    <s v="Controlling"/>
    <s v="CC-Fin-763"/>
    <n v="4"/>
    <s v=""/>
    <n v="5"/>
    <x v="1"/>
    <n v="0"/>
    <s v=""/>
    <n v="3"/>
    <s v="Yes"/>
    <s v="No"/>
    <s v="No"/>
    <n v="4"/>
    <s v="Low"/>
    <n v="74055"/>
    <n v="0.15"/>
    <n v="85163.25"/>
  </r>
  <r>
    <s v="EMP0612"/>
    <s v="LATAM"/>
    <s v="Mexico"/>
    <x v="5"/>
    <s v="IC"/>
    <x v="162"/>
    <s v="FTE"/>
    <d v="2020-11-18T00:00:00"/>
    <s v="Active"/>
    <s v="Technology"/>
    <s v="CC-IT-268"/>
    <n v="5"/>
    <s v=""/>
    <n v="5"/>
    <x v="1"/>
    <n v="0"/>
    <s v=""/>
    <n v="3"/>
    <s v="No"/>
    <s v="No"/>
    <s v="No"/>
    <n v="4"/>
    <s v="Low"/>
    <n v="27612"/>
    <n v="0.1"/>
    <n v="30373.200000000001"/>
  </r>
  <r>
    <s v="EMP0613"/>
    <s v="LATAM"/>
    <s v="Mexico"/>
    <x v="5"/>
    <s v="IC"/>
    <x v="85"/>
    <s v="FTE"/>
    <d v="2020-11-08T00:00:00"/>
    <s v="Active"/>
    <s v="Technology"/>
    <s v="CC-IT-139"/>
    <n v="5"/>
    <s v=""/>
    <n v="5"/>
    <x v="1"/>
    <n v="0"/>
    <s v=""/>
    <n v="3"/>
    <s v="No"/>
    <s v="Yes"/>
    <s v="Yes"/>
    <n v="4"/>
    <s v="Low"/>
    <n v="47725"/>
    <n v="0.1"/>
    <n v="52497.500000000007"/>
  </r>
  <r>
    <s v="EMP0614"/>
    <s v="LATAM"/>
    <s v="Mexico"/>
    <x v="4"/>
    <s v="IC"/>
    <x v="147"/>
    <s v="FTE"/>
    <d v="2020-11-07T00:00:00"/>
    <s v="Active"/>
    <s v="People Operations"/>
    <s v="CC-HR-399"/>
    <n v="5"/>
    <s v=""/>
    <n v="5"/>
    <x v="1"/>
    <n v="0"/>
    <s v=""/>
    <n v="3"/>
    <s v="No"/>
    <s v="No"/>
    <s v="No"/>
    <n v="5"/>
    <s v="Low"/>
    <n v="39988"/>
    <n v="0.1"/>
    <n v="43986.8"/>
  </r>
  <r>
    <s v="EMP0615"/>
    <s v="LATAM"/>
    <s v="Mexico"/>
    <x v="1"/>
    <s v="IC"/>
    <x v="7"/>
    <s v="FTE"/>
    <d v="2020-11-04T00:00:00"/>
    <s v="Inactive"/>
    <s v="Controlling"/>
    <s v="CC-Fin-524"/>
    <n v="5"/>
    <d v="2026-02-18T00:00:00"/>
    <n v="5"/>
    <x v="1"/>
    <n v="0"/>
    <s v="Voluntary"/>
    <n v="5"/>
    <s v="No"/>
    <s v="No"/>
    <s v="No"/>
    <n v="4"/>
    <s v="Low"/>
    <n v="49304"/>
    <n v="0.1"/>
    <n v="54234.400000000001"/>
  </r>
  <r>
    <s v="EMP0616"/>
    <s v="LATAM"/>
    <s v="Mexico"/>
    <x v="0"/>
    <s v="IC"/>
    <x v="93"/>
    <s v="FTE"/>
    <d v="2020-11-02T00:00:00"/>
    <s v="Active"/>
    <s v="Logistics"/>
    <s v="CC-Sup-510"/>
    <n v="5"/>
    <s v=""/>
    <n v="5"/>
    <x v="1"/>
    <n v="0"/>
    <s v=""/>
    <n v="3"/>
    <s v="Yes"/>
    <s v="No"/>
    <s v="No"/>
    <n v="2"/>
    <s v="High"/>
    <n v="24302"/>
    <n v="0.1"/>
    <n v="26732.2"/>
  </r>
  <r>
    <s v="EMP0617"/>
    <s v="LATAM"/>
    <s v="Mexico"/>
    <x v="0"/>
    <s v="Manager"/>
    <x v="90"/>
    <s v="FTE"/>
    <d v="2020-11-01T00:00:00"/>
    <s v="Active"/>
    <s v="Logistics"/>
    <s v="CC-Sup-722"/>
    <n v="4"/>
    <s v=""/>
    <n v="5"/>
    <x v="1"/>
    <n v="0"/>
    <s v=""/>
    <n v="4"/>
    <s v="No"/>
    <s v="No"/>
    <s v="No"/>
    <n v="3"/>
    <s v="Medium"/>
    <n v="76040"/>
    <n v="0.15"/>
    <n v="87446"/>
  </r>
  <r>
    <s v="EMP0618"/>
    <s v="LATAM"/>
    <s v="Mexico"/>
    <x v="3"/>
    <s v="IC"/>
    <x v="91"/>
    <s v="FTE"/>
    <d v="2020-10-20T00:00:00"/>
    <s v="Active"/>
    <s v="Manufacturing"/>
    <s v="CC-Ope-420"/>
    <n v="5"/>
    <s v=""/>
    <n v="5"/>
    <x v="1"/>
    <n v="0"/>
    <s v=""/>
    <n v="4"/>
    <s v="No"/>
    <s v="No"/>
    <s v="No"/>
    <n v="2"/>
    <s v="High"/>
    <n v="33227"/>
    <n v="0.1"/>
    <n v="36549.700000000004"/>
  </r>
  <r>
    <s v="EMP0619"/>
    <s v="LATAM"/>
    <s v="Mexico"/>
    <x v="3"/>
    <s v="IC"/>
    <x v="15"/>
    <s v="Contractor"/>
    <d v="2020-10-20T00:00:00"/>
    <s v="Active"/>
    <s v="Manufacturing"/>
    <s v="CC-Ope-527"/>
    <n v="5"/>
    <s v=""/>
    <n v="5"/>
    <x v="1"/>
    <n v="0"/>
    <s v=""/>
    <n v="3"/>
    <s v="No"/>
    <s v="No"/>
    <s v="No"/>
    <n v="3"/>
    <s v="Medium"/>
    <n v="41052"/>
    <n v="0.1"/>
    <n v="45157.200000000004"/>
  </r>
  <r>
    <s v="EMP0620"/>
    <s v="LATAM"/>
    <s v="Mexico"/>
    <x v="5"/>
    <s v="IC"/>
    <x v="1"/>
    <s v="FTE"/>
    <d v="2020-10-14T00:00:00"/>
    <s v="Active"/>
    <s v="Technology"/>
    <s v="CC-IT-931"/>
    <n v="5"/>
    <s v=""/>
    <n v="5"/>
    <x v="1"/>
    <n v="0"/>
    <s v=""/>
    <n v="4"/>
    <s v="No"/>
    <s v="No"/>
    <s v="No"/>
    <n v="3"/>
    <s v="Medium"/>
    <n v="33090"/>
    <n v="0.1"/>
    <n v="36399"/>
  </r>
  <r>
    <s v="EMP0621"/>
    <s v="LATAM"/>
    <s v="Mexico"/>
    <x v="3"/>
    <s v="IC"/>
    <x v="88"/>
    <s v="FTE"/>
    <d v="2020-10-12T00:00:00"/>
    <s v="Active"/>
    <s v="Manufacturing"/>
    <s v="CC-Ope-636"/>
    <n v="5"/>
    <s v=""/>
    <n v="5"/>
    <x v="1"/>
    <n v="0"/>
    <s v=""/>
    <n v="3"/>
    <s v="No"/>
    <s v="No"/>
    <s v="No"/>
    <n v="5"/>
    <s v="Low"/>
    <n v="32796"/>
    <n v="0.1"/>
    <n v="36075.600000000006"/>
  </r>
  <r>
    <s v="EMP0622"/>
    <s v="LATAM"/>
    <s v="Mexico"/>
    <x v="3"/>
    <s v="Manager"/>
    <x v="132"/>
    <s v="FTE"/>
    <d v="2020-10-05T00:00:00"/>
    <s v="Active"/>
    <s v="Manufacturing"/>
    <s v="CC-Ope-557"/>
    <n v="4"/>
    <s v=""/>
    <n v="5"/>
    <x v="1"/>
    <n v="0"/>
    <s v=""/>
    <n v="4"/>
    <s v="No"/>
    <s v="No"/>
    <s v="No"/>
    <n v="4"/>
    <s v="Low"/>
    <n v="74210"/>
    <n v="0.15"/>
    <n v="85341.5"/>
  </r>
  <r>
    <s v="EMP0623"/>
    <s v="LATAM"/>
    <s v="Mexico"/>
    <x v="2"/>
    <s v="IC"/>
    <x v="127"/>
    <s v="FTE"/>
    <d v="2020-09-23T00:00:00"/>
    <s v="Active"/>
    <s v="Commercial"/>
    <s v="CC-Sal-898"/>
    <n v="5"/>
    <s v=""/>
    <n v="5"/>
    <x v="1"/>
    <n v="0"/>
    <s v=""/>
    <n v="3"/>
    <s v="No"/>
    <s v="Yes"/>
    <s v="No"/>
    <n v="3"/>
    <s v="Medium"/>
    <n v="45176"/>
    <n v="0.1"/>
    <n v="49693.600000000006"/>
  </r>
  <r>
    <s v="EMP0624"/>
    <s v="LATAM"/>
    <s v="Mexico"/>
    <x v="1"/>
    <s v="IC"/>
    <x v="173"/>
    <s v="FTE"/>
    <d v="2020-09-15T00:00:00"/>
    <s v="Inactive"/>
    <s v="Controlling"/>
    <s v="CC-Fin-768"/>
    <n v="5"/>
    <d v="2026-02-18T00:00:00"/>
    <n v="5"/>
    <x v="1"/>
    <n v="0"/>
    <s v="Voluntary"/>
    <n v="2"/>
    <s v="No"/>
    <s v="No"/>
    <s v="No"/>
    <n v="1"/>
    <s v="High"/>
    <n v="45265"/>
    <n v="0.1"/>
    <n v="49791.500000000007"/>
  </r>
  <r>
    <s v="EMP0625"/>
    <s v="LATAM"/>
    <s v="Mexico"/>
    <x v="1"/>
    <s v="Director"/>
    <x v="43"/>
    <s v="FTE"/>
    <d v="2020-09-09T00:00:00"/>
    <s v="Active"/>
    <s v="Controlling"/>
    <s v="CC-Fin-212"/>
    <n v="3"/>
    <s v=""/>
    <n v="5"/>
    <x v="1"/>
    <n v="0"/>
    <s v=""/>
    <n v="3"/>
    <s v="No"/>
    <s v="No"/>
    <s v="No"/>
    <n v="3"/>
    <s v="Medium"/>
    <n v="114453"/>
    <n v="0.2"/>
    <n v="137343.6"/>
  </r>
  <r>
    <s v="EMP0626"/>
    <s v="LATAM"/>
    <s v="Mexico"/>
    <x v="4"/>
    <s v="IC"/>
    <x v="162"/>
    <s v="Contractor"/>
    <d v="2020-09-02T00:00:00"/>
    <s v="Inactive"/>
    <s v="People Operations"/>
    <s v="CC-HR-348"/>
    <n v="5"/>
    <d v="2026-02-18T00:00:00"/>
    <n v="5"/>
    <x v="1"/>
    <n v="0"/>
    <s v="Voluntary"/>
    <n v="3"/>
    <s v="Yes"/>
    <s v="No"/>
    <s v="No"/>
    <n v="3"/>
    <s v="Medium"/>
    <n v="38000"/>
    <n v="0.1"/>
    <n v="41800"/>
  </r>
  <r>
    <s v="EMP0627"/>
    <s v="LATAM"/>
    <s v="Mexico"/>
    <x v="4"/>
    <s v="IC"/>
    <x v="104"/>
    <s v="FTE"/>
    <d v="2020-09-01T00:00:00"/>
    <s v="Active"/>
    <s v="People Operations"/>
    <s v="CC-HR-134"/>
    <n v="5"/>
    <s v=""/>
    <n v="5"/>
    <x v="1"/>
    <n v="0"/>
    <s v=""/>
    <n v="3"/>
    <s v="No"/>
    <s v="No"/>
    <s v="No"/>
    <n v="5"/>
    <s v="Low"/>
    <n v="34637"/>
    <n v="0.1"/>
    <n v="38100.700000000004"/>
  </r>
  <r>
    <s v="EMP0628"/>
    <s v="LATAM"/>
    <s v="Mexico"/>
    <x v="2"/>
    <s v="IC"/>
    <x v="29"/>
    <s v="FTE"/>
    <d v="2020-09-01T00:00:00"/>
    <s v="Active"/>
    <s v="Commercial"/>
    <s v="CC-Sal-668"/>
    <n v="5"/>
    <s v=""/>
    <n v="5"/>
    <x v="1"/>
    <n v="0"/>
    <s v=""/>
    <n v="3"/>
    <s v="Yes"/>
    <s v="No"/>
    <s v="No"/>
    <n v="3"/>
    <s v="Medium"/>
    <n v="32684"/>
    <n v="0.1"/>
    <n v="35952.400000000001"/>
  </r>
  <r>
    <s v="EMP0629"/>
    <s v="LATAM"/>
    <s v="Mexico"/>
    <x v="3"/>
    <s v="IC"/>
    <x v="231"/>
    <s v="FTE"/>
    <d v="2020-08-25T00:00:00"/>
    <s v="Active"/>
    <s v="Manufacturing"/>
    <s v="CC-Ope-125"/>
    <n v="5"/>
    <s v=""/>
    <n v="5"/>
    <x v="1"/>
    <n v="0"/>
    <s v=""/>
    <n v="3"/>
    <s v="Yes"/>
    <s v="No"/>
    <s v="No"/>
    <n v="4"/>
    <s v="Low"/>
    <n v="26118"/>
    <n v="0.1"/>
    <n v="28729.800000000003"/>
  </r>
  <r>
    <s v="EMP0630"/>
    <s v="LATAM"/>
    <s v="Mexico"/>
    <x v="4"/>
    <s v="IC"/>
    <x v="182"/>
    <s v="FTE"/>
    <d v="2020-08-14T00:00:00"/>
    <s v="Inactive"/>
    <s v="People Operations"/>
    <s v="CC-HR-377"/>
    <n v="5"/>
    <d v="2022-11-19T00:00:00"/>
    <n v="2"/>
    <x v="0"/>
    <n v="1"/>
    <s v="Voluntary"/>
    <n v="5"/>
    <s v="No"/>
    <s v="No"/>
    <s v="No"/>
    <n v="4"/>
    <s v="Low"/>
    <n v="24204"/>
    <n v="0.1"/>
    <n v="26624.400000000001"/>
  </r>
  <r>
    <s v="EMP0631"/>
    <s v="LATAM"/>
    <s v="Mexico"/>
    <x v="0"/>
    <s v="IC"/>
    <x v="40"/>
    <s v="FTE"/>
    <d v="2020-08-11T00:00:00"/>
    <s v="Active"/>
    <s v="Logistics"/>
    <s v="CC-Sup-363"/>
    <n v="5"/>
    <s v=""/>
    <n v="5"/>
    <x v="1"/>
    <n v="0"/>
    <s v=""/>
    <n v="5"/>
    <s v="No"/>
    <s v="Yes"/>
    <s v="No"/>
    <n v="3"/>
    <s v="Medium"/>
    <n v="39808"/>
    <n v="0.1"/>
    <n v="43788.800000000003"/>
  </r>
  <r>
    <s v="EMP0632"/>
    <s v="LATAM"/>
    <s v="Mexico"/>
    <x v="2"/>
    <s v="IC"/>
    <x v="83"/>
    <s v="FTE"/>
    <d v="2020-08-06T00:00:00"/>
    <s v="Active"/>
    <s v="Commercial"/>
    <s v="CC-Sal-938"/>
    <n v="5"/>
    <s v=""/>
    <n v="5"/>
    <x v="1"/>
    <n v="0"/>
    <s v=""/>
    <n v="3"/>
    <s v="No"/>
    <s v="No"/>
    <s v="No"/>
    <n v="5"/>
    <s v="Low"/>
    <n v="32857"/>
    <n v="0.1"/>
    <n v="36142.700000000004"/>
  </r>
  <r>
    <s v="EMP0633"/>
    <s v="LATAM"/>
    <s v="Mexico"/>
    <x v="0"/>
    <s v="IC"/>
    <x v="87"/>
    <s v="FTE"/>
    <d v="2020-08-05T00:00:00"/>
    <s v="Active"/>
    <s v="Logistics"/>
    <s v="CC-Sup-209"/>
    <n v="5"/>
    <s v=""/>
    <n v="5"/>
    <x v="1"/>
    <n v="0"/>
    <s v=""/>
    <n v="2"/>
    <s v="No"/>
    <s v="No"/>
    <s v="No"/>
    <n v="3"/>
    <s v="Medium"/>
    <n v="46437"/>
    <n v="0.1"/>
    <n v="51080.700000000004"/>
  </r>
  <r>
    <s v="EMP0634"/>
    <s v="LATAM"/>
    <s v="Mexico"/>
    <x v="0"/>
    <s v="IC"/>
    <x v="181"/>
    <s v="FTE"/>
    <d v="2020-08-04T00:00:00"/>
    <s v="Active"/>
    <s v="Logistics"/>
    <s v="CC-Sup-356"/>
    <n v="5"/>
    <s v=""/>
    <n v="5"/>
    <x v="1"/>
    <n v="0"/>
    <s v=""/>
    <n v="3"/>
    <s v="No"/>
    <s v="No"/>
    <s v="No"/>
    <n v="4"/>
    <s v="Low"/>
    <n v="46552"/>
    <n v="0.1"/>
    <n v="51207.200000000004"/>
  </r>
  <r>
    <s v="EMP0635"/>
    <s v="LATAM"/>
    <s v="Mexico"/>
    <x v="4"/>
    <s v="IC"/>
    <x v="113"/>
    <s v="FTE"/>
    <d v="2020-08-04T00:00:00"/>
    <s v="Active"/>
    <s v="People Operations"/>
    <s v="CC-HR-917"/>
    <n v="5"/>
    <s v=""/>
    <n v="5"/>
    <x v="1"/>
    <n v="0"/>
    <s v=""/>
    <n v="2"/>
    <s v="No"/>
    <s v="No"/>
    <s v="No"/>
    <n v="2"/>
    <s v="High"/>
    <n v="39023"/>
    <n v="0.1"/>
    <n v="42925.3"/>
  </r>
  <r>
    <s v="EMP0636"/>
    <s v="LATAM"/>
    <s v="Mexico"/>
    <x v="2"/>
    <s v="IC"/>
    <x v="162"/>
    <s v="FTE"/>
    <d v="2020-07-27T00:00:00"/>
    <s v="Active"/>
    <s v="Commercial"/>
    <s v="CC-Sal-598"/>
    <n v="5"/>
    <s v=""/>
    <n v="5"/>
    <x v="1"/>
    <n v="0"/>
    <s v=""/>
    <n v="4"/>
    <s v="No"/>
    <s v="No"/>
    <s v="No"/>
    <n v="2"/>
    <s v="High"/>
    <n v="20548"/>
    <n v="0.1"/>
    <n v="22602.800000000003"/>
  </r>
  <r>
    <s v="EMP0637"/>
    <s v="LATAM"/>
    <s v="Mexico"/>
    <x v="1"/>
    <s v="Manager"/>
    <x v="103"/>
    <s v="Contractor"/>
    <d v="2020-07-26T00:00:00"/>
    <s v="Active"/>
    <s v="Controlling"/>
    <s v="CC-Fin-858"/>
    <n v="4"/>
    <s v=""/>
    <n v="5"/>
    <x v="1"/>
    <n v="0"/>
    <s v=""/>
    <n v="3"/>
    <s v="No"/>
    <s v="No"/>
    <s v="No"/>
    <n v="5"/>
    <s v="Low"/>
    <n v="70118"/>
    <n v="0.15"/>
    <n v="80635.7"/>
  </r>
  <r>
    <s v="EMP0638"/>
    <s v="LATAM"/>
    <s v="Mexico"/>
    <x v="0"/>
    <s v="IC"/>
    <x v="147"/>
    <s v="FTE"/>
    <d v="2020-07-23T00:00:00"/>
    <s v="Active"/>
    <s v="Logistics"/>
    <s v="CC-Sup-438"/>
    <n v="5"/>
    <s v=""/>
    <n v="5"/>
    <x v="1"/>
    <n v="0"/>
    <s v=""/>
    <n v="2"/>
    <s v="No"/>
    <s v="No"/>
    <s v="No"/>
    <n v="3"/>
    <s v="Medium"/>
    <n v="28778"/>
    <n v="0.1"/>
    <n v="31655.800000000003"/>
  </r>
  <r>
    <s v="EMP0639"/>
    <s v="LATAM"/>
    <s v="Mexico"/>
    <x v="2"/>
    <s v="IC"/>
    <x v="236"/>
    <s v="FTE"/>
    <d v="2020-07-19T00:00:00"/>
    <s v="Active"/>
    <s v="Commercial"/>
    <s v="CC-Sal-346"/>
    <n v="5"/>
    <s v=""/>
    <n v="5"/>
    <x v="1"/>
    <n v="0"/>
    <s v=""/>
    <n v="4"/>
    <s v="No"/>
    <s v="No"/>
    <s v="No"/>
    <n v="1"/>
    <s v="High"/>
    <n v="31797"/>
    <n v="0.1"/>
    <n v="34976.700000000004"/>
  </r>
  <r>
    <s v="EMP0640"/>
    <s v="LATAM"/>
    <s v="Mexico"/>
    <x v="4"/>
    <s v="Manager"/>
    <x v="137"/>
    <s v="FTE"/>
    <d v="2020-07-18T00:00:00"/>
    <s v="Active"/>
    <s v="People Operations"/>
    <s v="CC-HR-981"/>
    <n v="4"/>
    <s v=""/>
    <n v="5"/>
    <x v="1"/>
    <n v="0"/>
    <s v=""/>
    <n v="3"/>
    <s v="No"/>
    <s v="No"/>
    <s v="No"/>
    <n v="1"/>
    <s v="High"/>
    <n v="89548"/>
    <n v="0.15"/>
    <n v="102980.2"/>
  </r>
  <r>
    <s v="EMP0641"/>
    <s v="LATAM"/>
    <s v="Mexico"/>
    <x v="5"/>
    <s v="IC"/>
    <x v="25"/>
    <s v="FTE"/>
    <d v="2020-06-27T00:00:00"/>
    <s v="Active"/>
    <s v="Technology"/>
    <s v="CC-IT-533"/>
    <n v="5"/>
    <s v=""/>
    <n v="5"/>
    <x v="1"/>
    <n v="0"/>
    <s v=""/>
    <n v="4"/>
    <s v="No"/>
    <s v="No"/>
    <s v="No"/>
    <n v="4"/>
    <s v="Low"/>
    <n v="23271"/>
    <n v="0.1"/>
    <n v="25598.100000000002"/>
  </r>
  <r>
    <s v="EMP0642"/>
    <s v="LATAM"/>
    <s v="Mexico"/>
    <x v="4"/>
    <s v="IC"/>
    <x v="204"/>
    <s v="FTE"/>
    <d v="2020-06-24T00:00:00"/>
    <s v="Inactive"/>
    <s v="People Operations"/>
    <s v="CC-HR-852"/>
    <n v="5"/>
    <d v="2021-12-30T00:00:00"/>
    <n v="1"/>
    <x v="0"/>
    <n v="1"/>
    <s v="Involuntary"/>
    <n v="3"/>
    <s v="No"/>
    <s v="No"/>
    <s v="No"/>
    <n v="2"/>
    <s v="High"/>
    <n v="46186"/>
    <n v="0.1"/>
    <n v="50804.600000000006"/>
  </r>
  <r>
    <s v="EMP0643"/>
    <s v="LATAM"/>
    <s v="Mexico"/>
    <x v="4"/>
    <s v="IC"/>
    <x v="237"/>
    <s v="FTE"/>
    <d v="2020-06-22T00:00:00"/>
    <s v="Active"/>
    <s v="People Operations"/>
    <s v="CC-HR-969"/>
    <n v="5"/>
    <s v=""/>
    <n v="5"/>
    <x v="1"/>
    <n v="0"/>
    <s v=""/>
    <n v="5"/>
    <s v="No"/>
    <s v="Yes"/>
    <s v="Yes"/>
    <n v="5"/>
    <s v="Low"/>
    <n v="45231"/>
    <n v="0.1"/>
    <n v="49754.100000000006"/>
  </r>
  <r>
    <s v="EMP0644"/>
    <s v="LATAM"/>
    <s v="Mexico"/>
    <x v="1"/>
    <s v="IC"/>
    <x v="238"/>
    <s v="FTE"/>
    <d v="2020-06-19T00:00:00"/>
    <s v="Active"/>
    <s v="Controlling"/>
    <s v="CC-Fin-154"/>
    <n v="5"/>
    <s v=""/>
    <n v="5"/>
    <x v="1"/>
    <n v="0"/>
    <s v=""/>
    <n v="3"/>
    <s v="No"/>
    <s v="No"/>
    <s v="No"/>
    <n v="4"/>
    <s v="Low"/>
    <n v="24259"/>
    <n v="0.1"/>
    <n v="26684.9"/>
  </r>
  <r>
    <s v="EMP0645"/>
    <s v="LATAM"/>
    <s v="Mexico"/>
    <x v="2"/>
    <s v="IC"/>
    <x v="109"/>
    <s v="FTE"/>
    <d v="2020-06-18T00:00:00"/>
    <s v="Active"/>
    <s v="Commercial"/>
    <s v="CC-Sal-506"/>
    <n v="5"/>
    <s v=""/>
    <n v="5"/>
    <x v="1"/>
    <n v="0"/>
    <s v=""/>
    <n v="2"/>
    <s v="Yes"/>
    <s v="No"/>
    <s v="No"/>
    <n v="5"/>
    <s v="Low"/>
    <n v="25779"/>
    <n v="0.1"/>
    <n v="28356.9"/>
  </r>
  <r>
    <s v="EMP0646"/>
    <s v="LATAM"/>
    <s v="Mexico"/>
    <x v="1"/>
    <s v="IC"/>
    <x v="201"/>
    <s v="FTE"/>
    <d v="2020-06-18T00:00:00"/>
    <s v="Active"/>
    <s v="Controlling"/>
    <s v="CC-Fin-314"/>
    <n v="5"/>
    <s v=""/>
    <n v="5"/>
    <x v="1"/>
    <n v="0"/>
    <s v=""/>
    <n v="4"/>
    <s v="Yes"/>
    <s v="No"/>
    <s v="No"/>
    <n v="1"/>
    <s v="High"/>
    <n v="42431"/>
    <n v="0.1"/>
    <n v="46674.100000000006"/>
  </r>
  <r>
    <s v="EMP0647"/>
    <s v="LATAM"/>
    <s v="Mexico"/>
    <x v="2"/>
    <s v="Manager"/>
    <x v="139"/>
    <s v="FTE"/>
    <d v="2020-06-16T00:00:00"/>
    <s v="Inactive"/>
    <s v="Commercial"/>
    <s v="CC-Sal-953"/>
    <n v="4"/>
    <d v="2021-08-23T00:00:00"/>
    <n v="1"/>
    <x v="0"/>
    <n v="1"/>
    <s v="Voluntary"/>
    <n v="3"/>
    <s v="No"/>
    <s v="No"/>
    <s v="No"/>
    <n v="1"/>
    <s v="High"/>
    <n v="74195"/>
    <n v="0.15"/>
    <n v="85324.25"/>
  </r>
  <r>
    <s v="EMP0648"/>
    <s v="LATAM"/>
    <s v="Mexico"/>
    <x v="3"/>
    <s v="Manager"/>
    <x v="239"/>
    <s v="FTE"/>
    <d v="2020-06-16T00:00:00"/>
    <s v="Active"/>
    <s v="Manufacturing"/>
    <s v="CC-Ope-815"/>
    <n v="4"/>
    <s v=""/>
    <n v="5"/>
    <x v="1"/>
    <n v="0"/>
    <s v=""/>
    <n v="2"/>
    <s v="Yes"/>
    <s v="Yes"/>
    <s v="No"/>
    <n v="5"/>
    <s v="Low"/>
    <n v="62337"/>
    <n v="0.15"/>
    <n v="71687.549999999988"/>
  </r>
  <r>
    <s v="EMP0649"/>
    <s v="LATAM"/>
    <s v="Mexico"/>
    <x v="3"/>
    <s v="IC"/>
    <x v="41"/>
    <s v="Contractor"/>
    <d v="2020-06-15T00:00:00"/>
    <s v="Active"/>
    <s v="Manufacturing"/>
    <s v="CC-Ope-388"/>
    <n v="5"/>
    <s v=""/>
    <n v="5"/>
    <x v="1"/>
    <n v="0"/>
    <s v=""/>
    <n v="3"/>
    <s v="No"/>
    <s v="No"/>
    <s v="No"/>
    <n v="2"/>
    <s v="High"/>
    <n v="32738"/>
    <n v="0.1"/>
    <n v="36011.800000000003"/>
  </r>
  <r>
    <s v="EMP0650"/>
    <s v="LATAM"/>
    <s v="Mexico"/>
    <x v="2"/>
    <s v="IC"/>
    <x v="127"/>
    <s v="FTE"/>
    <d v="2020-06-10T00:00:00"/>
    <s v="Inactive"/>
    <s v="Commercial"/>
    <s v="CC-Sal-228"/>
    <n v="5"/>
    <d v="2026-01-23T00:00:00"/>
    <n v="5"/>
    <x v="1"/>
    <n v="0"/>
    <s v="Voluntary"/>
    <n v="3"/>
    <s v="No"/>
    <s v="No"/>
    <s v="No"/>
    <n v="4"/>
    <s v="Low"/>
    <n v="23284"/>
    <n v="0.1"/>
    <n v="25612.400000000001"/>
  </r>
  <r>
    <s v="EMP0651"/>
    <s v="LATAM"/>
    <s v="Mexico"/>
    <x v="0"/>
    <s v="IC"/>
    <x v="169"/>
    <s v="Contractor"/>
    <d v="2020-06-09T00:00:00"/>
    <s v="Active"/>
    <s v="Logistics"/>
    <s v="CC-Sup-665"/>
    <n v="5"/>
    <s v=""/>
    <n v="5"/>
    <x v="1"/>
    <n v="0"/>
    <s v=""/>
    <n v="2"/>
    <s v="No"/>
    <s v="No"/>
    <s v="No"/>
    <n v="5"/>
    <s v="Low"/>
    <n v="31280"/>
    <n v="0.1"/>
    <n v="34408"/>
  </r>
  <r>
    <s v="EMP0652"/>
    <s v="LATAM"/>
    <s v="Mexico"/>
    <x v="4"/>
    <s v="IC"/>
    <x v="28"/>
    <s v="FTE"/>
    <d v="2020-06-09T00:00:00"/>
    <s v="Inactive"/>
    <s v="People Operations"/>
    <s v="CC-HR-850"/>
    <n v="5"/>
    <d v="2026-02-18T00:00:00"/>
    <n v="5"/>
    <x v="1"/>
    <n v="0"/>
    <s v="Voluntary"/>
    <n v="4"/>
    <s v="No"/>
    <s v="No"/>
    <s v="No"/>
    <n v="5"/>
    <s v="Low"/>
    <n v="25930"/>
    <n v="0.1"/>
    <n v="28523.000000000004"/>
  </r>
  <r>
    <s v="EMP0653"/>
    <s v="LATAM"/>
    <s v="Mexico"/>
    <x v="1"/>
    <s v="IC"/>
    <x v="97"/>
    <s v="FTE"/>
    <d v="2020-06-08T00:00:00"/>
    <s v="Active"/>
    <s v="Controlling"/>
    <s v="CC-Fin-346"/>
    <n v="5"/>
    <s v=""/>
    <n v="5"/>
    <x v="1"/>
    <n v="0"/>
    <s v=""/>
    <n v="3"/>
    <s v="No"/>
    <s v="Yes"/>
    <s v="Yes"/>
    <n v="1"/>
    <s v="High"/>
    <n v="33559"/>
    <n v="0.1"/>
    <n v="36914.9"/>
  </r>
  <r>
    <s v="EMP0654"/>
    <s v="LATAM"/>
    <s v="Mexico"/>
    <x v="3"/>
    <s v="IC"/>
    <x v="229"/>
    <s v="FTE"/>
    <d v="2020-06-05T00:00:00"/>
    <s v="Active"/>
    <s v="Manufacturing"/>
    <s v="CC-Ope-944"/>
    <n v="5"/>
    <s v=""/>
    <n v="5"/>
    <x v="1"/>
    <n v="0"/>
    <s v=""/>
    <n v="4"/>
    <s v="No"/>
    <s v="No"/>
    <s v="No"/>
    <n v="5"/>
    <s v="Low"/>
    <n v="35981"/>
    <n v="0.1"/>
    <n v="39579.100000000006"/>
  </r>
  <r>
    <s v="EMP0655"/>
    <s v="LATAM"/>
    <s v="Mexico"/>
    <x v="1"/>
    <s v="IC"/>
    <x v="159"/>
    <s v="FTE"/>
    <d v="2020-05-28T00:00:00"/>
    <s v="Active"/>
    <s v="Controlling"/>
    <s v="CC-Fin-954"/>
    <n v="5"/>
    <s v=""/>
    <n v="5"/>
    <x v="1"/>
    <n v="0"/>
    <s v=""/>
    <n v="3"/>
    <s v="No"/>
    <s v="No"/>
    <s v="No"/>
    <n v="2"/>
    <s v="High"/>
    <n v="37175"/>
    <n v="0.1"/>
    <n v="40892.5"/>
  </r>
  <r>
    <s v="EMP0656"/>
    <s v="LATAM"/>
    <s v="Mexico"/>
    <x v="5"/>
    <s v="Manager"/>
    <x v="215"/>
    <s v="FTE"/>
    <d v="2020-05-25T00:00:00"/>
    <s v="Active"/>
    <s v="Technology"/>
    <s v="CC-IT-329"/>
    <n v="4"/>
    <s v=""/>
    <n v="5"/>
    <x v="1"/>
    <n v="0"/>
    <s v=""/>
    <n v="3"/>
    <s v="No"/>
    <s v="No"/>
    <s v="No"/>
    <n v="1"/>
    <s v="High"/>
    <n v="61829"/>
    <n v="0.15"/>
    <n v="71103.349999999991"/>
  </r>
  <r>
    <s v="EMP0657"/>
    <s v="LATAM"/>
    <s v="Mexico"/>
    <x v="5"/>
    <s v="IC"/>
    <x v="202"/>
    <s v="FTE"/>
    <d v="2020-05-23T00:00:00"/>
    <s v="Active"/>
    <s v="Technology"/>
    <s v="CC-IT-651"/>
    <n v="5"/>
    <s v=""/>
    <n v="5"/>
    <x v="1"/>
    <n v="0"/>
    <s v=""/>
    <n v="3"/>
    <s v="No"/>
    <s v="No"/>
    <s v="No"/>
    <n v="2"/>
    <s v="High"/>
    <n v="34975"/>
    <n v="0.1"/>
    <n v="38472.5"/>
  </r>
  <r>
    <s v="EMP0658"/>
    <s v="LATAM"/>
    <s v="Mexico"/>
    <x v="5"/>
    <s v="Manager"/>
    <x v="226"/>
    <s v="FTE"/>
    <d v="2020-05-12T00:00:00"/>
    <s v="Inactive"/>
    <s v="Technology"/>
    <s v="CC-IT-780"/>
    <n v="4"/>
    <d v="2022-05-19T00:00:00"/>
    <n v="2"/>
    <x v="0"/>
    <n v="1"/>
    <s v="Involuntary"/>
    <n v="3"/>
    <s v="No"/>
    <s v="No"/>
    <s v="No"/>
    <n v="5"/>
    <s v="Low"/>
    <n v="76355"/>
    <n v="0.15"/>
    <n v="87808.25"/>
  </r>
  <r>
    <s v="EMP0659"/>
    <s v="LATAM"/>
    <s v="Mexico"/>
    <x v="1"/>
    <s v="IC"/>
    <x v="145"/>
    <s v="FTE"/>
    <d v="2020-05-06T00:00:00"/>
    <s v="Inactive"/>
    <s v="Controlling"/>
    <s v="CC-Fin-198"/>
    <n v="5"/>
    <d v="2026-02-18T00:00:00"/>
    <n v="5"/>
    <x v="1"/>
    <n v="0"/>
    <s v="Voluntary"/>
    <n v="3"/>
    <s v="No"/>
    <s v="No"/>
    <s v="No"/>
    <n v="5"/>
    <s v="Low"/>
    <n v="21548"/>
    <n v="0.1"/>
    <n v="23702.800000000003"/>
  </r>
  <r>
    <s v="EMP0660"/>
    <s v="LATAM"/>
    <s v="Mexico"/>
    <x v="1"/>
    <s v="IC"/>
    <x v="182"/>
    <s v="FTE"/>
    <d v="2020-05-02T00:00:00"/>
    <s v="Active"/>
    <s v="Controlling"/>
    <s v="CC-Fin-151"/>
    <n v="5"/>
    <s v=""/>
    <n v="5"/>
    <x v="1"/>
    <n v="0"/>
    <s v=""/>
    <n v="4"/>
    <s v="No"/>
    <s v="No"/>
    <s v="No"/>
    <n v="2"/>
    <s v="High"/>
    <n v="39989"/>
    <n v="0.1"/>
    <n v="43987.9"/>
  </r>
  <r>
    <s v="EMP0661"/>
    <s v="LATAM"/>
    <s v="Mexico"/>
    <x v="4"/>
    <s v="IC"/>
    <x v="177"/>
    <s v="FTE"/>
    <d v="2020-05-02T00:00:00"/>
    <s v="Active"/>
    <s v="People Operations"/>
    <s v="CC-HR-126"/>
    <n v="5"/>
    <s v=""/>
    <n v="5"/>
    <x v="1"/>
    <n v="0"/>
    <s v=""/>
    <n v="3"/>
    <s v="Yes"/>
    <s v="No"/>
    <s v="No"/>
    <n v="5"/>
    <s v="Low"/>
    <n v="43830"/>
    <n v="0.1"/>
    <n v="48213.000000000007"/>
  </r>
  <r>
    <s v="EMP0662"/>
    <s v="LATAM"/>
    <s v="Mexico"/>
    <x v="1"/>
    <s v="IC"/>
    <x v="231"/>
    <s v="FTE"/>
    <d v="2020-04-28T00:00:00"/>
    <s v="Active"/>
    <s v="Controlling"/>
    <s v="CC-Fin-116"/>
    <n v="5"/>
    <s v=""/>
    <n v="5"/>
    <x v="1"/>
    <n v="0"/>
    <s v=""/>
    <n v="3"/>
    <s v="No"/>
    <s v="No"/>
    <s v="No"/>
    <n v="4"/>
    <s v="Low"/>
    <n v="46765"/>
    <n v="0.1"/>
    <n v="51441.500000000007"/>
  </r>
  <r>
    <s v="EMP0663"/>
    <s v="LATAM"/>
    <s v="Mexico"/>
    <x v="4"/>
    <s v="IC"/>
    <x v="26"/>
    <s v="FTE"/>
    <d v="2020-04-24T00:00:00"/>
    <s v="Active"/>
    <s v="People Operations"/>
    <s v="CC-HR-935"/>
    <n v="5"/>
    <s v=""/>
    <n v="5"/>
    <x v="1"/>
    <n v="0"/>
    <s v=""/>
    <n v="4"/>
    <s v="No"/>
    <s v="No"/>
    <s v="No"/>
    <n v="4"/>
    <s v="Low"/>
    <n v="30481"/>
    <n v="0.1"/>
    <n v="33529.100000000006"/>
  </r>
  <r>
    <s v="EMP0664"/>
    <s v="LATAM"/>
    <s v="Mexico"/>
    <x v="2"/>
    <s v="IC"/>
    <x v="214"/>
    <s v="Contractor"/>
    <d v="2020-04-14T00:00:00"/>
    <s v="Active"/>
    <s v="Commercial"/>
    <s v="CC-Sal-388"/>
    <n v="5"/>
    <s v=""/>
    <n v="5"/>
    <x v="1"/>
    <n v="0"/>
    <s v=""/>
    <n v="4"/>
    <s v="No"/>
    <s v="No"/>
    <s v="No"/>
    <n v="2"/>
    <s v="High"/>
    <n v="32375"/>
    <n v="0.1"/>
    <n v="35612.5"/>
  </r>
  <r>
    <s v="EMP0665"/>
    <s v="LATAM"/>
    <s v="Mexico"/>
    <x v="2"/>
    <s v="IC"/>
    <x v="9"/>
    <s v="FTE"/>
    <d v="2020-04-09T00:00:00"/>
    <s v="Active"/>
    <s v="Commercial"/>
    <s v="CC-Sal-217"/>
    <n v="5"/>
    <s v=""/>
    <n v="5"/>
    <x v="1"/>
    <n v="0"/>
    <s v=""/>
    <n v="3"/>
    <s v="No"/>
    <s v="Yes"/>
    <s v="No"/>
    <n v="2"/>
    <s v="High"/>
    <n v="23159"/>
    <n v="0.1"/>
    <n v="25474.9"/>
  </r>
  <r>
    <s v="EMP0666"/>
    <s v="LATAM"/>
    <s v="Mexico"/>
    <x v="0"/>
    <s v="IC"/>
    <x v="51"/>
    <s v="FTE"/>
    <d v="2020-04-08T00:00:00"/>
    <s v="Active"/>
    <s v="Logistics"/>
    <s v="CC-Sup-581"/>
    <n v="5"/>
    <s v=""/>
    <n v="5"/>
    <x v="1"/>
    <n v="0"/>
    <s v=""/>
    <n v="5"/>
    <s v="No"/>
    <s v="No"/>
    <s v="No"/>
    <n v="5"/>
    <s v="Low"/>
    <n v="42806"/>
    <n v="0.1"/>
    <n v="47086.600000000006"/>
  </r>
  <r>
    <s v="EMP0667"/>
    <s v="LATAM"/>
    <s v="Mexico"/>
    <x v="4"/>
    <s v="IC"/>
    <x v="199"/>
    <s v="FTE"/>
    <d v="2020-04-07T00:00:00"/>
    <s v="Active"/>
    <s v="People Operations"/>
    <s v="CC-HR-687"/>
    <n v="5"/>
    <s v=""/>
    <n v="5"/>
    <x v="1"/>
    <n v="0"/>
    <s v=""/>
    <n v="3"/>
    <s v="Yes"/>
    <s v="No"/>
    <s v="No"/>
    <n v="2"/>
    <s v="High"/>
    <n v="22608"/>
    <n v="0.1"/>
    <n v="24868.800000000003"/>
  </r>
  <r>
    <s v="EMP0668"/>
    <s v="LATAM"/>
    <s v="Mexico"/>
    <x v="1"/>
    <s v="IC"/>
    <x v="30"/>
    <s v="Contractor"/>
    <d v="2020-04-04T00:00:00"/>
    <s v="Inactive"/>
    <s v="Controlling"/>
    <s v="CC-Fin-363"/>
    <n v="5"/>
    <d v="2025-05-19T00:00:00"/>
    <n v="5"/>
    <x v="1"/>
    <n v="0"/>
    <s v="Voluntary"/>
    <n v="4"/>
    <s v="No"/>
    <s v="Yes"/>
    <s v="Yes"/>
    <n v="5"/>
    <s v="Low"/>
    <n v="48996"/>
    <n v="0.1"/>
    <n v="53895.600000000006"/>
  </r>
  <r>
    <s v="EMP0669"/>
    <s v="LATAM"/>
    <s v="Mexico"/>
    <x v="4"/>
    <s v="IC"/>
    <x v="39"/>
    <s v="FTE"/>
    <d v="2020-04-04T00:00:00"/>
    <s v="Active"/>
    <s v="People Operations"/>
    <s v="CC-HR-562"/>
    <n v="5"/>
    <s v=""/>
    <n v="5"/>
    <x v="1"/>
    <n v="0"/>
    <s v=""/>
    <n v="4"/>
    <s v="No"/>
    <s v="No"/>
    <s v="No"/>
    <n v="2"/>
    <s v="High"/>
    <n v="28809"/>
    <n v="0.1"/>
    <n v="31689.9"/>
  </r>
  <r>
    <s v="EMP0670"/>
    <s v="LATAM"/>
    <s v="Mexico"/>
    <x v="1"/>
    <s v="IC"/>
    <x v="120"/>
    <s v="FTE"/>
    <d v="2020-04-03T00:00:00"/>
    <s v="Active"/>
    <s v="Controlling"/>
    <s v="CC-Fin-274"/>
    <n v="5"/>
    <s v=""/>
    <n v="5"/>
    <x v="1"/>
    <n v="0"/>
    <s v=""/>
    <n v="5"/>
    <s v="No"/>
    <s v="No"/>
    <s v="No"/>
    <n v="5"/>
    <s v="Low"/>
    <n v="20104"/>
    <n v="0.1"/>
    <n v="22114.400000000001"/>
  </r>
  <r>
    <s v="EMP0671"/>
    <s v="LATAM"/>
    <s v="Mexico"/>
    <x v="0"/>
    <s v="IC"/>
    <x v="240"/>
    <s v="FTE"/>
    <d v="2020-04-02T00:00:00"/>
    <s v="Active"/>
    <s v="Logistics"/>
    <s v="CC-Sup-186"/>
    <n v="5"/>
    <s v=""/>
    <n v="5"/>
    <x v="1"/>
    <n v="0"/>
    <s v=""/>
    <n v="2"/>
    <s v="No"/>
    <s v="Yes"/>
    <s v="Yes"/>
    <n v="4"/>
    <s v="Low"/>
    <n v="49025"/>
    <n v="0.1"/>
    <n v="53927.500000000007"/>
  </r>
  <r>
    <s v="EMP0672"/>
    <s v="LATAM"/>
    <s v="Mexico"/>
    <x v="2"/>
    <s v="IC"/>
    <x v="241"/>
    <s v="FTE"/>
    <d v="2020-03-23T00:00:00"/>
    <s v="Active"/>
    <s v="Commercial"/>
    <s v="CC-Sal-775"/>
    <n v="5"/>
    <s v=""/>
    <n v="5"/>
    <x v="1"/>
    <n v="0"/>
    <s v=""/>
    <n v="4"/>
    <s v="Yes"/>
    <s v="No"/>
    <s v="No"/>
    <n v="1"/>
    <s v="High"/>
    <n v="32256"/>
    <n v="0.1"/>
    <n v="35481.600000000006"/>
  </r>
  <r>
    <s v="EMP0673"/>
    <s v="LATAM"/>
    <s v="Mexico"/>
    <x v="0"/>
    <s v="Manager"/>
    <x v="137"/>
    <s v="FTE"/>
    <d v="2020-03-17T00:00:00"/>
    <s v="Active"/>
    <s v="Logistics"/>
    <s v="CC-Sup-732"/>
    <n v="4"/>
    <s v=""/>
    <n v="5"/>
    <x v="1"/>
    <n v="0"/>
    <s v=""/>
    <n v="4"/>
    <s v="No"/>
    <s v="No"/>
    <s v="No"/>
    <n v="5"/>
    <s v="Low"/>
    <n v="77321"/>
    <n v="0.15"/>
    <n v="88919.15"/>
  </r>
  <r>
    <s v="EMP0674"/>
    <s v="LATAM"/>
    <s v="Mexico"/>
    <x v="3"/>
    <s v="IC"/>
    <x v="27"/>
    <s v="Contractor"/>
    <d v="2020-03-17T00:00:00"/>
    <s v="Active"/>
    <s v="Manufacturing"/>
    <s v="CC-Ope-496"/>
    <n v="5"/>
    <s v=""/>
    <n v="5"/>
    <x v="1"/>
    <n v="0"/>
    <s v=""/>
    <n v="3"/>
    <s v="No"/>
    <s v="No"/>
    <s v="No"/>
    <n v="3"/>
    <s v="Medium"/>
    <n v="34292"/>
    <n v="0.1"/>
    <n v="37721.200000000004"/>
  </r>
  <r>
    <s v="EMP0675"/>
    <s v="LATAM"/>
    <s v="Mexico"/>
    <x v="4"/>
    <s v="IC"/>
    <x v="120"/>
    <s v="FTE"/>
    <d v="2020-03-16T00:00:00"/>
    <s v="Active"/>
    <s v="People Operations"/>
    <s v="CC-HR-389"/>
    <n v="5"/>
    <s v=""/>
    <n v="5"/>
    <x v="1"/>
    <n v="0"/>
    <s v=""/>
    <n v="3"/>
    <s v="No"/>
    <s v="No"/>
    <s v="No"/>
    <n v="3"/>
    <s v="Medium"/>
    <n v="48764"/>
    <n v="0.1"/>
    <n v="53640.4"/>
  </r>
  <r>
    <s v="EMP0676"/>
    <s v="LATAM"/>
    <s v="Mexico"/>
    <x v="2"/>
    <s v="Manager"/>
    <x v="242"/>
    <s v="FTE"/>
    <d v="2020-03-11T00:00:00"/>
    <s v="Active"/>
    <s v="Commercial"/>
    <s v="CC-Sal-134"/>
    <n v="4"/>
    <s v=""/>
    <n v="5"/>
    <x v="1"/>
    <n v="0"/>
    <s v=""/>
    <n v="2"/>
    <s v="No"/>
    <s v="No"/>
    <s v="No"/>
    <n v="3"/>
    <s v="Medium"/>
    <n v="73348"/>
    <n v="0.15"/>
    <n v="84350.2"/>
  </r>
  <r>
    <s v="EMP0677"/>
    <s v="LATAM"/>
    <s v="Mexico"/>
    <x v="5"/>
    <s v="IC"/>
    <x v="236"/>
    <s v="FTE"/>
    <d v="2020-03-11T00:00:00"/>
    <s v="Active"/>
    <s v="Technology"/>
    <s v="CC-IT-274"/>
    <n v="5"/>
    <s v=""/>
    <n v="5"/>
    <x v="1"/>
    <n v="0"/>
    <s v=""/>
    <n v="3"/>
    <s v="No"/>
    <s v="No"/>
    <s v="No"/>
    <n v="1"/>
    <s v="High"/>
    <n v="47489"/>
    <n v="0.1"/>
    <n v="52237.9"/>
  </r>
  <r>
    <s v="EMP0678"/>
    <s v="LATAM"/>
    <s v="Mexico"/>
    <x v="5"/>
    <s v="IC"/>
    <x v="32"/>
    <s v="FTE"/>
    <d v="2020-03-02T00:00:00"/>
    <s v="Active"/>
    <s v="Technology"/>
    <s v="CC-IT-265"/>
    <n v="5"/>
    <s v=""/>
    <n v="5"/>
    <x v="1"/>
    <n v="0"/>
    <s v=""/>
    <n v="4"/>
    <s v="Yes"/>
    <s v="No"/>
    <s v="No"/>
    <n v="3"/>
    <s v="Medium"/>
    <n v="48493"/>
    <n v="0.1"/>
    <n v="53342.3"/>
  </r>
  <r>
    <s v="EMP0679"/>
    <s v="LATAM"/>
    <s v="Mexico"/>
    <x v="3"/>
    <s v="IC"/>
    <x v="30"/>
    <s v="FTE"/>
    <d v="2020-02-21T00:00:00"/>
    <s v="Active"/>
    <s v="Manufacturing"/>
    <s v="CC-Ope-940"/>
    <n v="5"/>
    <s v=""/>
    <n v="6"/>
    <x v="2"/>
    <n v="0"/>
    <s v=""/>
    <n v="3"/>
    <s v="No"/>
    <s v="No"/>
    <s v="No"/>
    <n v="5"/>
    <s v="Low"/>
    <n v="48618"/>
    <n v="0.1"/>
    <n v="53479.8"/>
  </r>
  <r>
    <s v="EMP0680"/>
    <s v="LATAM"/>
    <s v="Mexico"/>
    <x v="1"/>
    <s v="VP"/>
    <x v="140"/>
    <s v="FTE"/>
    <d v="2020-02-07T00:00:00"/>
    <s v="Active"/>
    <s v="Controlling"/>
    <s v="CC-Fin-928"/>
    <n v="2"/>
    <s v=""/>
    <n v="6"/>
    <x v="2"/>
    <n v="0"/>
    <s v=""/>
    <n v="3"/>
    <s v="No"/>
    <s v="No"/>
    <s v="No"/>
    <n v="2"/>
    <s v="High"/>
    <n v="161553"/>
    <n v="0.25"/>
    <n v="201941.25"/>
  </r>
  <r>
    <s v="EMP0681"/>
    <s v="LATAM"/>
    <s v="Mexico"/>
    <x v="2"/>
    <s v="IC"/>
    <x v="243"/>
    <s v="FTE"/>
    <d v="2020-02-02T00:00:00"/>
    <s v="Active"/>
    <s v="Commercial"/>
    <s v="CC-Sal-929"/>
    <n v="5"/>
    <s v=""/>
    <n v="6"/>
    <x v="2"/>
    <n v="0"/>
    <s v=""/>
    <n v="4"/>
    <s v="No"/>
    <s v="No"/>
    <s v="No"/>
    <n v="4"/>
    <s v="Low"/>
    <n v="29750"/>
    <n v="0.1"/>
    <n v="32725.000000000004"/>
  </r>
  <r>
    <s v="EMP0682"/>
    <s v="LATAM"/>
    <s v="Mexico"/>
    <x v="1"/>
    <s v="IC"/>
    <x v="153"/>
    <s v="FTE"/>
    <d v="2020-01-28T00:00:00"/>
    <s v="Active"/>
    <s v="Controlling"/>
    <s v="CC-Fin-931"/>
    <n v="5"/>
    <s v=""/>
    <n v="6"/>
    <x v="2"/>
    <n v="0"/>
    <s v=""/>
    <n v="3"/>
    <s v="No"/>
    <s v="Yes"/>
    <s v="No"/>
    <n v="2"/>
    <s v="High"/>
    <n v="42383"/>
    <n v="0.1"/>
    <n v="46621.3"/>
  </r>
  <r>
    <s v="EMP0683"/>
    <s v="LATAM"/>
    <s v="Mexico"/>
    <x v="2"/>
    <s v="IC"/>
    <x v="21"/>
    <s v="FTE"/>
    <d v="2020-01-26T00:00:00"/>
    <s v="Active"/>
    <s v="Commercial"/>
    <s v="CC-Sal-339"/>
    <n v="5"/>
    <s v=""/>
    <n v="6"/>
    <x v="2"/>
    <n v="0"/>
    <s v=""/>
    <n v="2"/>
    <s v="No"/>
    <s v="No"/>
    <s v="No"/>
    <n v="1"/>
    <s v="High"/>
    <n v="35878"/>
    <n v="0.1"/>
    <n v="39465.800000000003"/>
  </r>
  <r>
    <s v="EMP0684"/>
    <s v="LATAM"/>
    <s v="Mexico"/>
    <x v="1"/>
    <s v="IC"/>
    <x v="88"/>
    <s v="FTE"/>
    <d v="2020-01-26T00:00:00"/>
    <s v="Inactive"/>
    <s v="Controlling"/>
    <s v="CC-Fin-497"/>
    <n v="5"/>
    <d v="2023-07-18T00:00:00"/>
    <n v="3"/>
    <x v="1"/>
    <n v="0"/>
    <s v="Voluntary"/>
    <n v="3"/>
    <s v="Yes"/>
    <s v="No"/>
    <s v="No"/>
    <n v="4"/>
    <s v="Low"/>
    <n v="37160"/>
    <n v="0.1"/>
    <n v="40876"/>
  </r>
  <r>
    <s v="EMP0685"/>
    <s v="LATAM"/>
    <s v="Mexico"/>
    <x v="2"/>
    <s v="IC"/>
    <x v="88"/>
    <s v="FTE"/>
    <d v="2020-01-19T00:00:00"/>
    <s v="Active"/>
    <s v="Commercial"/>
    <s v="CC-Sal-253"/>
    <n v="5"/>
    <s v=""/>
    <n v="6"/>
    <x v="2"/>
    <n v="0"/>
    <s v=""/>
    <n v="3"/>
    <s v="Yes"/>
    <s v="No"/>
    <s v="No"/>
    <n v="1"/>
    <s v="High"/>
    <n v="29130"/>
    <n v="0.1"/>
    <n v="32043.000000000004"/>
  </r>
  <r>
    <s v="EMP0686"/>
    <s v="LATAM"/>
    <s v="Mexico"/>
    <x v="2"/>
    <s v="IC"/>
    <x v="105"/>
    <s v="FTE"/>
    <d v="2020-01-17T00:00:00"/>
    <s v="Active"/>
    <s v="Commercial"/>
    <s v="CC-Sal-876"/>
    <n v="5"/>
    <s v=""/>
    <n v="6"/>
    <x v="2"/>
    <n v="0"/>
    <s v=""/>
    <n v="2"/>
    <s v="No"/>
    <s v="No"/>
    <s v="No"/>
    <n v="1"/>
    <s v="High"/>
    <n v="21240"/>
    <n v="0.1"/>
    <n v="23364.000000000004"/>
  </r>
  <r>
    <s v="EMP0687"/>
    <s v="LATAM"/>
    <s v="Mexico"/>
    <x v="2"/>
    <s v="IC"/>
    <x v="171"/>
    <s v="FTE"/>
    <d v="2020-01-16T00:00:00"/>
    <s v="Active"/>
    <s v="Commercial"/>
    <s v="CC-Sal-699"/>
    <n v="5"/>
    <s v=""/>
    <n v="6"/>
    <x v="2"/>
    <n v="0"/>
    <s v=""/>
    <n v="4"/>
    <s v="No"/>
    <s v="No"/>
    <s v="No"/>
    <n v="3"/>
    <s v="Medium"/>
    <n v="40612"/>
    <n v="0.1"/>
    <n v="44673.200000000004"/>
  </r>
  <r>
    <s v="EMP0688"/>
    <s v="LATAM"/>
    <s v="Mexico"/>
    <x v="3"/>
    <s v="IC"/>
    <x v="197"/>
    <s v="FTE"/>
    <d v="2020-01-10T00:00:00"/>
    <s v="Active"/>
    <s v="Manufacturing"/>
    <s v="CC-Ope-127"/>
    <n v="5"/>
    <s v=""/>
    <n v="6"/>
    <x v="2"/>
    <n v="0"/>
    <s v=""/>
    <n v="3"/>
    <s v="No"/>
    <s v="No"/>
    <s v="No"/>
    <n v="1"/>
    <s v="High"/>
    <n v="44263"/>
    <n v="0.1"/>
    <n v="48689.3"/>
  </r>
  <r>
    <s v="EMP0689"/>
    <s v="LATAM"/>
    <s v="Mexico"/>
    <x v="3"/>
    <s v="IC"/>
    <x v="68"/>
    <s v="FTE"/>
    <d v="2020-01-07T00:00:00"/>
    <s v="Active"/>
    <s v="Manufacturing"/>
    <s v="CC-Ope-548"/>
    <n v="5"/>
    <s v=""/>
    <n v="6"/>
    <x v="2"/>
    <n v="0"/>
    <s v=""/>
    <n v="3"/>
    <s v="No"/>
    <s v="No"/>
    <s v="No"/>
    <n v="4"/>
    <s v="Low"/>
    <n v="48421"/>
    <n v="0.1"/>
    <n v="53263.100000000006"/>
  </r>
  <r>
    <s v="EMP0690"/>
    <s v="LATAM"/>
    <s v="Mexico"/>
    <x v="2"/>
    <s v="IC"/>
    <x v="82"/>
    <s v="FTE"/>
    <d v="2020-01-03T00:00:00"/>
    <s v="Active"/>
    <s v="Commercial"/>
    <s v="CC-Sal-522"/>
    <n v="5"/>
    <s v=""/>
    <n v="6"/>
    <x v="2"/>
    <n v="0"/>
    <s v=""/>
    <n v="3"/>
    <s v="Yes"/>
    <s v="No"/>
    <s v="No"/>
    <n v="2"/>
    <s v="High"/>
    <n v="42941"/>
    <n v="0.1"/>
    <n v="47235.100000000006"/>
  </r>
  <r>
    <s v="EMP0691"/>
    <s v="LATAM"/>
    <s v="Mexico"/>
    <x v="5"/>
    <s v="IC"/>
    <x v="184"/>
    <s v="FTE"/>
    <d v="2020-01-02T00:00:00"/>
    <s v="Active"/>
    <s v="Technology"/>
    <s v="CC-IT-886"/>
    <n v="5"/>
    <s v=""/>
    <n v="6"/>
    <x v="2"/>
    <n v="0"/>
    <s v=""/>
    <n v="5"/>
    <s v="Yes"/>
    <s v="No"/>
    <s v="No"/>
    <n v="1"/>
    <s v="High"/>
    <n v="38490"/>
    <n v="0.1"/>
    <n v="42339"/>
  </r>
  <r>
    <s v="EMP0692"/>
    <s v="LATAM"/>
    <s v="Mexico"/>
    <x v="2"/>
    <s v="IC"/>
    <x v="212"/>
    <s v="FTE"/>
    <d v="2019-12-27T00:00:00"/>
    <s v="Active"/>
    <s v="Commercial"/>
    <s v="CC-Sal-162"/>
    <n v="5"/>
    <s v=""/>
    <n v="6"/>
    <x v="2"/>
    <n v="0"/>
    <s v=""/>
    <n v="3"/>
    <s v="Yes"/>
    <s v="Yes"/>
    <s v="No"/>
    <n v="4"/>
    <s v="Low"/>
    <n v="47135"/>
    <n v="0.1"/>
    <n v="51848.500000000007"/>
  </r>
  <r>
    <s v="EMP0693"/>
    <s v="LATAM"/>
    <s v="Mexico"/>
    <x v="4"/>
    <s v="IC"/>
    <x v="244"/>
    <s v="FTE"/>
    <d v="2019-12-26T00:00:00"/>
    <s v="Inactive"/>
    <s v="People Operations"/>
    <s v="CC-HR-461"/>
    <n v="5"/>
    <d v="2026-02-18T00:00:00"/>
    <n v="6"/>
    <x v="2"/>
    <n v="0"/>
    <s v="Involuntary"/>
    <n v="4"/>
    <s v="No"/>
    <s v="No"/>
    <s v="No"/>
    <n v="3"/>
    <s v="Medium"/>
    <n v="21209"/>
    <n v="0.1"/>
    <n v="23329.9"/>
  </r>
  <r>
    <s v="EMP0694"/>
    <s v="LATAM"/>
    <s v="Mexico"/>
    <x v="0"/>
    <s v="IC"/>
    <x v="127"/>
    <s v="FTE"/>
    <d v="2019-12-25T00:00:00"/>
    <s v="Active"/>
    <s v="Logistics"/>
    <s v="CC-Sup-787"/>
    <n v="5"/>
    <s v=""/>
    <n v="6"/>
    <x v="2"/>
    <n v="0"/>
    <s v=""/>
    <n v="3"/>
    <s v="No"/>
    <s v="No"/>
    <s v="No"/>
    <n v="5"/>
    <s v="Low"/>
    <n v="35589"/>
    <n v="0.1"/>
    <n v="39147.9"/>
  </r>
  <r>
    <s v="EMP0695"/>
    <s v="LATAM"/>
    <s v="Mexico"/>
    <x v="1"/>
    <s v="IC"/>
    <x v="190"/>
    <s v="FTE"/>
    <d v="2019-12-24T00:00:00"/>
    <s v="Active"/>
    <s v="Controlling"/>
    <s v="CC-Fin-355"/>
    <n v="5"/>
    <s v=""/>
    <n v="6"/>
    <x v="2"/>
    <n v="0"/>
    <s v=""/>
    <n v="3"/>
    <s v="No"/>
    <s v="No"/>
    <s v="No"/>
    <n v="3"/>
    <s v="Medium"/>
    <n v="31717"/>
    <n v="0.1"/>
    <n v="34888.700000000004"/>
  </r>
  <r>
    <s v="EMP0696"/>
    <s v="LATAM"/>
    <s v="Mexico"/>
    <x v="3"/>
    <s v="IC"/>
    <x v="62"/>
    <s v="FTE"/>
    <d v="2019-12-08T00:00:00"/>
    <s v="Active"/>
    <s v="Manufacturing"/>
    <s v="CC-Ope-915"/>
    <n v="5"/>
    <s v=""/>
    <n v="6"/>
    <x v="2"/>
    <n v="0"/>
    <s v=""/>
    <n v="3"/>
    <s v="No"/>
    <s v="No"/>
    <s v="No"/>
    <n v="3"/>
    <s v="Medium"/>
    <n v="22670"/>
    <n v="0.1"/>
    <n v="24937.000000000004"/>
  </r>
  <r>
    <s v="EMP0697"/>
    <s v="LATAM"/>
    <s v="Mexico"/>
    <x v="4"/>
    <s v="Director"/>
    <x v="149"/>
    <s v="FTE"/>
    <d v="2019-12-05T00:00:00"/>
    <s v="Active"/>
    <s v="People Operations"/>
    <s v="CC-HR-552"/>
    <n v="3"/>
    <s v=""/>
    <n v="6"/>
    <x v="2"/>
    <n v="0"/>
    <s v=""/>
    <n v="3"/>
    <s v="Yes"/>
    <s v="Yes"/>
    <s v="No"/>
    <n v="3"/>
    <s v="Medium"/>
    <n v="107690"/>
    <n v="0.2"/>
    <n v="129228"/>
  </r>
  <r>
    <s v="EMP0698"/>
    <s v="LATAM"/>
    <s v="Mexico"/>
    <x v="5"/>
    <s v="IC"/>
    <x v="91"/>
    <s v="FTE"/>
    <d v="2019-11-21T00:00:00"/>
    <s v="Active"/>
    <s v="Technology"/>
    <s v="CC-IT-532"/>
    <n v="5"/>
    <s v=""/>
    <n v="6"/>
    <x v="2"/>
    <n v="0"/>
    <s v=""/>
    <n v="3"/>
    <s v="No"/>
    <s v="No"/>
    <s v="No"/>
    <n v="2"/>
    <s v="High"/>
    <n v="24923"/>
    <n v="0.1"/>
    <n v="27415.300000000003"/>
  </r>
  <r>
    <s v="EMP0699"/>
    <s v="LATAM"/>
    <s v="Mexico"/>
    <x v="3"/>
    <s v="IC"/>
    <x v="217"/>
    <s v="FTE"/>
    <d v="2019-11-21T00:00:00"/>
    <s v="Active"/>
    <s v="Manufacturing"/>
    <s v="CC-Ope-444"/>
    <n v="5"/>
    <s v=""/>
    <n v="6"/>
    <x v="2"/>
    <n v="0"/>
    <s v=""/>
    <n v="4"/>
    <s v="No"/>
    <s v="No"/>
    <s v="No"/>
    <n v="5"/>
    <s v="Low"/>
    <n v="45825"/>
    <n v="0.1"/>
    <n v="50407.500000000007"/>
  </r>
  <r>
    <s v="EMP0700"/>
    <s v="LATAM"/>
    <s v="Mexico"/>
    <x v="1"/>
    <s v="IC"/>
    <x v="197"/>
    <s v="FTE"/>
    <d v="2019-11-16T00:00:00"/>
    <s v="Active"/>
    <s v="Controlling"/>
    <s v="CC-Fin-760"/>
    <n v="5"/>
    <s v=""/>
    <n v="6"/>
    <x v="2"/>
    <n v="0"/>
    <s v=""/>
    <n v="4"/>
    <s v="No"/>
    <s v="No"/>
    <s v="No"/>
    <n v="5"/>
    <s v="Low"/>
    <n v="38431"/>
    <n v="0.1"/>
    <n v="42274.100000000006"/>
  </r>
  <r>
    <s v="EMP0701"/>
    <s v="LATAM"/>
    <s v="Mexico"/>
    <x v="0"/>
    <s v="IC"/>
    <x v="86"/>
    <s v="FTE"/>
    <d v="2019-11-15T00:00:00"/>
    <s v="Active"/>
    <s v="Logistics"/>
    <s v="CC-Sup-962"/>
    <n v="5"/>
    <s v=""/>
    <n v="6"/>
    <x v="2"/>
    <n v="0"/>
    <s v=""/>
    <n v="4"/>
    <s v="No"/>
    <s v="No"/>
    <s v="No"/>
    <n v="2"/>
    <s v="High"/>
    <n v="42614"/>
    <n v="0.1"/>
    <n v="46875.4"/>
  </r>
  <r>
    <s v="EMP0702"/>
    <s v="LATAM"/>
    <s v="Mexico"/>
    <x v="0"/>
    <s v="IC"/>
    <x v="107"/>
    <s v="FTE"/>
    <d v="2019-11-15T00:00:00"/>
    <s v="Active"/>
    <s v="Logistics"/>
    <s v="CC-Sup-496"/>
    <n v="5"/>
    <s v=""/>
    <n v="6"/>
    <x v="2"/>
    <n v="0"/>
    <s v=""/>
    <n v="3"/>
    <s v="Yes"/>
    <s v="No"/>
    <s v="No"/>
    <n v="1"/>
    <s v="High"/>
    <n v="46797"/>
    <n v="0.1"/>
    <n v="51476.700000000004"/>
  </r>
  <r>
    <s v="EMP0703"/>
    <s v="LATAM"/>
    <s v="Mexico"/>
    <x v="2"/>
    <s v="Manager"/>
    <x v="220"/>
    <s v="FTE"/>
    <d v="2019-11-12T00:00:00"/>
    <s v="Active"/>
    <s v="Commercial"/>
    <s v="CC-Sal-979"/>
    <n v="4"/>
    <s v=""/>
    <n v="6"/>
    <x v="2"/>
    <n v="0"/>
    <s v=""/>
    <n v="3"/>
    <s v="No"/>
    <s v="No"/>
    <s v="No"/>
    <n v="1"/>
    <s v="High"/>
    <n v="54261"/>
    <n v="0.15"/>
    <n v="62400.149999999994"/>
  </r>
  <r>
    <s v="EMP0704"/>
    <s v="LATAM"/>
    <s v="Mexico"/>
    <x v="1"/>
    <s v="Manager"/>
    <x v="245"/>
    <s v="FTE"/>
    <d v="2019-11-11T00:00:00"/>
    <s v="Active"/>
    <s v="Controlling"/>
    <s v="CC-Fin-175"/>
    <n v="4"/>
    <s v=""/>
    <n v="6"/>
    <x v="2"/>
    <n v="0"/>
    <s v=""/>
    <n v="4"/>
    <s v="No"/>
    <s v="No"/>
    <s v="No"/>
    <n v="5"/>
    <s v="Low"/>
    <n v="81260"/>
    <n v="0.15"/>
    <n v="93449"/>
  </r>
  <r>
    <s v="EMP0705"/>
    <s v="LATAM"/>
    <s v="Mexico"/>
    <x v="2"/>
    <s v="IC"/>
    <x v="147"/>
    <s v="FTE"/>
    <d v="2019-11-08T00:00:00"/>
    <s v="Active"/>
    <s v="Commercial"/>
    <s v="CC-Sal-425"/>
    <n v="5"/>
    <s v=""/>
    <n v="6"/>
    <x v="2"/>
    <n v="0"/>
    <s v=""/>
    <n v="4"/>
    <s v="No"/>
    <s v="No"/>
    <s v="No"/>
    <n v="2"/>
    <s v="High"/>
    <n v="45105"/>
    <n v="0.1"/>
    <n v="49615.500000000007"/>
  </r>
  <r>
    <s v="EMP0706"/>
    <s v="LATAM"/>
    <s v="Mexico"/>
    <x v="4"/>
    <s v="IC"/>
    <x v="107"/>
    <s v="FTE"/>
    <d v="2019-11-01T00:00:00"/>
    <s v="Active"/>
    <s v="People Operations"/>
    <s v="CC-HR-107"/>
    <n v="5"/>
    <s v=""/>
    <n v="6"/>
    <x v="2"/>
    <n v="0"/>
    <s v=""/>
    <n v="4"/>
    <s v="No"/>
    <s v="No"/>
    <s v="No"/>
    <n v="5"/>
    <s v="Low"/>
    <n v="34175"/>
    <n v="0.1"/>
    <n v="37592.5"/>
  </r>
  <r>
    <s v="EMP0707"/>
    <s v="LATAM"/>
    <s v="Mexico"/>
    <x v="3"/>
    <s v="IC"/>
    <x v="117"/>
    <s v="FTE"/>
    <d v="2019-10-27T00:00:00"/>
    <s v="Active"/>
    <s v="Manufacturing"/>
    <s v="CC-Ope-779"/>
    <n v="5"/>
    <s v=""/>
    <n v="6"/>
    <x v="2"/>
    <n v="0"/>
    <s v=""/>
    <n v="3"/>
    <s v="No"/>
    <s v="Yes"/>
    <s v="No"/>
    <n v="3"/>
    <s v="Medium"/>
    <n v="44589"/>
    <n v="0.1"/>
    <n v="49047.9"/>
  </r>
  <r>
    <s v="EMP0708"/>
    <s v="LATAM"/>
    <s v="Mexico"/>
    <x v="1"/>
    <s v="IC"/>
    <x v="237"/>
    <s v="Contractor"/>
    <d v="2019-10-26T00:00:00"/>
    <s v="Active"/>
    <s v="Controlling"/>
    <s v="CC-Fin-157"/>
    <n v="5"/>
    <s v=""/>
    <n v="6"/>
    <x v="2"/>
    <n v="0"/>
    <s v=""/>
    <n v="4"/>
    <s v="No"/>
    <s v="No"/>
    <s v="No"/>
    <n v="4"/>
    <s v="Low"/>
    <n v="25547"/>
    <n v="0.1"/>
    <n v="28101.7"/>
  </r>
  <r>
    <s v="EMP0709"/>
    <s v="LATAM"/>
    <s v="Mexico"/>
    <x v="3"/>
    <s v="IC"/>
    <x v="131"/>
    <s v="Contractor"/>
    <d v="2019-10-19T00:00:00"/>
    <s v="Active"/>
    <s v="Manufacturing"/>
    <s v="CC-Ope-446"/>
    <n v="5"/>
    <s v=""/>
    <n v="6"/>
    <x v="2"/>
    <n v="0"/>
    <s v=""/>
    <n v="4"/>
    <s v="No"/>
    <s v="Yes"/>
    <s v="Yes"/>
    <n v="4"/>
    <s v="Low"/>
    <n v="47723"/>
    <n v="0.1"/>
    <n v="52495.3"/>
  </r>
  <r>
    <s v="EMP0710"/>
    <s v="LATAM"/>
    <s v="Mexico"/>
    <x v="5"/>
    <s v="Director"/>
    <x v="5"/>
    <s v="FTE"/>
    <d v="2019-10-18T00:00:00"/>
    <s v="Active"/>
    <s v="Technology"/>
    <s v="CC-IT-632"/>
    <n v="3"/>
    <s v=""/>
    <n v="6"/>
    <x v="2"/>
    <n v="0"/>
    <s v=""/>
    <n v="3"/>
    <s v="No"/>
    <s v="No"/>
    <s v="No"/>
    <n v="1"/>
    <s v="High"/>
    <n v="91459"/>
    <n v="0.2"/>
    <n v="109750.8"/>
  </r>
  <r>
    <s v="EMP0711"/>
    <s v="LATAM"/>
    <s v="Mexico"/>
    <x v="5"/>
    <s v="Manager"/>
    <x v="221"/>
    <s v="FTE"/>
    <d v="2019-10-12T00:00:00"/>
    <s v="Active"/>
    <s v="Technology"/>
    <s v="CC-IT-135"/>
    <n v="4"/>
    <s v=""/>
    <n v="6"/>
    <x v="2"/>
    <n v="0"/>
    <s v=""/>
    <n v="2"/>
    <s v="No"/>
    <s v="No"/>
    <s v="No"/>
    <n v="5"/>
    <s v="Low"/>
    <n v="78685"/>
    <n v="0.15"/>
    <n v="90487.75"/>
  </r>
  <r>
    <s v="EMP0712"/>
    <s v="LATAM"/>
    <s v="Mexico"/>
    <x v="3"/>
    <s v="IC"/>
    <x v="240"/>
    <s v="FTE"/>
    <d v="2019-10-11T00:00:00"/>
    <s v="Active"/>
    <s v="Manufacturing"/>
    <s v="CC-Ope-884"/>
    <n v="5"/>
    <s v=""/>
    <n v="6"/>
    <x v="2"/>
    <n v="0"/>
    <s v=""/>
    <n v="4"/>
    <s v="No"/>
    <s v="No"/>
    <s v="No"/>
    <n v="5"/>
    <s v="Low"/>
    <n v="32234"/>
    <n v="0.1"/>
    <n v="35457.4"/>
  </r>
  <r>
    <s v="EMP0713"/>
    <s v="LATAM"/>
    <s v="Mexico"/>
    <x v="0"/>
    <s v="IC"/>
    <x v="27"/>
    <s v="Contractor"/>
    <d v="2019-10-11T00:00:00"/>
    <s v="Active"/>
    <s v="Logistics"/>
    <s v="CC-Sup-860"/>
    <n v="5"/>
    <s v=""/>
    <n v="6"/>
    <x v="2"/>
    <n v="0"/>
    <s v=""/>
    <n v="4"/>
    <s v="No"/>
    <s v="No"/>
    <s v="No"/>
    <n v="4"/>
    <s v="Low"/>
    <n v="38852"/>
    <n v="0.1"/>
    <n v="42737.200000000004"/>
  </r>
  <r>
    <s v="EMP0714"/>
    <s v="LATAM"/>
    <s v="Mexico"/>
    <x v="5"/>
    <s v="IC"/>
    <x v="190"/>
    <s v="FTE"/>
    <d v="2019-10-08T00:00:00"/>
    <s v="Active"/>
    <s v="Technology"/>
    <s v="CC-IT-970"/>
    <n v="5"/>
    <s v=""/>
    <n v="6"/>
    <x v="2"/>
    <n v="0"/>
    <s v=""/>
    <n v="4"/>
    <s v="No"/>
    <s v="No"/>
    <s v="No"/>
    <n v="5"/>
    <s v="Low"/>
    <n v="32217"/>
    <n v="0.1"/>
    <n v="35438.700000000004"/>
  </r>
  <r>
    <s v="EMP0715"/>
    <s v="LATAM"/>
    <s v="Mexico"/>
    <x v="4"/>
    <s v="IC"/>
    <x v="129"/>
    <s v="FTE"/>
    <d v="2019-10-07T00:00:00"/>
    <s v="Active"/>
    <s v="People Operations"/>
    <s v="CC-HR-107"/>
    <n v="5"/>
    <s v=""/>
    <n v="6"/>
    <x v="2"/>
    <n v="0"/>
    <s v=""/>
    <n v="3"/>
    <s v="Yes"/>
    <s v="No"/>
    <s v="No"/>
    <n v="3"/>
    <s v="Medium"/>
    <n v="30464"/>
    <n v="0.1"/>
    <n v="33510.400000000001"/>
  </r>
  <r>
    <s v="EMP0716"/>
    <s v="LATAM"/>
    <s v="Mexico"/>
    <x v="4"/>
    <s v="IC"/>
    <x v="151"/>
    <s v="FTE"/>
    <d v="2019-10-04T00:00:00"/>
    <s v="Active"/>
    <s v="People Operations"/>
    <s v="CC-HR-517"/>
    <n v="5"/>
    <s v=""/>
    <n v="6"/>
    <x v="2"/>
    <n v="0"/>
    <s v=""/>
    <n v="2"/>
    <s v="No"/>
    <s v="No"/>
    <s v="No"/>
    <n v="1"/>
    <s v="High"/>
    <n v="21680"/>
    <n v="0.1"/>
    <n v="23848.000000000004"/>
  </r>
  <r>
    <s v="EMP0717"/>
    <s v="LATAM"/>
    <s v="Mexico"/>
    <x v="5"/>
    <s v="IC"/>
    <x v="126"/>
    <s v="FTE"/>
    <d v="2019-10-02T00:00:00"/>
    <s v="Active"/>
    <s v="Technology"/>
    <s v="CC-IT-545"/>
    <n v="5"/>
    <s v=""/>
    <n v="6"/>
    <x v="2"/>
    <n v="0"/>
    <s v=""/>
    <n v="5"/>
    <s v="No"/>
    <s v="No"/>
    <s v="No"/>
    <n v="1"/>
    <s v="High"/>
    <n v="40588"/>
    <n v="0.1"/>
    <n v="44646.8"/>
  </r>
  <r>
    <s v="EMP0718"/>
    <s v="LATAM"/>
    <s v="Mexico"/>
    <x v="1"/>
    <s v="IC"/>
    <x v="204"/>
    <s v="FTE"/>
    <d v="2019-10-01T00:00:00"/>
    <s v="Active"/>
    <s v="Controlling"/>
    <s v="CC-Fin-601"/>
    <n v="5"/>
    <s v=""/>
    <n v="6"/>
    <x v="2"/>
    <n v="0"/>
    <s v=""/>
    <n v="3"/>
    <s v="No"/>
    <s v="No"/>
    <s v="No"/>
    <n v="3"/>
    <s v="Medium"/>
    <n v="24112"/>
    <n v="0.1"/>
    <n v="26523.200000000001"/>
  </r>
  <r>
    <s v="EMP0719"/>
    <s v="LATAM"/>
    <s v="Mexico"/>
    <x v="5"/>
    <s v="Manager"/>
    <x v="50"/>
    <s v="FTE"/>
    <d v="2019-09-23T00:00:00"/>
    <s v="Active"/>
    <s v="Technology"/>
    <s v="CC-IT-368"/>
    <n v="4"/>
    <s v=""/>
    <n v="6"/>
    <x v="2"/>
    <n v="0"/>
    <s v=""/>
    <n v="4"/>
    <s v="No"/>
    <s v="Yes"/>
    <s v="Yes"/>
    <n v="2"/>
    <s v="High"/>
    <n v="76166"/>
    <n v="0.15"/>
    <n v="87590.9"/>
  </r>
  <r>
    <s v="EMP0720"/>
    <s v="LATAM"/>
    <s v="Mexico"/>
    <x v="3"/>
    <s v="Manager"/>
    <x v="34"/>
    <s v="FTE"/>
    <d v="2019-09-13T00:00:00"/>
    <s v="Active"/>
    <s v="Manufacturing"/>
    <s v="CC-Ope-987"/>
    <n v="4"/>
    <s v=""/>
    <n v="6"/>
    <x v="2"/>
    <n v="0"/>
    <s v=""/>
    <n v="4"/>
    <s v="No"/>
    <s v="No"/>
    <s v="No"/>
    <n v="5"/>
    <s v="Low"/>
    <n v="63842"/>
    <n v="0.15"/>
    <n v="73418.299999999988"/>
  </r>
  <r>
    <s v="EMP0721"/>
    <s v="LATAM"/>
    <s v="Mexico"/>
    <x v="5"/>
    <s v="IC"/>
    <x v="59"/>
    <s v="FTE"/>
    <d v="2019-09-12T00:00:00"/>
    <s v="Active"/>
    <s v="Technology"/>
    <s v="CC-IT-139"/>
    <n v="5"/>
    <s v=""/>
    <n v="6"/>
    <x v="2"/>
    <n v="0"/>
    <s v=""/>
    <n v="3"/>
    <s v="No"/>
    <s v="No"/>
    <s v="No"/>
    <n v="1"/>
    <s v="High"/>
    <n v="42254"/>
    <n v="0.1"/>
    <n v="46479.4"/>
  </r>
  <r>
    <s v="EMP0722"/>
    <s v="LATAM"/>
    <s v="Mexico"/>
    <x v="2"/>
    <s v="IC"/>
    <x v="83"/>
    <s v="FTE"/>
    <d v="2019-09-07T00:00:00"/>
    <s v="Active"/>
    <s v="Commercial"/>
    <s v="CC-Sal-415"/>
    <n v="5"/>
    <s v=""/>
    <n v="6"/>
    <x v="2"/>
    <n v="0"/>
    <s v=""/>
    <n v="3"/>
    <s v="No"/>
    <s v="No"/>
    <s v="No"/>
    <n v="5"/>
    <s v="Low"/>
    <n v="28035"/>
    <n v="0.1"/>
    <n v="30838.500000000004"/>
  </r>
  <r>
    <s v="EMP0723"/>
    <s v="LATAM"/>
    <s v="Mexico"/>
    <x v="5"/>
    <s v="Manager"/>
    <x v="216"/>
    <s v="FTE"/>
    <d v="2019-09-06T00:00:00"/>
    <s v="Active"/>
    <s v="Technology"/>
    <s v="CC-IT-439"/>
    <n v="4"/>
    <s v=""/>
    <n v="6"/>
    <x v="2"/>
    <n v="0"/>
    <s v=""/>
    <n v="4"/>
    <s v="No"/>
    <s v="No"/>
    <s v="No"/>
    <n v="3"/>
    <s v="Medium"/>
    <n v="77538"/>
    <n v="0.15"/>
    <n v="89168.7"/>
  </r>
  <r>
    <s v="EMP0724"/>
    <s v="LATAM"/>
    <s v="Mexico"/>
    <x v="2"/>
    <s v="Manager"/>
    <x v="246"/>
    <s v="FTE"/>
    <d v="2019-09-05T00:00:00"/>
    <s v="Active"/>
    <s v="Commercial"/>
    <s v="CC-Sal-184"/>
    <n v="4"/>
    <s v=""/>
    <n v="6"/>
    <x v="2"/>
    <n v="0"/>
    <s v=""/>
    <n v="4"/>
    <s v="No"/>
    <s v="No"/>
    <s v="No"/>
    <n v="1"/>
    <s v="High"/>
    <n v="62804"/>
    <n v="0.15"/>
    <n v="72224.599999999991"/>
  </r>
  <r>
    <s v="EMP0725"/>
    <s v="LATAM"/>
    <s v="Mexico"/>
    <x v="3"/>
    <s v="IC"/>
    <x v="236"/>
    <s v="FTE"/>
    <d v="2019-09-05T00:00:00"/>
    <s v="Active"/>
    <s v="Manufacturing"/>
    <s v="CC-Ope-485"/>
    <n v="5"/>
    <s v=""/>
    <n v="6"/>
    <x v="2"/>
    <n v="0"/>
    <s v=""/>
    <n v="3"/>
    <s v="No"/>
    <s v="No"/>
    <s v="No"/>
    <n v="1"/>
    <s v="High"/>
    <n v="30819"/>
    <n v="0.1"/>
    <n v="33900.9"/>
  </r>
  <r>
    <s v="EMP0726"/>
    <s v="LATAM"/>
    <s v="Mexico"/>
    <x v="4"/>
    <s v="IC"/>
    <x v="150"/>
    <s v="FTE"/>
    <d v="2019-09-04T00:00:00"/>
    <s v="Active"/>
    <s v="People Operations"/>
    <s v="CC-HR-978"/>
    <n v="5"/>
    <s v=""/>
    <n v="6"/>
    <x v="2"/>
    <n v="0"/>
    <s v=""/>
    <n v="3"/>
    <s v="No"/>
    <s v="No"/>
    <s v="No"/>
    <n v="4"/>
    <s v="Low"/>
    <n v="35534"/>
    <n v="0.1"/>
    <n v="39087.4"/>
  </r>
  <r>
    <s v="EMP0727"/>
    <s v="LATAM"/>
    <s v="Mexico"/>
    <x v="0"/>
    <s v="IC"/>
    <x v="184"/>
    <s v="FTE"/>
    <d v="2019-09-01T00:00:00"/>
    <s v="Inactive"/>
    <s v="Logistics"/>
    <s v="CC-Sup-678"/>
    <n v="5"/>
    <d v="2025-06-16T00:00:00"/>
    <n v="5"/>
    <x v="1"/>
    <n v="0"/>
    <s v="Voluntary"/>
    <n v="3"/>
    <s v="Yes"/>
    <s v="No"/>
    <s v="No"/>
    <n v="3"/>
    <s v="Medium"/>
    <n v="38399"/>
    <n v="0.1"/>
    <n v="42238.9"/>
  </r>
  <r>
    <s v="EMP0728"/>
    <s v="LATAM"/>
    <s v="Mexico"/>
    <x v="5"/>
    <s v="Manager"/>
    <x v="106"/>
    <s v="FTE"/>
    <d v="2019-08-25T00:00:00"/>
    <s v="Active"/>
    <s v="Technology"/>
    <s v="CC-IT-507"/>
    <n v="4"/>
    <s v=""/>
    <n v="6"/>
    <x v="2"/>
    <n v="0"/>
    <s v=""/>
    <n v="3"/>
    <s v="No"/>
    <s v="Yes"/>
    <s v="Yes"/>
    <n v="5"/>
    <s v="Low"/>
    <n v="69533"/>
    <n v="0.15"/>
    <n v="79962.95"/>
  </r>
  <r>
    <s v="EMP0729"/>
    <s v="LATAM"/>
    <s v="Mexico"/>
    <x v="1"/>
    <s v="IC"/>
    <x v="62"/>
    <s v="FTE"/>
    <d v="2019-08-19T00:00:00"/>
    <s v="Active"/>
    <s v="Controlling"/>
    <s v="CC-Fin-115"/>
    <n v="5"/>
    <s v=""/>
    <n v="6"/>
    <x v="2"/>
    <n v="0"/>
    <s v=""/>
    <n v="5"/>
    <s v="No"/>
    <s v="No"/>
    <s v="No"/>
    <n v="3"/>
    <s v="Medium"/>
    <n v="42748"/>
    <n v="0.1"/>
    <n v="47022.8"/>
  </r>
  <r>
    <s v="EMP0730"/>
    <s v="LATAM"/>
    <s v="Mexico"/>
    <x v="0"/>
    <s v="IC"/>
    <x v="32"/>
    <s v="FTE"/>
    <d v="2019-08-18T00:00:00"/>
    <s v="Active"/>
    <s v="Logistics"/>
    <s v="CC-Sup-664"/>
    <n v="5"/>
    <s v=""/>
    <n v="6"/>
    <x v="2"/>
    <n v="0"/>
    <s v=""/>
    <n v="2"/>
    <s v="No"/>
    <s v="Yes"/>
    <s v="Yes"/>
    <n v="1"/>
    <s v="High"/>
    <n v="31840"/>
    <n v="0.1"/>
    <n v="35024"/>
  </r>
  <r>
    <s v="EMP0731"/>
    <s v="LATAM"/>
    <s v="Mexico"/>
    <x v="0"/>
    <s v="IC"/>
    <x v="150"/>
    <s v="FTE"/>
    <d v="2019-08-17T00:00:00"/>
    <s v="Active"/>
    <s v="Logistics"/>
    <s v="CC-Sup-771"/>
    <n v="5"/>
    <s v=""/>
    <n v="6"/>
    <x v="2"/>
    <n v="0"/>
    <s v=""/>
    <n v="3"/>
    <s v="No"/>
    <s v="No"/>
    <s v="No"/>
    <n v="5"/>
    <s v="Low"/>
    <n v="30270"/>
    <n v="0.1"/>
    <n v="33297"/>
  </r>
  <r>
    <s v="EMP0732"/>
    <s v="LATAM"/>
    <s v="Mexico"/>
    <x v="4"/>
    <s v="IC"/>
    <x v="243"/>
    <s v="FTE"/>
    <d v="2019-08-12T00:00:00"/>
    <s v="Active"/>
    <s v="People Operations"/>
    <s v="CC-HR-501"/>
    <n v="5"/>
    <s v=""/>
    <n v="6"/>
    <x v="2"/>
    <n v="0"/>
    <s v=""/>
    <n v="5"/>
    <s v="No"/>
    <s v="No"/>
    <s v="No"/>
    <n v="2"/>
    <s v="High"/>
    <n v="48398"/>
    <n v="0.1"/>
    <n v="53237.8"/>
  </r>
  <r>
    <s v="EMP0733"/>
    <s v="LATAM"/>
    <s v="Mexico"/>
    <x v="5"/>
    <s v="IC"/>
    <x v="134"/>
    <s v="FTE"/>
    <d v="2019-08-11T00:00:00"/>
    <s v="Active"/>
    <s v="Technology"/>
    <s v="CC-IT-191"/>
    <n v="5"/>
    <s v=""/>
    <n v="6"/>
    <x v="2"/>
    <n v="0"/>
    <s v=""/>
    <n v="3"/>
    <s v="No"/>
    <s v="No"/>
    <s v="No"/>
    <n v="5"/>
    <s v="Low"/>
    <n v="34487"/>
    <n v="0.1"/>
    <n v="37935.700000000004"/>
  </r>
  <r>
    <s v="EMP0734"/>
    <s v="LATAM"/>
    <s v="Mexico"/>
    <x v="5"/>
    <s v="IC"/>
    <x v="151"/>
    <s v="FTE"/>
    <d v="2019-08-03T00:00:00"/>
    <s v="Active"/>
    <s v="Technology"/>
    <s v="CC-IT-375"/>
    <n v="5"/>
    <s v=""/>
    <n v="6"/>
    <x v="2"/>
    <n v="0"/>
    <s v=""/>
    <n v="2"/>
    <s v="No"/>
    <s v="No"/>
    <s v="No"/>
    <n v="1"/>
    <s v="High"/>
    <n v="29573"/>
    <n v="0.1"/>
    <n v="32530.300000000003"/>
  </r>
  <r>
    <s v="EMP0735"/>
    <s v="LATAM"/>
    <s v="Mexico"/>
    <x v="1"/>
    <s v="IC"/>
    <x v="213"/>
    <s v="FTE"/>
    <d v="2019-08-02T00:00:00"/>
    <s v="Active"/>
    <s v="Controlling"/>
    <s v="CC-Fin-704"/>
    <n v="5"/>
    <s v=""/>
    <n v="6"/>
    <x v="2"/>
    <n v="0"/>
    <s v=""/>
    <n v="5"/>
    <s v="Yes"/>
    <s v="No"/>
    <s v="No"/>
    <n v="4"/>
    <s v="Low"/>
    <n v="37277"/>
    <n v="0.1"/>
    <n v="41004.700000000004"/>
  </r>
  <r>
    <s v="EMP0736"/>
    <s v="LATAM"/>
    <s v="Mexico"/>
    <x v="3"/>
    <s v="IC"/>
    <x v="136"/>
    <s v="FTE"/>
    <d v="2019-07-23T00:00:00"/>
    <s v="Active"/>
    <s v="Manufacturing"/>
    <s v="CC-Ope-938"/>
    <n v="5"/>
    <s v=""/>
    <n v="6"/>
    <x v="2"/>
    <n v="0"/>
    <s v=""/>
    <n v="3"/>
    <s v="No"/>
    <s v="No"/>
    <s v="No"/>
    <n v="5"/>
    <s v="Low"/>
    <n v="23730"/>
    <n v="0.1"/>
    <n v="26103.000000000004"/>
  </r>
  <r>
    <s v="EMP0737"/>
    <s v="LATAM"/>
    <s v="Mexico"/>
    <x v="3"/>
    <s v="IC"/>
    <x v="42"/>
    <s v="FTE"/>
    <d v="2019-07-22T00:00:00"/>
    <s v="Active"/>
    <s v="Manufacturing"/>
    <s v="CC-Ope-913"/>
    <n v="5"/>
    <s v=""/>
    <n v="6"/>
    <x v="2"/>
    <n v="0"/>
    <s v=""/>
    <n v="4"/>
    <s v="No"/>
    <s v="No"/>
    <s v="No"/>
    <n v="4"/>
    <s v="Low"/>
    <n v="45647"/>
    <n v="0.1"/>
    <n v="50211.700000000004"/>
  </r>
  <r>
    <s v="EMP0738"/>
    <s v="LATAM"/>
    <s v="Mexico"/>
    <x v="5"/>
    <s v="IC"/>
    <x v="58"/>
    <s v="FTE"/>
    <d v="2019-07-16T00:00:00"/>
    <s v="Active"/>
    <s v="Technology"/>
    <s v="CC-IT-239"/>
    <n v="5"/>
    <s v=""/>
    <n v="6"/>
    <x v="2"/>
    <n v="0"/>
    <s v=""/>
    <n v="5"/>
    <s v="No"/>
    <s v="No"/>
    <s v="No"/>
    <n v="3"/>
    <s v="Medium"/>
    <n v="30790"/>
    <n v="0.1"/>
    <n v="33869"/>
  </r>
  <r>
    <s v="EMP0739"/>
    <s v="LATAM"/>
    <s v="Mexico"/>
    <x v="0"/>
    <s v="IC"/>
    <x v="158"/>
    <s v="FTE"/>
    <d v="2019-07-10T00:00:00"/>
    <s v="Inactive"/>
    <s v="Logistics"/>
    <s v="CC-Sup-892"/>
    <n v="5"/>
    <d v="2023-09-15T00:00:00"/>
    <n v="4"/>
    <x v="1"/>
    <n v="0"/>
    <s v="Voluntary"/>
    <n v="4"/>
    <s v="No"/>
    <s v="No"/>
    <s v="No"/>
    <n v="2"/>
    <s v="High"/>
    <n v="21011"/>
    <n v="0.1"/>
    <n v="23112.100000000002"/>
  </r>
  <r>
    <s v="EMP0740"/>
    <s v="LATAM"/>
    <s v="Mexico"/>
    <x v="2"/>
    <s v="IC"/>
    <x v="171"/>
    <s v="Contractor"/>
    <d v="2019-07-09T00:00:00"/>
    <s v="Active"/>
    <s v="Commercial"/>
    <s v="CC-Sal-643"/>
    <n v="5"/>
    <s v=""/>
    <n v="6"/>
    <x v="2"/>
    <n v="0"/>
    <s v=""/>
    <n v="4"/>
    <s v="No"/>
    <s v="No"/>
    <s v="No"/>
    <n v="4"/>
    <s v="Low"/>
    <n v="47338"/>
    <n v="0.1"/>
    <n v="52071.8"/>
  </r>
  <r>
    <s v="EMP0741"/>
    <s v="LATAM"/>
    <s v="Mexico"/>
    <x v="0"/>
    <s v="IC"/>
    <x v="135"/>
    <s v="FTE"/>
    <d v="2019-07-05T00:00:00"/>
    <s v="Active"/>
    <s v="Logistics"/>
    <s v="CC-Sup-726"/>
    <n v="5"/>
    <s v=""/>
    <n v="6"/>
    <x v="2"/>
    <n v="0"/>
    <s v=""/>
    <n v="3"/>
    <s v="No"/>
    <s v="No"/>
    <s v="No"/>
    <n v="4"/>
    <s v="Low"/>
    <n v="33706"/>
    <n v="0.1"/>
    <n v="37076.600000000006"/>
  </r>
  <r>
    <s v="EMP0742"/>
    <s v="LATAM"/>
    <s v="Mexico"/>
    <x v="5"/>
    <s v="IC"/>
    <x v="127"/>
    <s v="FTE"/>
    <d v="2019-07-03T00:00:00"/>
    <s v="Active"/>
    <s v="Technology"/>
    <s v="CC-IT-522"/>
    <n v="5"/>
    <s v=""/>
    <n v="6"/>
    <x v="2"/>
    <n v="0"/>
    <s v=""/>
    <n v="4"/>
    <s v="Yes"/>
    <s v="No"/>
    <s v="No"/>
    <n v="1"/>
    <s v="High"/>
    <n v="37790"/>
    <n v="0.1"/>
    <n v="41569"/>
  </r>
  <r>
    <s v="EMP0743"/>
    <s v="LATAM"/>
    <s v="Mexico"/>
    <x v="4"/>
    <s v="IC"/>
    <x v="204"/>
    <s v="FTE"/>
    <d v="2019-07-02T00:00:00"/>
    <s v="Active"/>
    <s v="People Operations"/>
    <s v="CC-HR-588"/>
    <n v="5"/>
    <s v=""/>
    <n v="6"/>
    <x v="2"/>
    <n v="0"/>
    <s v=""/>
    <n v="3"/>
    <s v="No"/>
    <s v="No"/>
    <s v="No"/>
    <n v="2"/>
    <s v="High"/>
    <n v="25880"/>
    <n v="0.1"/>
    <n v="28468.000000000004"/>
  </r>
  <r>
    <s v="EMP0744"/>
    <s v="LATAM"/>
    <s v="Mexico"/>
    <x v="2"/>
    <s v="IC"/>
    <x v="231"/>
    <s v="FTE"/>
    <d v="2019-06-25T00:00:00"/>
    <s v="Active"/>
    <s v="Commercial"/>
    <s v="CC-Sal-305"/>
    <n v="5"/>
    <s v=""/>
    <n v="6"/>
    <x v="2"/>
    <n v="0"/>
    <s v=""/>
    <n v="2"/>
    <s v="No"/>
    <s v="No"/>
    <s v="No"/>
    <n v="3"/>
    <s v="Medium"/>
    <n v="44931"/>
    <n v="0.1"/>
    <n v="49424.100000000006"/>
  </r>
  <r>
    <s v="EMP0745"/>
    <s v="LATAM"/>
    <s v="Mexico"/>
    <x v="0"/>
    <s v="IC"/>
    <x v="32"/>
    <s v="Contractor"/>
    <d v="2019-06-22T00:00:00"/>
    <s v="Active"/>
    <s v="Logistics"/>
    <s v="CC-Sup-894"/>
    <n v="5"/>
    <s v=""/>
    <n v="6"/>
    <x v="2"/>
    <n v="0"/>
    <s v=""/>
    <n v="4"/>
    <s v="No"/>
    <s v="No"/>
    <s v="No"/>
    <n v="2"/>
    <s v="High"/>
    <n v="34421"/>
    <n v="0.1"/>
    <n v="37863.100000000006"/>
  </r>
  <r>
    <s v="EMP0746"/>
    <s v="LATAM"/>
    <s v="Mexico"/>
    <x v="1"/>
    <s v="IC"/>
    <x v="230"/>
    <s v="FTE"/>
    <d v="2019-06-11T00:00:00"/>
    <s v="Active"/>
    <s v="Controlling"/>
    <s v="CC-Fin-667"/>
    <n v="5"/>
    <s v=""/>
    <n v="6"/>
    <x v="2"/>
    <n v="0"/>
    <s v=""/>
    <n v="4"/>
    <s v="No"/>
    <s v="No"/>
    <s v="No"/>
    <n v="3"/>
    <s v="Medium"/>
    <n v="24482"/>
    <n v="0.1"/>
    <n v="26930.2"/>
  </r>
  <r>
    <s v="EMP0747"/>
    <s v="LATAM"/>
    <s v="Mexico"/>
    <x v="1"/>
    <s v="IC"/>
    <x v="18"/>
    <s v="FTE"/>
    <d v="2019-06-10T00:00:00"/>
    <s v="Active"/>
    <s v="Controlling"/>
    <s v="CC-Fin-828"/>
    <n v="5"/>
    <s v=""/>
    <n v="6"/>
    <x v="2"/>
    <n v="0"/>
    <s v=""/>
    <n v="4"/>
    <s v="No"/>
    <s v="Yes"/>
    <s v="No"/>
    <n v="3"/>
    <s v="Medium"/>
    <n v="35696"/>
    <n v="0.1"/>
    <n v="39265.600000000006"/>
  </r>
  <r>
    <s v="EMP0748"/>
    <s v="LATAM"/>
    <s v="Mexico"/>
    <x v="2"/>
    <s v="IC"/>
    <x v="68"/>
    <s v="Contractor"/>
    <d v="2019-06-08T00:00:00"/>
    <s v="Inactive"/>
    <s v="Commercial"/>
    <s v="CC-Sal-757"/>
    <n v="5"/>
    <d v="2023-11-07T00:00:00"/>
    <n v="4"/>
    <x v="1"/>
    <n v="0"/>
    <s v="Voluntary"/>
    <n v="5"/>
    <s v="No"/>
    <s v="No"/>
    <s v="No"/>
    <n v="4"/>
    <s v="Low"/>
    <n v="24217"/>
    <n v="0.1"/>
    <n v="26638.7"/>
  </r>
  <r>
    <s v="EMP0749"/>
    <s v="LATAM"/>
    <s v="Mexico"/>
    <x v="4"/>
    <s v="IC"/>
    <x v="12"/>
    <s v="FTE"/>
    <d v="2019-06-08T00:00:00"/>
    <s v="Active"/>
    <s v="People Operations"/>
    <s v="CC-HR-768"/>
    <n v="5"/>
    <s v=""/>
    <n v="6"/>
    <x v="2"/>
    <n v="0"/>
    <s v=""/>
    <n v="4"/>
    <s v="Yes"/>
    <s v="No"/>
    <s v="No"/>
    <n v="1"/>
    <s v="High"/>
    <n v="41841"/>
    <n v="0.1"/>
    <n v="46025.100000000006"/>
  </r>
  <r>
    <s v="EMP0750"/>
    <s v="LATAM"/>
    <s v="Mexico"/>
    <x v="4"/>
    <s v="Director"/>
    <x v="110"/>
    <s v="FTE"/>
    <d v="2019-06-07T00:00:00"/>
    <s v="Active"/>
    <s v="People Operations"/>
    <s v="CC-HR-800"/>
    <n v="3"/>
    <s v=""/>
    <n v="6"/>
    <x v="2"/>
    <n v="0"/>
    <s v=""/>
    <n v="3"/>
    <s v="No"/>
    <s v="No"/>
    <s v="No"/>
    <n v="3"/>
    <s v="Medium"/>
    <n v="131871"/>
    <n v="0.2"/>
    <n v="158245.19999999998"/>
  </r>
  <r>
    <s v="EMP0751"/>
    <s v="LATAM"/>
    <s v="Mexico"/>
    <x v="0"/>
    <s v="IC"/>
    <x v="176"/>
    <s v="FTE"/>
    <d v="2019-06-07T00:00:00"/>
    <s v="Active"/>
    <s v="Logistics"/>
    <s v="CC-Sup-318"/>
    <n v="5"/>
    <s v=""/>
    <n v="6"/>
    <x v="2"/>
    <n v="0"/>
    <s v=""/>
    <n v="5"/>
    <s v="No"/>
    <s v="No"/>
    <s v="No"/>
    <n v="4"/>
    <s v="Low"/>
    <n v="33970"/>
    <n v="0.1"/>
    <n v="37367"/>
  </r>
  <r>
    <s v="EMP0752"/>
    <s v="LATAM"/>
    <s v="Mexico"/>
    <x v="0"/>
    <s v="IC"/>
    <x v="126"/>
    <s v="FTE"/>
    <d v="2019-06-04T00:00:00"/>
    <s v="Active"/>
    <s v="Logistics"/>
    <s v="CC-Sup-566"/>
    <n v="5"/>
    <s v=""/>
    <n v="6"/>
    <x v="2"/>
    <n v="0"/>
    <s v=""/>
    <n v="4"/>
    <s v="No"/>
    <s v="No"/>
    <s v="No"/>
    <n v="3"/>
    <s v="Medium"/>
    <n v="31432"/>
    <n v="0.1"/>
    <n v="34575.200000000004"/>
  </r>
  <r>
    <s v="EMP0753"/>
    <s v="LATAM"/>
    <s v="Mexico"/>
    <x v="3"/>
    <s v="IC"/>
    <x v="80"/>
    <s v="FTE"/>
    <d v="2019-06-01T00:00:00"/>
    <s v="Active"/>
    <s v="Manufacturing"/>
    <s v="CC-Ope-147"/>
    <n v="5"/>
    <s v=""/>
    <n v="6"/>
    <x v="2"/>
    <n v="0"/>
    <s v=""/>
    <n v="3"/>
    <s v="No"/>
    <s v="No"/>
    <s v="No"/>
    <n v="1"/>
    <s v="High"/>
    <n v="28139"/>
    <n v="0.1"/>
    <n v="30952.9"/>
  </r>
  <r>
    <s v="EMP0754"/>
    <s v="LATAM"/>
    <s v="Mexico"/>
    <x v="4"/>
    <s v="IC"/>
    <x v="116"/>
    <s v="FTE"/>
    <d v="2019-05-22T00:00:00"/>
    <s v="Active"/>
    <s v="People Operations"/>
    <s v="CC-HR-144"/>
    <n v="5"/>
    <s v=""/>
    <n v="6"/>
    <x v="2"/>
    <n v="0"/>
    <s v=""/>
    <n v="3"/>
    <s v="No"/>
    <s v="No"/>
    <s v="No"/>
    <n v="2"/>
    <s v="High"/>
    <n v="46024"/>
    <n v="0.1"/>
    <n v="50626.400000000001"/>
  </r>
  <r>
    <s v="EMP0755"/>
    <s v="LATAM"/>
    <s v="Mexico"/>
    <x v="5"/>
    <s v="IC"/>
    <x v="117"/>
    <s v="FTE"/>
    <d v="2019-05-22T00:00:00"/>
    <s v="Active"/>
    <s v="Technology"/>
    <s v="CC-IT-643"/>
    <n v="5"/>
    <s v=""/>
    <n v="6"/>
    <x v="2"/>
    <n v="0"/>
    <s v=""/>
    <n v="5"/>
    <s v="No"/>
    <s v="No"/>
    <s v="No"/>
    <n v="2"/>
    <s v="High"/>
    <n v="21628"/>
    <n v="0.1"/>
    <n v="23790.800000000003"/>
  </r>
  <r>
    <s v="EMP0756"/>
    <s v="LATAM"/>
    <s v="Mexico"/>
    <x v="5"/>
    <s v="IC"/>
    <x v="22"/>
    <s v="FTE"/>
    <d v="2019-05-20T00:00:00"/>
    <s v="Active"/>
    <s v="Technology"/>
    <s v="CC-IT-936"/>
    <n v="5"/>
    <s v=""/>
    <n v="6"/>
    <x v="2"/>
    <n v="0"/>
    <s v=""/>
    <n v="4"/>
    <s v="No"/>
    <s v="Yes"/>
    <s v="No"/>
    <n v="4"/>
    <s v="Low"/>
    <n v="32785"/>
    <n v="0.1"/>
    <n v="36063.5"/>
  </r>
  <r>
    <s v="EMP0757"/>
    <s v="LATAM"/>
    <s v="Mexico"/>
    <x v="5"/>
    <s v="Director"/>
    <x v="154"/>
    <s v="Contractor"/>
    <d v="2019-05-15T00:00:00"/>
    <s v="Active"/>
    <s v="Technology"/>
    <s v="CC-IT-898"/>
    <n v="3"/>
    <s v=""/>
    <n v="6"/>
    <x v="2"/>
    <n v="0"/>
    <s v=""/>
    <n v="4"/>
    <s v="Yes"/>
    <s v="No"/>
    <s v="No"/>
    <n v="2"/>
    <s v="High"/>
    <n v="130775"/>
    <n v="0.2"/>
    <n v="156930"/>
  </r>
  <r>
    <s v="EMP0758"/>
    <s v="LATAM"/>
    <s v="Mexico"/>
    <x v="4"/>
    <s v="IC"/>
    <x v="186"/>
    <s v="FTE"/>
    <d v="2019-05-14T00:00:00"/>
    <s v="Active"/>
    <s v="People Operations"/>
    <s v="CC-HR-969"/>
    <n v="5"/>
    <s v=""/>
    <n v="6"/>
    <x v="2"/>
    <n v="0"/>
    <s v=""/>
    <n v="4"/>
    <s v="Yes"/>
    <s v="No"/>
    <s v="No"/>
    <n v="4"/>
    <s v="Low"/>
    <n v="23873"/>
    <n v="0.1"/>
    <n v="26260.300000000003"/>
  </r>
  <r>
    <s v="EMP0759"/>
    <s v="LATAM"/>
    <s v="Mexico"/>
    <x v="2"/>
    <s v="IC"/>
    <x v="233"/>
    <s v="FTE"/>
    <d v="2019-05-12T00:00:00"/>
    <s v="Active"/>
    <s v="Commercial"/>
    <s v="CC-Sal-551"/>
    <n v="5"/>
    <s v=""/>
    <n v="6"/>
    <x v="2"/>
    <n v="0"/>
    <s v=""/>
    <n v="4"/>
    <s v="No"/>
    <s v="No"/>
    <s v="No"/>
    <n v="3"/>
    <s v="Medium"/>
    <n v="44203"/>
    <n v="0.1"/>
    <n v="48623.3"/>
  </r>
  <r>
    <s v="EMP0760"/>
    <s v="LATAM"/>
    <s v="Mexico"/>
    <x v="5"/>
    <s v="IC"/>
    <x v="19"/>
    <s v="FTE"/>
    <d v="2019-05-10T00:00:00"/>
    <s v="Active"/>
    <s v="Technology"/>
    <s v="CC-IT-864"/>
    <n v="5"/>
    <s v=""/>
    <n v="6"/>
    <x v="2"/>
    <n v="0"/>
    <s v=""/>
    <n v="5"/>
    <s v="Yes"/>
    <s v="No"/>
    <s v="No"/>
    <n v="5"/>
    <s v="Low"/>
    <n v="44884"/>
    <n v="0.1"/>
    <n v="49372.4"/>
  </r>
  <r>
    <s v="EMP0761"/>
    <s v="LATAM"/>
    <s v="Mexico"/>
    <x v="1"/>
    <s v="IC"/>
    <x v="104"/>
    <s v="FTE"/>
    <d v="2019-05-09T00:00:00"/>
    <s v="Active"/>
    <s v="Controlling"/>
    <s v="CC-Fin-192"/>
    <n v="5"/>
    <s v=""/>
    <n v="6"/>
    <x v="2"/>
    <n v="0"/>
    <s v=""/>
    <n v="3"/>
    <s v="No"/>
    <s v="No"/>
    <s v="No"/>
    <n v="5"/>
    <s v="Low"/>
    <n v="37599"/>
    <n v="0.1"/>
    <n v="41358.9"/>
  </r>
  <r>
    <s v="EMP0762"/>
    <s v="LATAM"/>
    <s v="Mexico"/>
    <x v="2"/>
    <s v="IC"/>
    <x v="240"/>
    <s v="FTE"/>
    <d v="2019-05-07T00:00:00"/>
    <s v="Active"/>
    <s v="Commercial"/>
    <s v="CC-Sal-397"/>
    <n v="5"/>
    <s v=""/>
    <n v="6"/>
    <x v="2"/>
    <n v="0"/>
    <s v=""/>
    <n v="4"/>
    <s v="No"/>
    <s v="Yes"/>
    <s v="Yes"/>
    <n v="3"/>
    <s v="Medium"/>
    <n v="36688"/>
    <n v="0.1"/>
    <n v="40356.800000000003"/>
  </r>
  <r>
    <s v="EMP0763"/>
    <s v="LATAM"/>
    <s v="Mexico"/>
    <x v="4"/>
    <s v="IC"/>
    <x v="86"/>
    <s v="FTE"/>
    <d v="2019-05-02T00:00:00"/>
    <s v="Active"/>
    <s v="People Operations"/>
    <s v="CC-HR-238"/>
    <n v="5"/>
    <s v=""/>
    <n v="6"/>
    <x v="2"/>
    <n v="0"/>
    <s v=""/>
    <n v="3"/>
    <s v="No"/>
    <s v="No"/>
    <s v="No"/>
    <n v="3"/>
    <s v="Medium"/>
    <n v="48756"/>
    <n v="0.1"/>
    <n v="53631.600000000006"/>
  </r>
  <r>
    <s v="EMP0764"/>
    <s v="LATAM"/>
    <s v="Mexico"/>
    <x v="3"/>
    <s v="Manager"/>
    <x v="200"/>
    <s v="FTE"/>
    <d v="2019-04-25T00:00:00"/>
    <s v="Active"/>
    <s v="Manufacturing"/>
    <s v="CC-Ope-840"/>
    <n v="4"/>
    <s v=""/>
    <n v="6"/>
    <x v="2"/>
    <n v="0"/>
    <s v=""/>
    <n v="4"/>
    <s v="No"/>
    <s v="Yes"/>
    <s v="No"/>
    <n v="3"/>
    <s v="Medium"/>
    <n v="50615"/>
    <n v="0.15"/>
    <n v="58207.249999999993"/>
  </r>
  <r>
    <s v="EMP0765"/>
    <s v="LATAM"/>
    <s v="Mexico"/>
    <x v="1"/>
    <s v="Manager"/>
    <x v="227"/>
    <s v="FTE"/>
    <d v="2019-04-18T00:00:00"/>
    <s v="Active"/>
    <s v="Controlling"/>
    <s v="CC-Fin-940"/>
    <n v="4"/>
    <s v=""/>
    <n v="6"/>
    <x v="2"/>
    <n v="0"/>
    <s v=""/>
    <n v="3"/>
    <s v="No"/>
    <s v="No"/>
    <s v="No"/>
    <n v="3"/>
    <s v="Medium"/>
    <n v="64340"/>
    <n v="0.15"/>
    <n v="73991"/>
  </r>
  <r>
    <s v="EMP0766"/>
    <s v="LATAM"/>
    <s v="Mexico"/>
    <x v="0"/>
    <s v="IC"/>
    <x v="182"/>
    <s v="FTE"/>
    <d v="2019-04-15T00:00:00"/>
    <s v="Inactive"/>
    <s v="Logistics"/>
    <s v="CC-Sup-276"/>
    <n v="5"/>
    <d v="2023-06-30T00:00:00"/>
    <n v="4"/>
    <x v="1"/>
    <n v="0"/>
    <s v="Voluntary"/>
    <n v="3"/>
    <s v="Yes"/>
    <s v="No"/>
    <s v="No"/>
    <n v="1"/>
    <s v="High"/>
    <n v="28576"/>
    <n v="0.1"/>
    <n v="31433.600000000002"/>
  </r>
  <r>
    <s v="EMP0767"/>
    <s v="LATAM"/>
    <s v="Mexico"/>
    <x v="1"/>
    <s v="IC"/>
    <x v="147"/>
    <s v="FTE"/>
    <d v="2019-04-07T00:00:00"/>
    <s v="Inactive"/>
    <s v="Controlling"/>
    <s v="CC-Fin-596"/>
    <n v="5"/>
    <d v="2024-07-24T00:00:00"/>
    <n v="5"/>
    <x v="1"/>
    <n v="0"/>
    <s v="Voluntary"/>
    <n v="2"/>
    <s v="No"/>
    <s v="No"/>
    <s v="No"/>
    <n v="2"/>
    <s v="High"/>
    <n v="28413"/>
    <n v="0.1"/>
    <n v="31254.300000000003"/>
  </r>
  <r>
    <s v="EMP0768"/>
    <s v="LATAM"/>
    <s v="Mexico"/>
    <x v="3"/>
    <s v="IC"/>
    <x v="116"/>
    <s v="FTE"/>
    <d v="2019-04-04T00:00:00"/>
    <s v="Active"/>
    <s v="Manufacturing"/>
    <s v="CC-Ope-476"/>
    <n v="5"/>
    <s v=""/>
    <n v="6"/>
    <x v="2"/>
    <n v="0"/>
    <s v=""/>
    <n v="4"/>
    <s v="No"/>
    <s v="No"/>
    <s v="No"/>
    <n v="2"/>
    <s v="High"/>
    <n v="27134"/>
    <n v="0.1"/>
    <n v="29847.4"/>
  </r>
  <r>
    <s v="EMP0769"/>
    <s v="LATAM"/>
    <s v="Mexico"/>
    <x v="0"/>
    <s v="C"/>
    <x v="183"/>
    <s v="FTE"/>
    <d v="2019-04-02T00:00:00"/>
    <s v="Active"/>
    <s v="Logistics"/>
    <s v="CC-Sup-984"/>
    <n v="1"/>
    <s v=""/>
    <n v="6"/>
    <x v="2"/>
    <n v="0"/>
    <s v=""/>
    <n v="3"/>
    <s v="No"/>
    <s v="No"/>
    <s v="No"/>
    <n v="1"/>
    <s v="High"/>
    <n v="219932"/>
    <n v="0.3"/>
    <n v="285911.60000000003"/>
  </r>
  <r>
    <s v="EMP0770"/>
    <s v="LATAM"/>
    <s v="Mexico"/>
    <x v="2"/>
    <s v="Director"/>
    <x v="53"/>
    <s v="FTE"/>
    <d v="2019-04-02T00:00:00"/>
    <s v="Active"/>
    <s v="Commercial"/>
    <s v="CC-Sal-786"/>
    <n v="3"/>
    <s v=""/>
    <n v="6"/>
    <x v="2"/>
    <n v="0"/>
    <s v=""/>
    <n v="3"/>
    <s v="No"/>
    <s v="No"/>
    <s v="No"/>
    <n v="4"/>
    <s v="Low"/>
    <n v="137955"/>
    <n v="0.2"/>
    <n v="165546"/>
  </r>
  <r>
    <s v="EMP0771"/>
    <s v="LATAM"/>
    <s v="Mexico"/>
    <x v="4"/>
    <s v="IC"/>
    <x v="224"/>
    <s v="FTE"/>
    <d v="2019-04-02T00:00:00"/>
    <s v="Active"/>
    <s v="People Operations"/>
    <s v="CC-HR-853"/>
    <n v="5"/>
    <s v=""/>
    <n v="6"/>
    <x v="2"/>
    <n v="0"/>
    <s v=""/>
    <n v="2"/>
    <s v="No"/>
    <s v="No"/>
    <s v="No"/>
    <n v="2"/>
    <s v="High"/>
    <n v="28016"/>
    <n v="0.1"/>
    <n v="30817.600000000002"/>
  </r>
  <r>
    <s v="EMP0772"/>
    <s v="LATAM"/>
    <s v="Mexico"/>
    <x v="1"/>
    <s v="IC"/>
    <x v="201"/>
    <s v="FTE"/>
    <d v="2019-04-02T00:00:00"/>
    <s v="Active"/>
    <s v="Controlling"/>
    <s v="CC-Fin-963"/>
    <n v="5"/>
    <s v=""/>
    <n v="6"/>
    <x v="2"/>
    <n v="0"/>
    <s v=""/>
    <n v="4"/>
    <s v="Yes"/>
    <s v="No"/>
    <s v="No"/>
    <n v="1"/>
    <s v="High"/>
    <n v="46268"/>
    <n v="0.1"/>
    <n v="50894.8"/>
  </r>
  <r>
    <s v="EMP0773"/>
    <s v="LATAM"/>
    <s v="Mexico"/>
    <x v="4"/>
    <s v="IC"/>
    <x v="247"/>
    <s v="FTE"/>
    <d v="2019-03-26T00:00:00"/>
    <s v="Active"/>
    <s v="People Operations"/>
    <s v="CC-HR-548"/>
    <n v="5"/>
    <s v=""/>
    <n v="6"/>
    <x v="2"/>
    <n v="0"/>
    <s v=""/>
    <n v="3"/>
    <s v="No"/>
    <s v="No"/>
    <s v="No"/>
    <n v="4"/>
    <s v="Low"/>
    <n v="35685"/>
    <n v="0.1"/>
    <n v="39253.5"/>
  </r>
  <r>
    <s v="EMP0774"/>
    <s v="LATAM"/>
    <s v="Mexico"/>
    <x v="2"/>
    <s v="IC"/>
    <x v="3"/>
    <s v="FTE"/>
    <d v="2019-03-25T00:00:00"/>
    <s v="Active"/>
    <s v="Commercial"/>
    <s v="CC-Sal-709"/>
    <n v="5"/>
    <s v=""/>
    <n v="6"/>
    <x v="2"/>
    <n v="0"/>
    <s v=""/>
    <n v="4"/>
    <s v="No"/>
    <s v="No"/>
    <s v="No"/>
    <n v="1"/>
    <s v="High"/>
    <n v="47396"/>
    <n v="0.1"/>
    <n v="52135.600000000006"/>
  </r>
  <r>
    <s v="EMP0775"/>
    <s v="LATAM"/>
    <s v="Mexico"/>
    <x v="4"/>
    <s v="IC"/>
    <x v="3"/>
    <s v="FTE"/>
    <d v="2019-03-16T00:00:00"/>
    <s v="Active"/>
    <s v="People Operations"/>
    <s v="CC-HR-234"/>
    <n v="5"/>
    <s v=""/>
    <n v="6"/>
    <x v="2"/>
    <n v="0"/>
    <s v=""/>
    <n v="3"/>
    <s v="No"/>
    <s v="No"/>
    <s v="No"/>
    <n v="2"/>
    <s v="High"/>
    <n v="21292"/>
    <n v="0.1"/>
    <n v="23421.200000000001"/>
  </r>
  <r>
    <s v="EMP0776"/>
    <s v="LATAM"/>
    <s v="Mexico"/>
    <x v="2"/>
    <s v="IC"/>
    <x v="213"/>
    <s v="FTE"/>
    <d v="2019-03-16T00:00:00"/>
    <s v="Active"/>
    <s v="Commercial"/>
    <s v="CC-Sal-977"/>
    <n v="5"/>
    <s v=""/>
    <n v="6"/>
    <x v="2"/>
    <n v="0"/>
    <s v=""/>
    <n v="2"/>
    <s v="No"/>
    <s v="No"/>
    <s v="No"/>
    <n v="4"/>
    <s v="Low"/>
    <n v="38234"/>
    <n v="0.1"/>
    <n v="42057.4"/>
  </r>
  <r>
    <s v="EMP0777"/>
    <s v="LATAM"/>
    <s v="Mexico"/>
    <x v="3"/>
    <s v="IC"/>
    <x v="170"/>
    <s v="FTE"/>
    <d v="2019-03-08T00:00:00"/>
    <s v="Active"/>
    <s v="Manufacturing"/>
    <s v="CC-Ope-397"/>
    <n v="5"/>
    <s v=""/>
    <n v="6"/>
    <x v="2"/>
    <n v="0"/>
    <s v=""/>
    <n v="3"/>
    <s v="No"/>
    <s v="No"/>
    <s v="No"/>
    <n v="5"/>
    <s v="Low"/>
    <n v="43857"/>
    <n v="0.1"/>
    <n v="48242.700000000004"/>
  </r>
  <r>
    <s v="EMP0778"/>
    <s v="LATAM"/>
    <s v="Mexico"/>
    <x v="4"/>
    <s v="IC"/>
    <x v="74"/>
    <s v="FTE"/>
    <d v="2019-03-07T00:00:00"/>
    <s v="Inactive"/>
    <s v="People Operations"/>
    <s v="CC-HR-273"/>
    <n v="5"/>
    <d v="2024-11-24T00:00:00"/>
    <n v="5"/>
    <x v="1"/>
    <n v="0"/>
    <s v="Voluntary"/>
    <n v="2"/>
    <s v="No"/>
    <s v="No"/>
    <s v="No"/>
    <n v="1"/>
    <s v="High"/>
    <n v="26368"/>
    <n v="0.1"/>
    <n v="29004.800000000003"/>
  </r>
  <r>
    <s v="EMP0779"/>
    <s v="LATAM"/>
    <s v="Mexico"/>
    <x v="3"/>
    <s v="Manager"/>
    <x v="133"/>
    <s v="FTE"/>
    <d v="2019-03-03T00:00:00"/>
    <s v="Active"/>
    <s v="Manufacturing"/>
    <s v="CC-Ope-196"/>
    <n v="4"/>
    <s v=""/>
    <n v="6"/>
    <x v="2"/>
    <n v="0"/>
    <s v=""/>
    <n v="4"/>
    <s v="No"/>
    <s v="No"/>
    <s v="No"/>
    <n v="2"/>
    <s v="High"/>
    <n v="68884"/>
    <n v="0.15"/>
    <n v="79216.599999999991"/>
  </r>
  <r>
    <s v="EMP0780"/>
    <s v="LATAM"/>
    <s v="Mexico"/>
    <x v="4"/>
    <s v="Manager"/>
    <x v="56"/>
    <s v="FTE"/>
    <d v="2019-03-02T00:00:00"/>
    <s v="Active"/>
    <s v="People Operations"/>
    <s v="CC-HR-415"/>
    <n v="4"/>
    <s v=""/>
    <n v="6"/>
    <x v="2"/>
    <n v="0"/>
    <s v=""/>
    <n v="4"/>
    <s v="No"/>
    <s v="No"/>
    <s v="No"/>
    <n v="4"/>
    <s v="Low"/>
    <n v="89502"/>
    <n v="0.15"/>
    <n v="102927.29999999999"/>
  </r>
  <r>
    <s v="EMP0781"/>
    <s v="EMEA"/>
    <s v="Germany"/>
    <x v="4"/>
    <s v="IC"/>
    <x v="118"/>
    <s v="FTE"/>
    <d v="2019-02-14T00:00:00"/>
    <s v="Inactive"/>
    <s v="People Operations"/>
    <s v="CC-HR-511"/>
    <n v="5"/>
    <d v="2022-02-21T00:00:00"/>
    <n v="3"/>
    <x v="1"/>
    <n v="0"/>
    <s v="Voluntary"/>
    <n v="3"/>
    <s v="No"/>
    <s v="No"/>
    <s v="No"/>
    <n v="4"/>
    <s v="Low"/>
    <n v="26385"/>
    <n v="0.1"/>
    <n v="29023.500000000004"/>
  </r>
  <r>
    <s v="EMP0782"/>
    <s v="EMEA"/>
    <s v="Germany"/>
    <x v="5"/>
    <s v="IC"/>
    <x v="118"/>
    <s v="FTE"/>
    <d v="2019-02-07T00:00:00"/>
    <s v="Active"/>
    <s v="Technology"/>
    <s v="CC-IT-104"/>
    <n v="5"/>
    <s v=""/>
    <n v="7"/>
    <x v="2"/>
    <n v="0"/>
    <s v=""/>
    <n v="3"/>
    <s v="No"/>
    <s v="No"/>
    <s v="No"/>
    <n v="4"/>
    <s v="Low"/>
    <n v="43520"/>
    <n v="0.1"/>
    <n v="47872.000000000007"/>
  </r>
  <r>
    <s v="EMP0783"/>
    <s v="EMEA"/>
    <s v="Germany"/>
    <x v="4"/>
    <s v="IC"/>
    <x v="161"/>
    <s v="FTE"/>
    <d v="2019-02-06T00:00:00"/>
    <s v="Active"/>
    <s v="People Operations"/>
    <s v="CC-HR-780"/>
    <n v="5"/>
    <s v=""/>
    <n v="7"/>
    <x v="2"/>
    <n v="0"/>
    <s v=""/>
    <n v="3"/>
    <s v="No"/>
    <s v="No"/>
    <s v="No"/>
    <n v="3"/>
    <s v="Medium"/>
    <n v="47477"/>
    <n v="0.1"/>
    <n v="52224.700000000004"/>
  </r>
  <r>
    <s v="EMP0784"/>
    <s v="EMEA"/>
    <s v="Germany"/>
    <x v="4"/>
    <s v="Manager"/>
    <x v="112"/>
    <s v="FTE"/>
    <d v="2019-01-28T00:00:00"/>
    <s v="Active"/>
    <s v="People Operations"/>
    <s v="CC-HR-655"/>
    <n v="4"/>
    <s v=""/>
    <n v="7"/>
    <x v="2"/>
    <n v="0"/>
    <s v=""/>
    <n v="3"/>
    <s v="Yes"/>
    <s v="No"/>
    <s v="No"/>
    <n v="2"/>
    <s v="High"/>
    <n v="67023"/>
    <n v="0.15"/>
    <n v="77076.45"/>
  </r>
  <r>
    <s v="EMP0785"/>
    <s v="EMEA"/>
    <s v="Germany"/>
    <x v="3"/>
    <s v="IC"/>
    <x v="1"/>
    <s v="FTE"/>
    <d v="2019-01-27T00:00:00"/>
    <s v="Active"/>
    <s v="Manufacturing"/>
    <s v="CC-Ope-411"/>
    <n v="5"/>
    <s v=""/>
    <n v="7"/>
    <x v="2"/>
    <n v="0"/>
    <s v=""/>
    <n v="2"/>
    <s v="No"/>
    <s v="No"/>
    <s v="No"/>
    <n v="3"/>
    <s v="Medium"/>
    <n v="42953"/>
    <n v="0.1"/>
    <n v="47248.3"/>
  </r>
  <r>
    <s v="EMP0786"/>
    <s v="EMEA"/>
    <s v="Germany"/>
    <x v="2"/>
    <s v="IC"/>
    <x v="230"/>
    <s v="FTE"/>
    <d v="2019-01-16T00:00:00"/>
    <s v="Active"/>
    <s v="Commercial"/>
    <s v="CC-Sal-997"/>
    <n v="5"/>
    <s v=""/>
    <n v="7"/>
    <x v="2"/>
    <n v="0"/>
    <s v=""/>
    <n v="2"/>
    <s v="No"/>
    <s v="No"/>
    <s v="No"/>
    <n v="1"/>
    <s v="High"/>
    <n v="37999"/>
    <n v="0.1"/>
    <n v="41798.9"/>
  </r>
  <r>
    <s v="EMP0787"/>
    <s v="EMEA"/>
    <s v="Germany"/>
    <x v="0"/>
    <s v="IC"/>
    <x v="41"/>
    <s v="FTE"/>
    <d v="2019-01-11T00:00:00"/>
    <s v="Active"/>
    <s v="Logistics"/>
    <s v="CC-Sup-838"/>
    <n v="5"/>
    <s v=""/>
    <n v="7"/>
    <x v="2"/>
    <n v="0"/>
    <s v=""/>
    <n v="2"/>
    <s v="No"/>
    <s v="Yes"/>
    <s v="No"/>
    <n v="4"/>
    <s v="Low"/>
    <n v="39110"/>
    <n v="0.1"/>
    <n v="43021"/>
  </r>
  <r>
    <s v="EMP0788"/>
    <s v="EMEA"/>
    <s v="Germany"/>
    <x v="0"/>
    <s v="Manager"/>
    <x v="141"/>
    <s v="FTE"/>
    <d v="2019-01-07T00:00:00"/>
    <s v="Active"/>
    <s v="Logistics"/>
    <s v="CC-Sup-585"/>
    <n v="4"/>
    <s v=""/>
    <n v="7"/>
    <x v="2"/>
    <n v="0"/>
    <s v=""/>
    <n v="4"/>
    <s v="No"/>
    <s v="No"/>
    <s v="No"/>
    <n v="2"/>
    <s v="High"/>
    <n v="80843"/>
    <n v="0.15"/>
    <n v="92969.45"/>
  </r>
  <r>
    <s v="EMP0789"/>
    <s v="EMEA"/>
    <s v="Germany"/>
    <x v="5"/>
    <s v="IC"/>
    <x v="82"/>
    <s v="FTE"/>
    <d v="2019-01-05T00:00:00"/>
    <s v="Active"/>
    <s v="Technology"/>
    <s v="CC-IT-983"/>
    <n v="5"/>
    <s v=""/>
    <n v="7"/>
    <x v="2"/>
    <n v="0"/>
    <s v=""/>
    <n v="5"/>
    <s v="No"/>
    <s v="No"/>
    <s v="No"/>
    <n v="4"/>
    <s v="Low"/>
    <n v="42020"/>
    <n v="0.1"/>
    <n v="46222.000000000007"/>
  </r>
  <r>
    <s v="EMP0790"/>
    <s v="EMEA"/>
    <s v="Germany"/>
    <x v="4"/>
    <s v="Manager"/>
    <x v="139"/>
    <s v="FTE"/>
    <d v="2018-12-27T00:00:00"/>
    <s v="Active"/>
    <s v="People Operations"/>
    <s v="CC-HR-817"/>
    <n v="4"/>
    <s v=""/>
    <n v="7"/>
    <x v="2"/>
    <n v="0"/>
    <s v=""/>
    <n v="4"/>
    <s v="Yes"/>
    <s v="No"/>
    <s v="No"/>
    <n v="5"/>
    <s v="Low"/>
    <n v="64089"/>
    <n v="0.15"/>
    <n v="73702.349999999991"/>
  </r>
  <r>
    <s v="EMP0791"/>
    <s v="EMEA"/>
    <s v="Germany"/>
    <x v="4"/>
    <s v="IC"/>
    <x v="58"/>
    <s v="FTE"/>
    <d v="2018-12-25T00:00:00"/>
    <s v="Active"/>
    <s v="People Operations"/>
    <s v="CC-HR-131"/>
    <n v="5"/>
    <s v=""/>
    <n v="7"/>
    <x v="2"/>
    <n v="0"/>
    <s v=""/>
    <n v="3"/>
    <s v="No"/>
    <s v="No"/>
    <s v="No"/>
    <n v="1"/>
    <s v="High"/>
    <n v="35316"/>
    <n v="0.1"/>
    <n v="38847.600000000006"/>
  </r>
  <r>
    <s v="EMP0792"/>
    <s v="EMEA"/>
    <s v="Germany"/>
    <x v="0"/>
    <s v="IC"/>
    <x v="144"/>
    <s v="FTE"/>
    <d v="2018-12-21T00:00:00"/>
    <s v="Active"/>
    <s v="Logistics"/>
    <s v="CC-Sup-499"/>
    <n v="5"/>
    <s v=""/>
    <n v="7"/>
    <x v="2"/>
    <n v="0"/>
    <s v=""/>
    <n v="3"/>
    <s v="No"/>
    <s v="No"/>
    <s v="No"/>
    <n v="1"/>
    <s v="High"/>
    <n v="29311"/>
    <n v="0.1"/>
    <n v="32242.100000000002"/>
  </r>
  <r>
    <s v="EMP0793"/>
    <s v="EMEA"/>
    <s v="Germany"/>
    <x v="5"/>
    <s v="IC"/>
    <x v="13"/>
    <s v="FTE"/>
    <d v="2018-12-09T00:00:00"/>
    <s v="Active"/>
    <s v="Technology"/>
    <s v="CC-IT-369"/>
    <n v="5"/>
    <s v=""/>
    <n v="7"/>
    <x v="2"/>
    <n v="0"/>
    <s v=""/>
    <n v="3"/>
    <s v="No"/>
    <s v="Yes"/>
    <s v="Yes"/>
    <n v="2"/>
    <s v="High"/>
    <n v="35194"/>
    <n v="0.1"/>
    <n v="38713.4"/>
  </r>
  <r>
    <s v="EMP0794"/>
    <s v="EMEA"/>
    <s v="Germany"/>
    <x v="5"/>
    <s v="IC"/>
    <x v="3"/>
    <s v="FTE"/>
    <d v="2018-12-09T00:00:00"/>
    <s v="Active"/>
    <s v="Technology"/>
    <s v="CC-IT-935"/>
    <n v="5"/>
    <s v=""/>
    <n v="7"/>
    <x v="2"/>
    <n v="0"/>
    <s v=""/>
    <n v="3"/>
    <s v="No"/>
    <s v="No"/>
    <s v="No"/>
    <n v="1"/>
    <s v="High"/>
    <n v="33753"/>
    <n v="0.1"/>
    <n v="37128.300000000003"/>
  </r>
  <r>
    <s v="EMP0795"/>
    <s v="EMEA"/>
    <s v="Germany"/>
    <x v="4"/>
    <s v="IC"/>
    <x v="70"/>
    <s v="FTE"/>
    <d v="2018-12-03T00:00:00"/>
    <s v="Active"/>
    <s v="People Operations"/>
    <s v="CC-HR-563"/>
    <n v="5"/>
    <s v=""/>
    <n v="7"/>
    <x v="2"/>
    <n v="0"/>
    <s v=""/>
    <n v="4"/>
    <s v="No"/>
    <s v="No"/>
    <s v="No"/>
    <n v="2"/>
    <s v="High"/>
    <n v="41422"/>
    <n v="0.1"/>
    <n v="45564.200000000004"/>
  </r>
  <r>
    <s v="EMP0796"/>
    <s v="EMEA"/>
    <s v="Germany"/>
    <x v="4"/>
    <s v="IC"/>
    <x v="184"/>
    <s v="FTE"/>
    <d v="2018-12-02T00:00:00"/>
    <s v="Active"/>
    <s v="People Operations"/>
    <s v="CC-HR-665"/>
    <n v="5"/>
    <s v=""/>
    <n v="7"/>
    <x v="2"/>
    <n v="0"/>
    <s v=""/>
    <n v="4"/>
    <s v="No"/>
    <s v="No"/>
    <s v="No"/>
    <n v="4"/>
    <s v="Low"/>
    <n v="46010"/>
    <n v="0.1"/>
    <n v="50611.000000000007"/>
  </r>
  <r>
    <s v="EMP0797"/>
    <s v="EMEA"/>
    <s v="Germany"/>
    <x v="2"/>
    <s v="IC"/>
    <x v="80"/>
    <s v="FTE"/>
    <d v="2018-12-01T00:00:00"/>
    <s v="Inactive"/>
    <s v="Commercial"/>
    <s v="CC-Sal-871"/>
    <n v="5"/>
    <d v="2024-11-14T00:00:00"/>
    <n v="5"/>
    <x v="1"/>
    <n v="0"/>
    <s v="Voluntary"/>
    <n v="4"/>
    <s v="No"/>
    <s v="No"/>
    <s v="No"/>
    <n v="3"/>
    <s v="Medium"/>
    <n v="49459"/>
    <n v="0.1"/>
    <n v="54404.9"/>
  </r>
  <r>
    <s v="EMP0798"/>
    <s v="EMEA"/>
    <s v="Germany"/>
    <x v="0"/>
    <s v="IC"/>
    <x v="186"/>
    <s v="FTE"/>
    <d v="2018-11-28T00:00:00"/>
    <s v="Active"/>
    <s v="Logistics"/>
    <s v="CC-Sup-934"/>
    <n v="5"/>
    <s v=""/>
    <n v="7"/>
    <x v="2"/>
    <n v="0"/>
    <s v=""/>
    <n v="5"/>
    <s v="No"/>
    <s v="Yes"/>
    <s v="Yes"/>
    <n v="5"/>
    <s v="Low"/>
    <n v="21772"/>
    <n v="0.1"/>
    <n v="23949.200000000001"/>
  </r>
  <r>
    <s v="EMP0799"/>
    <s v="EMEA"/>
    <s v="Germany"/>
    <x v="1"/>
    <s v="IC"/>
    <x v="70"/>
    <s v="FTE"/>
    <d v="2018-11-22T00:00:00"/>
    <s v="Active"/>
    <s v="Controlling"/>
    <s v="CC-Fin-647"/>
    <n v="5"/>
    <s v=""/>
    <n v="7"/>
    <x v="2"/>
    <n v="0"/>
    <s v=""/>
    <n v="3"/>
    <s v="No"/>
    <s v="No"/>
    <s v="No"/>
    <n v="2"/>
    <s v="High"/>
    <n v="30484"/>
    <n v="0.1"/>
    <n v="33532.400000000001"/>
  </r>
  <r>
    <s v="EMP0800"/>
    <s v="EMEA"/>
    <s v="Germany"/>
    <x v="1"/>
    <s v="IC"/>
    <x v="45"/>
    <s v="FTE"/>
    <d v="2018-11-19T00:00:00"/>
    <s v="Inactive"/>
    <s v="Controlling"/>
    <s v="CC-Fin-653"/>
    <n v="5"/>
    <d v="2024-03-22T00:00:00"/>
    <n v="5"/>
    <x v="1"/>
    <n v="0"/>
    <s v="Voluntary"/>
    <n v="4"/>
    <s v="No"/>
    <s v="No"/>
    <s v="No"/>
    <n v="4"/>
    <s v="Low"/>
    <n v="33473"/>
    <n v="0.1"/>
    <n v="36820.300000000003"/>
  </r>
  <r>
    <s v="EMP0801"/>
    <s v="EMEA"/>
    <s v="Germany"/>
    <x v="3"/>
    <s v="IC"/>
    <x v="42"/>
    <s v="Contractor"/>
    <d v="2018-11-14T00:00:00"/>
    <s v="Active"/>
    <s v="Manufacturing"/>
    <s v="CC-Ope-105"/>
    <n v="5"/>
    <s v=""/>
    <n v="7"/>
    <x v="2"/>
    <n v="0"/>
    <s v=""/>
    <n v="2"/>
    <s v="No"/>
    <s v="No"/>
    <s v="No"/>
    <n v="3"/>
    <s v="Medium"/>
    <n v="49032"/>
    <n v="0.1"/>
    <n v="53935.200000000004"/>
  </r>
  <r>
    <s v="EMP0802"/>
    <s v="EMEA"/>
    <s v="Germany"/>
    <x v="0"/>
    <s v="IC"/>
    <x v="238"/>
    <s v="Contractor"/>
    <d v="2018-11-12T00:00:00"/>
    <s v="Inactive"/>
    <s v="Logistics"/>
    <s v="CC-Sup-112"/>
    <n v="5"/>
    <d v="2023-09-27T00:00:00"/>
    <n v="4"/>
    <x v="1"/>
    <n v="0"/>
    <s v="Voluntary"/>
    <n v="4"/>
    <s v="No"/>
    <s v="No"/>
    <s v="No"/>
    <n v="4"/>
    <s v="Low"/>
    <n v="46303"/>
    <n v="0.1"/>
    <n v="50933.3"/>
  </r>
  <r>
    <s v="EMP0803"/>
    <s v="EMEA"/>
    <s v="Germany"/>
    <x v="2"/>
    <s v="Director"/>
    <x v="142"/>
    <s v="FTE"/>
    <d v="2018-11-09T00:00:00"/>
    <s v="Active"/>
    <s v="Commercial"/>
    <s v="CC-Sal-439"/>
    <n v="3"/>
    <s v=""/>
    <n v="7"/>
    <x v="2"/>
    <n v="0"/>
    <s v=""/>
    <n v="4"/>
    <s v="Yes"/>
    <s v="No"/>
    <s v="No"/>
    <n v="3"/>
    <s v="Medium"/>
    <n v="102234"/>
    <n v="0.2"/>
    <n v="122680.79999999999"/>
  </r>
  <r>
    <s v="EMP0804"/>
    <s v="EMEA"/>
    <s v="Germany"/>
    <x v="5"/>
    <s v="IC"/>
    <x v="28"/>
    <s v="FTE"/>
    <d v="2018-11-03T00:00:00"/>
    <s v="Active"/>
    <s v="Technology"/>
    <s v="CC-IT-372"/>
    <n v="5"/>
    <s v=""/>
    <n v="7"/>
    <x v="2"/>
    <n v="0"/>
    <s v=""/>
    <n v="4"/>
    <s v="No"/>
    <s v="No"/>
    <s v="No"/>
    <n v="4"/>
    <s v="Low"/>
    <n v="35075"/>
    <n v="0.1"/>
    <n v="38582.5"/>
  </r>
  <r>
    <s v="EMP0805"/>
    <s v="EMEA"/>
    <s v="Germany"/>
    <x v="2"/>
    <s v="IC"/>
    <x v="1"/>
    <s v="Contractor"/>
    <d v="2018-10-27T00:00:00"/>
    <s v="Inactive"/>
    <s v="Commercial"/>
    <s v="CC-Sal-352"/>
    <n v="5"/>
    <d v="2024-06-05T00:00:00"/>
    <n v="5"/>
    <x v="1"/>
    <n v="0"/>
    <s v="Voluntary"/>
    <n v="4"/>
    <s v="No"/>
    <s v="No"/>
    <s v="No"/>
    <n v="3"/>
    <s v="Medium"/>
    <n v="33368"/>
    <n v="0.1"/>
    <n v="36704.800000000003"/>
  </r>
  <r>
    <s v="EMP0806"/>
    <s v="EMEA"/>
    <s v="Germany"/>
    <x v="3"/>
    <s v="IC"/>
    <x v="241"/>
    <s v="FTE"/>
    <d v="2018-10-19T00:00:00"/>
    <s v="Active"/>
    <s v="Manufacturing"/>
    <s v="CC-Ope-778"/>
    <n v="5"/>
    <s v=""/>
    <n v="7"/>
    <x v="2"/>
    <n v="0"/>
    <s v=""/>
    <n v="3"/>
    <s v="No"/>
    <s v="No"/>
    <s v="No"/>
    <n v="2"/>
    <s v="High"/>
    <n v="46851"/>
    <n v="0.1"/>
    <n v="51536.100000000006"/>
  </r>
  <r>
    <s v="EMP0807"/>
    <s v="EMEA"/>
    <s v="Germany"/>
    <x v="4"/>
    <s v="IC"/>
    <x v="165"/>
    <s v="FTE"/>
    <d v="2018-10-19T00:00:00"/>
    <s v="Active"/>
    <s v="People Operations"/>
    <s v="CC-HR-180"/>
    <n v="5"/>
    <s v=""/>
    <n v="7"/>
    <x v="2"/>
    <n v="0"/>
    <s v=""/>
    <n v="3"/>
    <s v="No"/>
    <s v="No"/>
    <s v="No"/>
    <n v="1"/>
    <s v="High"/>
    <n v="45071"/>
    <n v="0.1"/>
    <n v="49578.100000000006"/>
  </r>
  <r>
    <s v="EMP0808"/>
    <s v="EMEA"/>
    <s v="Germany"/>
    <x v="0"/>
    <s v="IC"/>
    <x v="30"/>
    <s v="FTE"/>
    <d v="2018-10-16T00:00:00"/>
    <s v="Active"/>
    <s v="Logistics"/>
    <s v="CC-Sup-532"/>
    <n v="5"/>
    <s v=""/>
    <n v="7"/>
    <x v="2"/>
    <n v="0"/>
    <s v=""/>
    <n v="2"/>
    <s v="No"/>
    <s v="No"/>
    <s v="No"/>
    <n v="5"/>
    <s v="Low"/>
    <n v="20875"/>
    <n v="0.1"/>
    <n v="22962.500000000004"/>
  </r>
  <r>
    <s v="EMP0809"/>
    <s v="EMEA"/>
    <s v="Germany"/>
    <x v="0"/>
    <s v="Manager"/>
    <x v="160"/>
    <s v="Contractor"/>
    <d v="2018-10-11T00:00:00"/>
    <s v="Active"/>
    <s v="Logistics"/>
    <s v="CC-Sup-360"/>
    <n v="4"/>
    <s v=""/>
    <n v="7"/>
    <x v="2"/>
    <n v="0"/>
    <s v=""/>
    <n v="3"/>
    <s v="No"/>
    <s v="No"/>
    <s v="No"/>
    <n v="3"/>
    <s v="Medium"/>
    <n v="54756"/>
    <n v="0.15"/>
    <n v="62969.399999999994"/>
  </r>
  <r>
    <s v="EMP0810"/>
    <s v="EMEA"/>
    <s v="Germany"/>
    <x v="4"/>
    <s v="IC"/>
    <x v="107"/>
    <s v="FTE"/>
    <d v="2018-10-06T00:00:00"/>
    <s v="Active"/>
    <s v="People Operations"/>
    <s v="CC-HR-979"/>
    <n v="5"/>
    <s v=""/>
    <n v="7"/>
    <x v="2"/>
    <n v="0"/>
    <s v=""/>
    <n v="4"/>
    <s v="No"/>
    <s v="No"/>
    <s v="No"/>
    <n v="1"/>
    <s v="High"/>
    <n v="44428"/>
    <n v="0.1"/>
    <n v="48870.8"/>
  </r>
  <r>
    <s v="EMP0811"/>
    <s v="EMEA"/>
    <s v="Germany"/>
    <x v="5"/>
    <s v="IC"/>
    <x v="44"/>
    <s v="FTE"/>
    <d v="2018-10-05T00:00:00"/>
    <s v="Active"/>
    <s v="Technology"/>
    <s v="CC-IT-799"/>
    <n v="5"/>
    <s v=""/>
    <n v="7"/>
    <x v="2"/>
    <n v="0"/>
    <s v=""/>
    <n v="2"/>
    <s v="No"/>
    <s v="No"/>
    <s v="No"/>
    <n v="3"/>
    <s v="Medium"/>
    <n v="31766"/>
    <n v="0.1"/>
    <n v="34942.600000000006"/>
  </r>
  <r>
    <s v="EMP0812"/>
    <s v="EMEA"/>
    <s v="Germany"/>
    <x v="3"/>
    <s v="Manager"/>
    <x v="205"/>
    <s v="FTE"/>
    <d v="2018-10-01T00:00:00"/>
    <s v="Active"/>
    <s v="Manufacturing"/>
    <s v="CC-Ope-241"/>
    <n v="4"/>
    <s v=""/>
    <n v="7"/>
    <x v="2"/>
    <n v="0"/>
    <s v=""/>
    <n v="3"/>
    <s v="No"/>
    <s v="No"/>
    <s v="No"/>
    <n v="1"/>
    <s v="High"/>
    <n v="87226"/>
    <n v="0.15"/>
    <n v="100309.9"/>
  </r>
  <r>
    <s v="EMP0813"/>
    <s v="EMEA"/>
    <s v="Germany"/>
    <x v="1"/>
    <s v="IC"/>
    <x v="131"/>
    <s v="FTE"/>
    <d v="2018-09-28T00:00:00"/>
    <s v="Inactive"/>
    <s v="Controlling"/>
    <s v="CC-Fin-905"/>
    <n v="5"/>
    <d v="2024-08-28T00:00:00"/>
    <n v="5"/>
    <x v="1"/>
    <n v="0"/>
    <s v="Voluntary"/>
    <n v="4"/>
    <s v="No"/>
    <s v="No"/>
    <s v="No"/>
    <n v="1"/>
    <s v="High"/>
    <n v="45811"/>
    <n v="0.1"/>
    <n v="50392.100000000006"/>
  </r>
  <r>
    <s v="EMP0814"/>
    <s v="EMEA"/>
    <s v="Germany"/>
    <x v="3"/>
    <s v="Manager"/>
    <x v="132"/>
    <s v="FTE"/>
    <d v="2018-09-22T00:00:00"/>
    <s v="Active"/>
    <s v="Manufacturing"/>
    <s v="CC-Ope-623"/>
    <n v="4"/>
    <s v=""/>
    <n v="7"/>
    <x v="2"/>
    <n v="0"/>
    <s v=""/>
    <n v="4"/>
    <s v="Yes"/>
    <s v="No"/>
    <s v="No"/>
    <n v="5"/>
    <s v="Low"/>
    <n v="78171"/>
    <n v="0.15"/>
    <n v="89896.65"/>
  </r>
  <r>
    <s v="EMP0815"/>
    <s v="EMEA"/>
    <s v="Germany"/>
    <x v="3"/>
    <s v="IC"/>
    <x v="123"/>
    <s v="FTE"/>
    <d v="2018-09-11T00:00:00"/>
    <s v="Active"/>
    <s v="Manufacturing"/>
    <s v="CC-Ope-347"/>
    <n v="5"/>
    <s v=""/>
    <n v="7"/>
    <x v="2"/>
    <n v="0"/>
    <s v=""/>
    <n v="3"/>
    <s v="No"/>
    <s v="No"/>
    <s v="No"/>
    <n v="3"/>
    <s v="Medium"/>
    <n v="40876"/>
    <n v="0.1"/>
    <n v="44963.600000000006"/>
  </r>
  <r>
    <s v="EMP0816"/>
    <s v="EMEA"/>
    <s v="Germany"/>
    <x v="3"/>
    <s v="Manager"/>
    <x v="207"/>
    <s v="FTE"/>
    <d v="2018-09-08T00:00:00"/>
    <s v="Active"/>
    <s v="Manufacturing"/>
    <s v="CC-Ope-399"/>
    <n v="4"/>
    <s v=""/>
    <n v="7"/>
    <x v="2"/>
    <n v="0"/>
    <s v=""/>
    <n v="4"/>
    <s v="No"/>
    <s v="No"/>
    <s v="No"/>
    <n v="4"/>
    <s v="Low"/>
    <n v="53022"/>
    <n v="0.15"/>
    <n v="60975.299999999996"/>
  </r>
  <r>
    <s v="EMP0817"/>
    <s v="EMEA"/>
    <s v="Germany"/>
    <x v="2"/>
    <s v="Manager"/>
    <x v="248"/>
    <s v="FTE"/>
    <d v="2018-08-28T00:00:00"/>
    <s v="Active"/>
    <s v="Commercial"/>
    <s v="CC-Sal-227"/>
    <n v="4"/>
    <s v=""/>
    <n v="7"/>
    <x v="2"/>
    <n v="0"/>
    <s v=""/>
    <n v="4"/>
    <s v="Yes"/>
    <s v="No"/>
    <s v="No"/>
    <n v="1"/>
    <s v="High"/>
    <n v="52069"/>
    <n v="0.15"/>
    <n v="59879.35"/>
  </r>
  <r>
    <s v="EMP0818"/>
    <s v="EMEA"/>
    <s v="Germany"/>
    <x v="1"/>
    <s v="IC"/>
    <x v="40"/>
    <s v="FTE"/>
    <d v="2018-08-28T00:00:00"/>
    <s v="Active"/>
    <s v="Controlling"/>
    <s v="CC-Fin-756"/>
    <n v="5"/>
    <s v=""/>
    <n v="7"/>
    <x v="2"/>
    <n v="0"/>
    <s v=""/>
    <n v="3"/>
    <s v="No"/>
    <s v="No"/>
    <s v="No"/>
    <n v="5"/>
    <s v="Low"/>
    <n v="42477"/>
    <n v="0.1"/>
    <n v="46724.700000000004"/>
  </r>
  <r>
    <s v="EMP0819"/>
    <s v="EMEA"/>
    <s v="Germany"/>
    <x v="5"/>
    <s v="IC"/>
    <x v="99"/>
    <s v="FTE"/>
    <d v="2018-08-27T00:00:00"/>
    <s v="Active"/>
    <s v="Technology"/>
    <s v="CC-IT-989"/>
    <n v="5"/>
    <s v=""/>
    <n v="7"/>
    <x v="2"/>
    <n v="0"/>
    <s v=""/>
    <n v="3"/>
    <s v="No"/>
    <s v="No"/>
    <s v="No"/>
    <n v="4"/>
    <s v="Low"/>
    <n v="21616"/>
    <n v="0.1"/>
    <n v="23777.600000000002"/>
  </r>
  <r>
    <s v="EMP0820"/>
    <s v="EMEA"/>
    <s v="Germany"/>
    <x v="3"/>
    <s v="Manager"/>
    <x v="139"/>
    <s v="FTE"/>
    <d v="2018-08-26T00:00:00"/>
    <s v="Active"/>
    <s v="Manufacturing"/>
    <s v="CC-Ope-260"/>
    <n v="4"/>
    <s v=""/>
    <n v="7"/>
    <x v="2"/>
    <n v="0"/>
    <s v=""/>
    <n v="3"/>
    <s v="No"/>
    <s v="Yes"/>
    <s v="No"/>
    <n v="2"/>
    <s v="High"/>
    <n v="83950"/>
    <n v="0.15"/>
    <n v="96542.499999999985"/>
  </r>
  <r>
    <s v="EMP0821"/>
    <s v="EMEA"/>
    <s v="Germany"/>
    <x v="0"/>
    <s v="IC"/>
    <x v="224"/>
    <s v="FTE"/>
    <d v="2018-08-26T00:00:00"/>
    <s v="Active"/>
    <s v="Logistics"/>
    <s v="CC-Sup-598"/>
    <n v="5"/>
    <s v=""/>
    <n v="7"/>
    <x v="2"/>
    <n v="0"/>
    <s v=""/>
    <n v="3"/>
    <s v="No"/>
    <s v="No"/>
    <s v="No"/>
    <n v="5"/>
    <s v="Low"/>
    <n v="46810"/>
    <n v="0.1"/>
    <n v="51491.000000000007"/>
  </r>
  <r>
    <s v="EMP0822"/>
    <s v="EMEA"/>
    <s v="Germany"/>
    <x v="2"/>
    <s v="IC"/>
    <x v="49"/>
    <s v="FTE"/>
    <d v="2018-08-22T00:00:00"/>
    <s v="Active"/>
    <s v="Commercial"/>
    <s v="CC-Sal-247"/>
    <n v="5"/>
    <s v=""/>
    <n v="7"/>
    <x v="2"/>
    <n v="0"/>
    <s v=""/>
    <n v="2"/>
    <s v="No"/>
    <s v="No"/>
    <s v="No"/>
    <n v="2"/>
    <s v="High"/>
    <n v="37046"/>
    <n v="0.1"/>
    <n v="40750.600000000006"/>
  </r>
  <r>
    <s v="EMP0823"/>
    <s v="EMEA"/>
    <s v="Germany"/>
    <x v="3"/>
    <s v="Manager"/>
    <x v="200"/>
    <s v="FTE"/>
    <d v="2018-08-18T00:00:00"/>
    <s v="Inactive"/>
    <s v="Manufacturing"/>
    <s v="CC-Ope-516"/>
    <n v="4"/>
    <d v="2023-12-25T00:00:00"/>
    <n v="5"/>
    <x v="1"/>
    <n v="0"/>
    <s v="Voluntary"/>
    <n v="3"/>
    <s v="No"/>
    <s v="No"/>
    <s v="No"/>
    <n v="4"/>
    <s v="Low"/>
    <n v="88182"/>
    <n v="0.15"/>
    <n v="101409.29999999999"/>
  </r>
  <r>
    <s v="EMP0824"/>
    <s v="EMEA"/>
    <s v="Germany"/>
    <x v="4"/>
    <s v="IC"/>
    <x v="3"/>
    <s v="FTE"/>
    <d v="2018-08-18T00:00:00"/>
    <s v="Active"/>
    <s v="People Operations"/>
    <s v="CC-HR-815"/>
    <n v="5"/>
    <s v=""/>
    <n v="7"/>
    <x v="2"/>
    <n v="0"/>
    <s v=""/>
    <n v="3"/>
    <s v="No"/>
    <s v="No"/>
    <s v="No"/>
    <n v="4"/>
    <s v="Low"/>
    <n v="49819"/>
    <n v="0.1"/>
    <n v="54800.9"/>
  </r>
  <r>
    <s v="EMP0825"/>
    <s v="EMEA"/>
    <s v="Germany"/>
    <x v="0"/>
    <s v="IC"/>
    <x v="58"/>
    <s v="FTE"/>
    <d v="2018-08-16T00:00:00"/>
    <s v="Active"/>
    <s v="Logistics"/>
    <s v="CC-Sup-377"/>
    <n v="5"/>
    <s v=""/>
    <n v="7"/>
    <x v="2"/>
    <n v="0"/>
    <s v=""/>
    <n v="3"/>
    <s v="No"/>
    <s v="No"/>
    <s v="No"/>
    <n v="1"/>
    <s v="High"/>
    <n v="42319"/>
    <n v="0.1"/>
    <n v="46550.9"/>
  </r>
  <r>
    <s v="EMP0826"/>
    <s v="EMEA"/>
    <s v="Germany"/>
    <x v="3"/>
    <s v="IC"/>
    <x v="102"/>
    <s v="FTE"/>
    <d v="2018-08-12T00:00:00"/>
    <s v="Active"/>
    <s v="Manufacturing"/>
    <s v="CC-Ope-742"/>
    <n v="5"/>
    <s v=""/>
    <n v="7"/>
    <x v="2"/>
    <n v="0"/>
    <s v=""/>
    <n v="3"/>
    <s v="Yes"/>
    <s v="No"/>
    <s v="No"/>
    <n v="4"/>
    <s v="Low"/>
    <n v="41914"/>
    <n v="0.1"/>
    <n v="46105.4"/>
  </r>
  <r>
    <s v="EMP0827"/>
    <s v="EMEA"/>
    <s v="Germany"/>
    <x v="4"/>
    <s v="IC"/>
    <x v="202"/>
    <s v="FTE"/>
    <d v="2018-08-11T00:00:00"/>
    <s v="Active"/>
    <s v="People Operations"/>
    <s v="CC-HR-430"/>
    <n v="5"/>
    <s v=""/>
    <n v="7"/>
    <x v="2"/>
    <n v="0"/>
    <s v=""/>
    <n v="4"/>
    <s v="No"/>
    <s v="No"/>
    <s v="No"/>
    <n v="3"/>
    <s v="Medium"/>
    <n v="31736"/>
    <n v="0.1"/>
    <n v="34909.600000000006"/>
  </r>
  <r>
    <s v="EMP0828"/>
    <s v="EMEA"/>
    <s v="Germany"/>
    <x v="5"/>
    <s v="IC"/>
    <x v="46"/>
    <s v="FTE"/>
    <d v="2018-08-09T00:00:00"/>
    <s v="Active"/>
    <s v="Technology"/>
    <s v="CC-IT-911"/>
    <n v="5"/>
    <s v=""/>
    <n v="7"/>
    <x v="2"/>
    <n v="0"/>
    <s v=""/>
    <n v="3"/>
    <s v="No"/>
    <s v="No"/>
    <s v="No"/>
    <n v="3"/>
    <s v="Medium"/>
    <n v="21757"/>
    <n v="0.1"/>
    <n v="23932.7"/>
  </r>
  <r>
    <s v="EMP0829"/>
    <s v="EMEA"/>
    <s v="Germany"/>
    <x v="0"/>
    <s v="IC"/>
    <x v="3"/>
    <s v="FTE"/>
    <d v="2018-08-04T00:00:00"/>
    <s v="Active"/>
    <s v="Logistics"/>
    <s v="CC-Sup-746"/>
    <n v="5"/>
    <s v=""/>
    <n v="7"/>
    <x v="2"/>
    <n v="0"/>
    <s v=""/>
    <n v="2"/>
    <s v="No"/>
    <s v="Yes"/>
    <s v="No"/>
    <n v="3"/>
    <s v="Medium"/>
    <n v="42276"/>
    <n v="0.1"/>
    <n v="46503.600000000006"/>
  </r>
  <r>
    <s v="EMP0830"/>
    <s v="EMEA"/>
    <s v="Germany"/>
    <x v="3"/>
    <s v="IC"/>
    <x v="97"/>
    <s v="FTE"/>
    <d v="2018-08-02T00:00:00"/>
    <s v="Active"/>
    <s v="Manufacturing"/>
    <s v="CC-Ope-916"/>
    <n v="5"/>
    <s v=""/>
    <n v="7"/>
    <x v="2"/>
    <n v="0"/>
    <s v=""/>
    <n v="3"/>
    <s v="No"/>
    <s v="No"/>
    <s v="No"/>
    <n v="4"/>
    <s v="Low"/>
    <n v="36432"/>
    <n v="0.1"/>
    <n v="40075.200000000004"/>
  </r>
  <r>
    <s v="EMP0831"/>
    <s v="EMEA"/>
    <s v="Germany"/>
    <x v="0"/>
    <s v="IC"/>
    <x v="32"/>
    <s v="FTE"/>
    <d v="2018-08-01T00:00:00"/>
    <s v="Active"/>
    <s v="Logistics"/>
    <s v="CC-Sup-447"/>
    <n v="5"/>
    <s v=""/>
    <n v="7"/>
    <x v="2"/>
    <n v="0"/>
    <s v=""/>
    <n v="4"/>
    <s v="No"/>
    <s v="No"/>
    <s v="No"/>
    <n v="3"/>
    <s v="Medium"/>
    <n v="41980"/>
    <n v="0.1"/>
    <n v="46178.000000000007"/>
  </r>
  <r>
    <s v="EMP0832"/>
    <s v="EMEA"/>
    <s v="Germany"/>
    <x v="0"/>
    <s v="IC"/>
    <x v="201"/>
    <s v="FTE"/>
    <d v="2018-07-26T00:00:00"/>
    <s v="Active"/>
    <s v="Logistics"/>
    <s v="CC-Sup-232"/>
    <n v="5"/>
    <s v=""/>
    <n v="7"/>
    <x v="2"/>
    <n v="0"/>
    <s v=""/>
    <n v="2"/>
    <s v="No"/>
    <s v="No"/>
    <s v="No"/>
    <n v="1"/>
    <s v="High"/>
    <n v="48512"/>
    <n v="0.1"/>
    <n v="53363.200000000004"/>
  </r>
  <r>
    <s v="EMP0833"/>
    <s v="EMEA"/>
    <s v="Germany"/>
    <x v="1"/>
    <s v="IC"/>
    <x v="64"/>
    <s v="FTE"/>
    <d v="2018-07-25T00:00:00"/>
    <s v="Active"/>
    <s v="Controlling"/>
    <s v="CC-Fin-569"/>
    <n v="5"/>
    <s v=""/>
    <n v="7"/>
    <x v="2"/>
    <n v="0"/>
    <s v=""/>
    <n v="3"/>
    <s v="No"/>
    <s v="No"/>
    <s v="No"/>
    <n v="5"/>
    <s v="Low"/>
    <n v="30007"/>
    <n v="0.1"/>
    <n v="33007.700000000004"/>
  </r>
  <r>
    <s v="EMP0834"/>
    <s v="EMEA"/>
    <s v="Germany"/>
    <x v="3"/>
    <s v="IC"/>
    <x v="14"/>
    <s v="FTE"/>
    <d v="2018-07-22T00:00:00"/>
    <s v="Active"/>
    <s v="Manufacturing"/>
    <s v="CC-Ope-389"/>
    <n v="5"/>
    <s v=""/>
    <n v="7"/>
    <x v="2"/>
    <n v="0"/>
    <s v=""/>
    <n v="3"/>
    <s v="No"/>
    <s v="Yes"/>
    <s v="Yes"/>
    <n v="2"/>
    <s v="High"/>
    <n v="35398"/>
    <n v="0.1"/>
    <n v="38937.800000000003"/>
  </r>
  <r>
    <s v="EMP0835"/>
    <s v="EMEA"/>
    <s v="Germany"/>
    <x v="5"/>
    <s v="IC"/>
    <x v="119"/>
    <s v="FTE"/>
    <d v="2018-07-21T00:00:00"/>
    <s v="Active"/>
    <s v="Technology"/>
    <s v="CC-IT-692"/>
    <n v="5"/>
    <s v=""/>
    <n v="7"/>
    <x v="2"/>
    <n v="0"/>
    <s v=""/>
    <n v="5"/>
    <s v="No"/>
    <s v="Yes"/>
    <s v="No"/>
    <n v="2"/>
    <s v="High"/>
    <n v="25122"/>
    <n v="0.1"/>
    <n v="27634.2"/>
  </r>
  <r>
    <s v="EMP0836"/>
    <s v="EMEA"/>
    <s v="Germany"/>
    <x v="5"/>
    <s v="IC"/>
    <x v="204"/>
    <s v="FTE"/>
    <d v="2018-07-12T00:00:00"/>
    <s v="Active"/>
    <s v="Technology"/>
    <s v="CC-IT-569"/>
    <n v="5"/>
    <s v=""/>
    <n v="7"/>
    <x v="2"/>
    <n v="0"/>
    <s v=""/>
    <n v="3"/>
    <s v="No"/>
    <s v="No"/>
    <s v="No"/>
    <n v="1"/>
    <s v="High"/>
    <n v="48592"/>
    <n v="0.1"/>
    <n v="53451.200000000004"/>
  </r>
  <r>
    <s v="EMP0837"/>
    <s v="EMEA"/>
    <s v="Germany"/>
    <x v="4"/>
    <s v="IC"/>
    <x v="85"/>
    <s v="Contractor"/>
    <d v="2018-07-10T00:00:00"/>
    <s v="Active"/>
    <s v="People Operations"/>
    <s v="CC-HR-999"/>
    <n v="5"/>
    <s v=""/>
    <n v="7"/>
    <x v="2"/>
    <n v="0"/>
    <s v=""/>
    <n v="3"/>
    <s v="No"/>
    <s v="No"/>
    <s v="No"/>
    <n v="4"/>
    <s v="Low"/>
    <n v="38613"/>
    <n v="0.1"/>
    <n v="42474.3"/>
  </r>
  <r>
    <s v="EMP0838"/>
    <s v="EMEA"/>
    <s v="Germany"/>
    <x v="5"/>
    <s v="VP"/>
    <x v="249"/>
    <s v="FTE"/>
    <d v="2018-07-09T00:00:00"/>
    <s v="Active"/>
    <s v="Technology"/>
    <s v="CC-IT-403"/>
    <n v="2"/>
    <s v=""/>
    <n v="7"/>
    <x v="2"/>
    <n v="0"/>
    <s v=""/>
    <n v="4"/>
    <s v="No"/>
    <s v="No"/>
    <s v="No"/>
    <n v="3"/>
    <s v="Medium"/>
    <n v="180099"/>
    <n v="0.25"/>
    <n v="225123.75"/>
  </r>
  <r>
    <s v="EMP0839"/>
    <s v="EMEA"/>
    <s v="Germany"/>
    <x v="2"/>
    <s v="IC"/>
    <x v="36"/>
    <s v="FTE"/>
    <d v="2018-07-08T00:00:00"/>
    <s v="Active"/>
    <s v="Commercial"/>
    <s v="CC-Sal-684"/>
    <n v="5"/>
    <s v=""/>
    <n v="7"/>
    <x v="2"/>
    <n v="0"/>
    <s v=""/>
    <n v="3"/>
    <s v="Yes"/>
    <s v="No"/>
    <s v="No"/>
    <n v="3"/>
    <s v="Medium"/>
    <n v="40053"/>
    <n v="0.1"/>
    <n v="44058.3"/>
  </r>
  <r>
    <s v="EMP0840"/>
    <s v="EMEA"/>
    <s v="Germany"/>
    <x v="2"/>
    <s v="IC"/>
    <x v="30"/>
    <s v="FTE"/>
    <d v="2018-07-08T00:00:00"/>
    <s v="Inactive"/>
    <s v="Commercial"/>
    <s v="CC-Sal-213"/>
    <n v="5"/>
    <d v="2024-05-02T00:00:00"/>
    <n v="5"/>
    <x v="1"/>
    <n v="0"/>
    <s v="Voluntary"/>
    <n v="3"/>
    <s v="Yes"/>
    <s v="No"/>
    <s v="No"/>
    <n v="3"/>
    <s v="Medium"/>
    <n v="38767"/>
    <n v="0.1"/>
    <n v="42643.700000000004"/>
  </r>
  <r>
    <s v="EMP0841"/>
    <s v="EMEA"/>
    <s v="Germany"/>
    <x v="0"/>
    <s v="Manager"/>
    <x v="194"/>
    <s v="FTE"/>
    <d v="2018-07-01T00:00:00"/>
    <s v="Active"/>
    <s v="Logistics"/>
    <s v="CC-Sup-727"/>
    <n v="4"/>
    <s v=""/>
    <n v="7"/>
    <x v="2"/>
    <n v="0"/>
    <s v=""/>
    <n v="3"/>
    <s v="No"/>
    <s v="No"/>
    <s v="No"/>
    <n v="3"/>
    <s v="Medium"/>
    <n v="59775"/>
    <n v="0.15"/>
    <n v="68741.25"/>
  </r>
  <r>
    <s v="EMP0842"/>
    <s v="EMEA"/>
    <s v="Germany"/>
    <x v="1"/>
    <s v="IC"/>
    <x v="80"/>
    <s v="FTE"/>
    <d v="2018-07-01T00:00:00"/>
    <s v="Active"/>
    <s v="Controlling"/>
    <s v="CC-Fin-690"/>
    <n v="5"/>
    <s v=""/>
    <n v="7"/>
    <x v="2"/>
    <n v="0"/>
    <s v=""/>
    <n v="5"/>
    <s v="No"/>
    <s v="No"/>
    <s v="No"/>
    <n v="2"/>
    <s v="High"/>
    <n v="42325"/>
    <n v="0.1"/>
    <n v="46557.500000000007"/>
  </r>
  <r>
    <s v="EMP0843"/>
    <s v="EMEA"/>
    <s v="Germany"/>
    <x v="5"/>
    <s v="IC"/>
    <x v="6"/>
    <s v="FTE"/>
    <d v="2018-06-18T00:00:00"/>
    <s v="Active"/>
    <s v="Technology"/>
    <s v="CC-IT-669"/>
    <n v="5"/>
    <s v=""/>
    <n v="7"/>
    <x v="2"/>
    <n v="0"/>
    <s v=""/>
    <n v="4"/>
    <s v="No"/>
    <s v="No"/>
    <s v="No"/>
    <n v="3"/>
    <s v="Medium"/>
    <n v="38177"/>
    <n v="0.1"/>
    <n v="41994.700000000004"/>
  </r>
  <r>
    <s v="EMP0844"/>
    <s v="EMEA"/>
    <s v="Germany"/>
    <x v="3"/>
    <s v="IC"/>
    <x v="104"/>
    <s v="FTE"/>
    <d v="2018-06-15T00:00:00"/>
    <s v="Active"/>
    <s v="Manufacturing"/>
    <s v="CC-Ope-369"/>
    <n v="5"/>
    <s v=""/>
    <n v="7"/>
    <x v="2"/>
    <n v="0"/>
    <s v=""/>
    <n v="5"/>
    <s v="Yes"/>
    <s v="Yes"/>
    <s v="No"/>
    <n v="4"/>
    <s v="Low"/>
    <n v="25837"/>
    <n v="0.1"/>
    <n v="28420.7"/>
  </r>
  <r>
    <s v="EMP0845"/>
    <s v="EMEA"/>
    <s v="Germany"/>
    <x v="1"/>
    <s v="IC"/>
    <x v="243"/>
    <s v="FTE"/>
    <d v="2018-06-07T00:00:00"/>
    <s v="Active"/>
    <s v="Controlling"/>
    <s v="CC-Fin-881"/>
    <n v="5"/>
    <s v=""/>
    <n v="7"/>
    <x v="2"/>
    <n v="0"/>
    <s v=""/>
    <n v="4"/>
    <s v="No"/>
    <s v="Yes"/>
    <s v="No"/>
    <n v="4"/>
    <s v="Low"/>
    <n v="20096"/>
    <n v="0.1"/>
    <n v="22105.600000000002"/>
  </r>
  <r>
    <s v="EMP0846"/>
    <s v="EMEA"/>
    <s v="Germany"/>
    <x v="1"/>
    <s v="IC"/>
    <x v="95"/>
    <s v="FTE"/>
    <d v="2018-06-07T00:00:00"/>
    <s v="Active"/>
    <s v="Controlling"/>
    <s v="CC-Fin-145"/>
    <n v="5"/>
    <s v=""/>
    <n v="7"/>
    <x v="2"/>
    <n v="0"/>
    <s v=""/>
    <n v="3"/>
    <s v="Yes"/>
    <s v="No"/>
    <s v="No"/>
    <n v="1"/>
    <s v="High"/>
    <n v="28649"/>
    <n v="0.1"/>
    <n v="31513.9"/>
  </r>
  <r>
    <s v="EMP0847"/>
    <s v="EMEA"/>
    <s v="Germany"/>
    <x v="3"/>
    <s v="C"/>
    <x v="183"/>
    <s v="FTE"/>
    <d v="2018-06-05T00:00:00"/>
    <s v="Active"/>
    <s v="Manufacturing"/>
    <s v="CC-Ope-593"/>
    <n v="1"/>
    <s v=""/>
    <n v="7"/>
    <x v="2"/>
    <n v="0"/>
    <s v=""/>
    <n v="3"/>
    <s v="Yes"/>
    <s v="No"/>
    <s v="No"/>
    <n v="5"/>
    <s v="Low"/>
    <n v="265583"/>
    <n v="0.3"/>
    <n v="345257.9"/>
  </r>
  <r>
    <s v="EMP0848"/>
    <s v="EMEA"/>
    <s v="Germany"/>
    <x v="3"/>
    <s v="IC"/>
    <x v="138"/>
    <s v="FTE"/>
    <d v="2018-06-03T00:00:00"/>
    <s v="Inactive"/>
    <s v="Manufacturing"/>
    <s v="CC-Ope-509"/>
    <n v="5"/>
    <d v="2023-03-18T00:00:00"/>
    <n v="4"/>
    <x v="1"/>
    <n v="0"/>
    <s v="Voluntary"/>
    <n v="4"/>
    <s v="No"/>
    <s v="No"/>
    <s v="No"/>
    <n v="3"/>
    <s v="Medium"/>
    <n v="48126"/>
    <n v="0.1"/>
    <n v="52938.600000000006"/>
  </r>
  <r>
    <s v="EMP0849"/>
    <s v="EMEA"/>
    <s v="Germany"/>
    <x v="1"/>
    <s v="VP"/>
    <x v="225"/>
    <s v="FTE"/>
    <d v="2018-05-27T00:00:00"/>
    <s v="Active"/>
    <s v="Controlling"/>
    <s v="CC-Fin-376"/>
    <n v="2"/>
    <s v=""/>
    <n v="7"/>
    <x v="2"/>
    <n v="0"/>
    <s v=""/>
    <n v="2"/>
    <s v="Yes"/>
    <s v="No"/>
    <s v="No"/>
    <n v="2"/>
    <s v="High"/>
    <n v="167124"/>
    <n v="0.25"/>
    <n v="208905"/>
  </r>
  <r>
    <s v="EMP0850"/>
    <s v="EMEA"/>
    <s v="Germany"/>
    <x v="2"/>
    <s v="IC"/>
    <x v="115"/>
    <s v="FTE"/>
    <d v="2018-05-24T00:00:00"/>
    <s v="Active"/>
    <s v="Commercial"/>
    <s v="CC-Sal-300"/>
    <n v="5"/>
    <s v=""/>
    <n v="7"/>
    <x v="2"/>
    <n v="0"/>
    <s v=""/>
    <n v="3"/>
    <s v="Yes"/>
    <s v="No"/>
    <s v="No"/>
    <n v="4"/>
    <s v="Low"/>
    <n v="38058"/>
    <n v="0.1"/>
    <n v="41863.800000000003"/>
  </r>
  <r>
    <s v="EMP0851"/>
    <s v="EMEA"/>
    <s v="Germany"/>
    <x v="3"/>
    <s v="IC"/>
    <x v="9"/>
    <s v="FTE"/>
    <d v="2018-05-23T00:00:00"/>
    <s v="Active"/>
    <s v="Manufacturing"/>
    <s v="CC-Ope-146"/>
    <n v="5"/>
    <s v=""/>
    <n v="7"/>
    <x v="2"/>
    <n v="0"/>
    <s v=""/>
    <n v="2"/>
    <s v="No"/>
    <s v="Yes"/>
    <s v="No"/>
    <n v="5"/>
    <s v="Low"/>
    <n v="32048"/>
    <n v="0.1"/>
    <n v="35252.800000000003"/>
  </r>
  <r>
    <s v="EMP0852"/>
    <s v="EMEA"/>
    <s v="Germany"/>
    <x v="1"/>
    <s v="Director"/>
    <x v="142"/>
    <s v="FTE"/>
    <d v="2018-05-20T00:00:00"/>
    <s v="Active"/>
    <s v="Controlling"/>
    <s v="CC-Fin-134"/>
    <n v="3"/>
    <s v=""/>
    <n v="7"/>
    <x v="2"/>
    <n v="0"/>
    <s v=""/>
    <n v="3"/>
    <s v="No"/>
    <s v="No"/>
    <s v="No"/>
    <n v="4"/>
    <s v="Low"/>
    <n v="129929"/>
    <n v="0.2"/>
    <n v="155914.79999999999"/>
  </r>
  <r>
    <s v="EMP0853"/>
    <s v="EMEA"/>
    <s v="Germany"/>
    <x v="2"/>
    <s v="Manager"/>
    <x v="106"/>
    <s v="FTE"/>
    <d v="2018-05-16T00:00:00"/>
    <s v="Inactive"/>
    <s v="Commercial"/>
    <s v="CC-Sal-169"/>
    <n v="4"/>
    <d v="2023-02-14T00:00:00"/>
    <n v="4"/>
    <x v="1"/>
    <n v="0"/>
    <s v="Voluntary"/>
    <n v="4"/>
    <s v="Yes"/>
    <s v="No"/>
    <s v="No"/>
    <n v="2"/>
    <s v="High"/>
    <n v="73752"/>
    <n v="0.15"/>
    <n v="84814.799999999988"/>
  </r>
  <r>
    <s v="EMP0854"/>
    <s v="EMEA"/>
    <s v="Germany"/>
    <x v="4"/>
    <s v="IC"/>
    <x v="136"/>
    <s v="FTE"/>
    <d v="2018-05-13T00:00:00"/>
    <s v="Active"/>
    <s v="People Operations"/>
    <s v="CC-HR-978"/>
    <n v="5"/>
    <s v=""/>
    <n v="7"/>
    <x v="2"/>
    <n v="0"/>
    <s v=""/>
    <n v="4"/>
    <s v="No"/>
    <s v="No"/>
    <s v="No"/>
    <n v="4"/>
    <s v="Low"/>
    <n v="42984"/>
    <n v="0.1"/>
    <n v="47282.400000000001"/>
  </r>
  <r>
    <s v="EMP0855"/>
    <s v="EMEA"/>
    <s v="Germany"/>
    <x v="5"/>
    <s v="Manager"/>
    <x v="65"/>
    <s v="FTE"/>
    <d v="2018-05-07T00:00:00"/>
    <s v="Active"/>
    <s v="Technology"/>
    <s v="CC-IT-395"/>
    <n v="4"/>
    <s v=""/>
    <n v="7"/>
    <x v="2"/>
    <n v="0"/>
    <s v=""/>
    <n v="3"/>
    <s v="No"/>
    <s v="No"/>
    <s v="No"/>
    <n v="3"/>
    <s v="Medium"/>
    <n v="71357"/>
    <n v="0.15"/>
    <n v="82060.549999999988"/>
  </r>
  <r>
    <s v="EMP0856"/>
    <s v="EMEA"/>
    <s v="Germany"/>
    <x v="4"/>
    <s v="IC"/>
    <x v="95"/>
    <s v="FTE"/>
    <d v="2018-05-07T00:00:00"/>
    <s v="Active"/>
    <s v="People Operations"/>
    <s v="CC-HR-585"/>
    <n v="5"/>
    <s v=""/>
    <n v="7"/>
    <x v="2"/>
    <n v="0"/>
    <s v=""/>
    <n v="3"/>
    <s v="No"/>
    <s v="No"/>
    <s v="No"/>
    <n v="4"/>
    <s v="Low"/>
    <n v="35673"/>
    <n v="0.1"/>
    <n v="39240.300000000003"/>
  </r>
  <r>
    <s v="EMP0857"/>
    <s v="EMEA"/>
    <s v="Germany"/>
    <x v="0"/>
    <s v="Manager"/>
    <x v="250"/>
    <s v="FTE"/>
    <d v="2018-05-03T00:00:00"/>
    <s v="Active"/>
    <s v="Logistics"/>
    <s v="CC-Sup-865"/>
    <n v="4"/>
    <s v=""/>
    <n v="7"/>
    <x v="2"/>
    <n v="0"/>
    <s v=""/>
    <n v="4"/>
    <s v="No"/>
    <s v="No"/>
    <s v="No"/>
    <n v="5"/>
    <s v="Low"/>
    <n v="87232"/>
    <n v="0.15"/>
    <n v="100316.79999999999"/>
  </r>
  <r>
    <s v="EMP0858"/>
    <s v="EMEA"/>
    <s v="Germany"/>
    <x v="5"/>
    <s v="IC"/>
    <x v="87"/>
    <s v="FTE"/>
    <d v="2018-04-26T00:00:00"/>
    <s v="Active"/>
    <s v="Technology"/>
    <s v="CC-IT-912"/>
    <n v="5"/>
    <s v=""/>
    <n v="7"/>
    <x v="2"/>
    <n v="0"/>
    <s v=""/>
    <n v="4"/>
    <s v="No"/>
    <s v="No"/>
    <s v="No"/>
    <n v="1"/>
    <s v="High"/>
    <n v="32157"/>
    <n v="0.1"/>
    <n v="35372.700000000004"/>
  </r>
  <r>
    <s v="EMP0859"/>
    <s v="EMEA"/>
    <s v="Germany"/>
    <x v="3"/>
    <s v="IC"/>
    <x v="41"/>
    <s v="FTE"/>
    <d v="2018-04-25T00:00:00"/>
    <s v="Active"/>
    <s v="Manufacturing"/>
    <s v="CC-Ope-178"/>
    <n v="5"/>
    <s v=""/>
    <n v="7"/>
    <x v="2"/>
    <n v="0"/>
    <s v=""/>
    <n v="4"/>
    <s v="No"/>
    <s v="Yes"/>
    <s v="No"/>
    <n v="4"/>
    <s v="Low"/>
    <n v="25688"/>
    <n v="0.1"/>
    <n v="28256.800000000003"/>
  </r>
  <r>
    <s v="EMP0860"/>
    <s v="EMEA"/>
    <s v="Germany"/>
    <x v="5"/>
    <s v="IC"/>
    <x v="30"/>
    <s v="FTE"/>
    <d v="2018-04-22T00:00:00"/>
    <s v="Active"/>
    <s v="Technology"/>
    <s v="CC-IT-296"/>
    <n v="5"/>
    <s v=""/>
    <n v="7"/>
    <x v="2"/>
    <n v="0"/>
    <s v=""/>
    <n v="2"/>
    <s v="No"/>
    <s v="No"/>
    <s v="No"/>
    <n v="5"/>
    <s v="Low"/>
    <n v="33937"/>
    <n v="0.1"/>
    <n v="37330.700000000004"/>
  </r>
  <r>
    <s v="EMP0861"/>
    <s v="EMEA"/>
    <s v="Germany"/>
    <x v="5"/>
    <s v="IC"/>
    <x v="148"/>
    <s v="FTE"/>
    <d v="2018-04-17T00:00:00"/>
    <s v="Active"/>
    <s v="Technology"/>
    <s v="CC-IT-748"/>
    <n v="5"/>
    <s v=""/>
    <n v="7"/>
    <x v="2"/>
    <n v="0"/>
    <s v=""/>
    <n v="2"/>
    <s v="No"/>
    <s v="No"/>
    <s v="No"/>
    <n v="1"/>
    <s v="High"/>
    <n v="44373"/>
    <n v="0.1"/>
    <n v="48810.3"/>
  </r>
  <r>
    <s v="EMP0862"/>
    <s v="EMEA"/>
    <s v="Germany"/>
    <x v="3"/>
    <s v="Manager"/>
    <x v="251"/>
    <s v="FTE"/>
    <d v="2018-04-13T00:00:00"/>
    <s v="Active"/>
    <s v="Manufacturing"/>
    <s v="CC-Ope-249"/>
    <n v="4"/>
    <s v=""/>
    <n v="7"/>
    <x v="2"/>
    <n v="0"/>
    <s v=""/>
    <n v="2"/>
    <s v="No"/>
    <s v="No"/>
    <s v="No"/>
    <n v="5"/>
    <s v="Low"/>
    <n v="81946"/>
    <n v="0.15"/>
    <n v="94237.9"/>
  </r>
  <r>
    <s v="EMP0863"/>
    <s v="EMEA"/>
    <s v="Germany"/>
    <x v="5"/>
    <s v="IC"/>
    <x v="126"/>
    <s v="Contractor"/>
    <d v="2018-04-13T00:00:00"/>
    <s v="Active"/>
    <s v="Technology"/>
    <s v="CC-IT-741"/>
    <n v="5"/>
    <s v=""/>
    <n v="7"/>
    <x v="2"/>
    <n v="0"/>
    <s v=""/>
    <n v="2"/>
    <s v="No"/>
    <s v="No"/>
    <s v="No"/>
    <n v="4"/>
    <s v="Low"/>
    <n v="30578"/>
    <n v="0.1"/>
    <n v="33635.800000000003"/>
  </r>
  <r>
    <s v="EMP0864"/>
    <s v="EMEA"/>
    <s v="Germany"/>
    <x v="1"/>
    <s v="IC"/>
    <x v="224"/>
    <s v="FTE"/>
    <d v="2018-04-09T00:00:00"/>
    <s v="Active"/>
    <s v="Controlling"/>
    <s v="CC-Fin-716"/>
    <n v="5"/>
    <s v=""/>
    <n v="7"/>
    <x v="2"/>
    <n v="0"/>
    <s v=""/>
    <n v="4"/>
    <s v="No"/>
    <s v="No"/>
    <s v="No"/>
    <n v="3"/>
    <s v="Medium"/>
    <n v="36571"/>
    <n v="0.1"/>
    <n v="40228.100000000006"/>
  </r>
  <r>
    <s v="EMP0865"/>
    <s v="EMEA"/>
    <s v="Germany"/>
    <x v="2"/>
    <s v="IC"/>
    <x v="7"/>
    <s v="Contractor"/>
    <d v="2018-04-07T00:00:00"/>
    <s v="Active"/>
    <s v="Commercial"/>
    <s v="CC-Sal-105"/>
    <n v="5"/>
    <s v=""/>
    <n v="7"/>
    <x v="2"/>
    <n v="0"/>
    <s v=""/>
    <n v="2"/>
    <s v="Yes"/>
    <s v="No"/>
    <s v="No"/>
    <n v="5"/>
    <s v="Low"/>
    <n v="47409"/>
    <n v="0.1"/>
    <n v="52149.9"/>
  </r>
  <r>
    <s v="EMP0866"/>
    <s v="EMEA"/>
    <s v="Germany"/>
    <x v="1"/>
    <s v="IC"/>
    <x v="37"/>
    <s v="FTE"/>
    <d v="2018-04-05T00:00:00"/>
    <s v="Active"/>
    <s v="Controlling"/>
    <s v="CC-Fin-807"/>
    <n v="5"/>
    <s v=""/>
    <n v="7"/>
    <x v="2"/>
    <n v="0"/>
    <s v=""/>
    <n v="4"/>
    <s v="No"/>
    <s v="No"/>
    <s v="No"/>
    <n v="5"/>
    <s v="Low"/>
    <n v="42714"/>
    <n v="0.1"/>
    <n v="46985.4"/>
  </r>
  <r>
    <s v="EMP0867"/>
    <s v="EMEA"/>
    <s v="Germany"/>
    <x v="5"/>
    <s v="IC"/>
    <x v="23"/>
    <s v="FTE"/>
    <d v="2018-04-02T00:00:00"/>
    <s v="Active"/>
    <s v="Technology"/>
    <s v="CC-IT-623"/>
    <n v="5"/>
    <s v=""/>
    <n v="7"/>
    <x v="2"/>
    <n v="0"/>
    <s v=""/>
    <n v="5"/>
    <s v="No"/>
    <s v="No"/>
    <s v="No"/>
    <n v="5"/>
    <s v="Low"/>
    <n v="36051"/>
    <n v="0.1"/>
    <n v="39656.100000000006"/>
  </r>
  <r>
    <s v="EMP0868"/>
    <s v="EMEA"/>
    <s v="Germany"/>
    <x v="4"/>
    <s v="IC"/>
    <x v="187"/>
    <s v="FTE"/>
    <d v="2018-04-02T00:00:00"/>
    <s v="Active"/>
    <s v="People Operations"/>
    <s v="CC-HR-530"/>
    <n v="5"/>
    <s v=""/>
    <n v="7"/>
    <x v="2"/>
    <n v="0"/>
    <s v=""/>
    <n v="2"/>
    <s v="No"/>
    <s v="No"/>
    <s v="No"/>
    <n v="4"/>
    <s v="Low"/>
    <n v="31667"/>
    <n v="0.1"/>
    <n v="34833.700000000004"/>
  </r>
  <r>
    <s v="EMP0869"/>
    <s v="EMEA"/>
    <s v="Germany"/>
    <x v="3"/>
    <s v="IC"/>
    <x v="203"/>
    <s v="FTE"/>
    <d v="2018-03-25T00:00:00"/>
    <s v="Active"/>
    <s v="Manufacturing"/>
    <s v="CC-Ope-373"/>
    <n v="5"/>
    <s v=""/>
    <n v="7"/>
    <x v="2"/>
    <n v="0"/>
    <s v=""/>
    <n v="3"/>
    <s v="No"/>
    <s v="No"/>
    <s v="No"/>
    <n v="2"/>
    <s v="High"/>
    <n v="38865"/>
    <n v="0.1"/>
    <n v="42751.5"/>
  </r>
  <r>
    <s v="EMP0870"/>
    <s v="EMEA"/>
    <s v="Germany"/>
    <x v="2"/>
    <s v="IC"/>
    <x v="170"/>
    <s v="FTE"/>
    <d v="2018-03-18T00:00:00"/>
    <s v="Active"/>
    <s v="Commercial"/>
    <s v="CC-Sal-984"/>
    <n v="5"/>
    <s v=""/>
    <n v="7"/>
    <x v="2"/>
    <n v="0"/>
    <s v=""/>
    <n v="2"/>
    <s v="Yes"/>
    <s v="No"/>
    <s v="No"/>
    <n v="5"/>
    <s v="Low"/>
    <n v="41543"/>
    <n v="0.1"/>
    <n v="45697.3"/>
  </r>
  <r>
    <s v="EMP0871"/>
    <s v="EMEA"/>
    <s v="Germany"/>
    <x v="3"/>
    <s v="IC"/>
    <x v="130"/>
    <s v="FTE"/>
    <d v="2018-03-15T00:00:00"/>
    <s v="Active"/>
    <s v="Manufacturing"/>
    <s v="CC-Ope-727"/>
    <n v="5"/>
    <s v=""/>
    <n v="7"/>
    <x v="2"/>
    <n v="0"/>
    <s v=""/>
    <n v="3"/>
    <s v="No"/>
    <s v="No"/>
    <s v="No"/>
    <n v="3"/>
    <s v="Medium"/>
    <n v="27301"/>
    <n v="0.1"/>
    <n v="30031.100000000002"/>
  </r>
  <r>
    <s v="EMP0872"/>
    <s v="EMEA"/>
    <s v="Germany"/>
    <x v="4"/>
    <s v="IC"/>
    <x v="210"/>
    <s v="FTE"/>
    <d v="2018-03-13T00:00:00"/>
    <s v="Inactive"/>
    <s v="People Operations"/>
    <s v="CC-HR-455"/>
    <n v="5"/>
    <d v="2025-01-08T00:00:00"/>
    <n v="6"/>
    <x v="2"/>
    <n v="0"/>
    <s v="Voluntary"/>
    <n v="3"/>
    <s v="No"/>
    <s v="No"/>
    <s v="No"/>
    <n v="2"/>
    <s v="High"/>
    <n v="46118"/>
    <n v="0.1"/>
    <n v="50729.8"/>
  </r>
  <r>
    <s v="EMP0873"/>
    <s v="EMEA"/>
    <s v="Germany"/>
    <x v="4"/>
    <s v="IC"/>
    <x v="93"/>
    <s v="FTE"/>
    <d v="2018-03-12T00:00:00"/>
    <s v="Active"/>
    <s v="People Operations"/>
    <s v="CC-HR-574"/>
    <n v="5"/>
    <s v=""/>
    <n v="7"/>
    <x v="2"/>
    <n v="0"/>
    <s v=""/>
    <n v="4"/>
    <s v="No"/>
    <s v="Yes"/>
    <s v="No"/>
    <n v="1"/>
    <s v="High"/>
    <n v="35989"/>
    <n v="0.1"/>
    <n v="39587.9"/>
  </r>
  <r>
    <s v="EMP0874"/>
    <s v="EMEA"/>
    <s v="Germany"/>
    <x v="5"/>
    <s v="Manager"/>
    <x v="215"/>
    <s v="FTE"/>
    <d v="2018-03-07T00:00:00"/>
    <s v="Active"/>
    <s v="Technology"/>
    <s v="CC-IT-525"/>
    <n v="4"/>
    <s v=""/>
    <n v="7"/>
    <x v="2"/>
    <n v="0"/>
    <s v=""/>
    <n v="3"/>
    <s v="No"/>
    <s v="No"/>
    <s v="No"/>
    <n v="2"/>
    <s v="High"/>
    <n v="82374"/>
    <n v="0.15"/>
    <n v="94730.099999999991"/>
  </r>
  <r>
    <s v="EMP0875"/>
    <s v="EMEA"/>
    <s v="Germany"/>
    <x v="3"/>
    <s v="IC"/>
    <x v="228"/>
    <s v="FTE"/>
    <d v="2018-03-07T00:00:00"/>
    <s v="Active"/>
    <s v="Manufacturing"/>
    <s v="CC-Ope-977"/>
    <n v="5"/>
    <s v=""/>
    <n v="7"/>
    <x v="2"/>
    <n v="0"/>
    <s v=""/>
    <n v="5"/>
    <s v="Yes"/>
    <s v="No"/>
    <s v="No"/>
    <n v="1"/>
    <s v="High"/>
    <n v="39232"/>
    <n v="0.1"/>
    <n v="43155.200000000004"/>
  </r>
  <r>
    <s v="EMP0876"/>
    <s v="EMEA"/>
    <s v="Germany"/>
    <x v="3"/>
    <s v="IC"/>
    <x v="178"/>
    <s v="FTE"/>
    <d v="2018-02-28T00:00:00"/>
    <s v="Inactive"/>
    <s v="Manufacturing"/>
    <s v="CC-Ope-324"/>
    <n v="5"/>
    <d v="2023-02-20T00:00:00"/>
    <n v="4"/>
    <x v="1"/>
    <n v="0"/>
    <s v="Voluntary"/>
    <n v="3"/>
    <s v="No"/>
    <s v="No"/>
    <s v="No"/>
    <n v="3"/>
    <s v="Medium"/>
    <n v="41532"/>
    <n v="0.1"/>
    <n v="45685.200000000004"/>
  </r>
  <r>
    <s v="EMP0877"/>
    <s v="EMEA"/>
    <s v="Germany"/>
    <x v="3"/>
    <s v="IC"/>
    <x v="184"/>
    <s v="FTE"/>
    <d v="2018-02-28T00:00:00"/>
    <s v="Active"/>
    <s v="Manufacturing"/>
    <s v="CC-Ope-639"/>
    <n v="5"/>
    <s v=""/>
    <n v="7"/>
    <x v="2"/>
    <n v="0"/>
    <s v=""/>
    <n v="4"/>
    <s v="Yes"/>
    <s v="No"/>
    <s v="No"/>
    <n v="5"/>
    <s v="Low"/>
    <n v="21058"/>
    <n v="0.1"/>
    <n v="23163.800000000003"/>
  </r>
  <r>
    <s v="EMP0878"/>
    <s v="EMEA"/>
    <s v="Germany"/>
    <x v="1"/>
    <s v="Director"/>
    <x v="154"/>
    <s v="FTE"/>
    <d v="2018-02-11T00:00:00"/>
    <s v="Active"/>
    <s v="Controlling"/>
    <s v="CC-Fin-589"/>
    <n v="3"/>
    <s v=""/>
    <n v="8"/>
    <x v="2"/>
    <n v="0"/>
    <s v=""/>
    <n v="2"/>
    <s v="Yes"/>
    <s v="No"/>
    <s v="No"/>
    <n v="1"/>
    <s v="High"/>
    <n v="124547"/>
    <n v="0.2"/>
    <n v="149456.4"/>
  </r>
  <r>
    <s v="EMP0879"/>
    <s v="EMEA"/>
    <s v="Germany"/>
    <x v="4"/>
    <s v="Manager"/>
    <x v="252"/>
    <s v="FTE"/>
    <d v="2018-02-06T00:00:00"/>
    <s v="Active"/>
    <s v="People Operations"/>
    <s v="CC-HR-259"/>
    <n v="4"/>
    <s v=""/>
    <n v="8"/>
    <x v="2"/>
    <n v="0"/>
    <s v=""/>
    <n v="3"/>
    <s v="No"/>
    <s v="No"/>
    <s v="No"/>
    <n v="4"/>
    <s v="Low"/>
    <n v="67574"/>
    <n v="0.15"/>
    <n v="77710.099999999991"/>
  </r>
  <r>
    <s v="EMP0880"/>
    <s v="EMEA"/>
    <s v="Germany"/>
    <x v="5"/>
    <s v="IC"/>
    <x v="247"/>
    <s v="FTE"/>
    <d v="2018-02-03T00:00:00"/>
    <s v="Active"/>
    <s v="Technology"/>
    <s v="CC-IT-937"/>
    <n v="5"/>
    <s v=""/>
    <n v="8"/>
    <x v="2"/>
    <n v="0"/>
    <s v=""/>
    <n v="3"/>
    <s v="No"/>
    <s v="No"/>
    <s v="No"/>
    <n v="4"/>
    <s v="Low"/>
    <n v="46215"/>
    <n v="0.1"/>
    <n v="50836.500000000007"/>
  </r>
  <r>
    <s v="EMP0881"/>
    <s v="EMEA"/>
    <s v="Germany"/>
    <x v="2"/>
    <s v="IC"/>
    <x v="70"/>
    <s v="FTE"/>
    <d v="2018-02-03T00:00:00"/>
    <s v="Active"/>
    <s v="Commercial"/>
    <s v="CC-Sal-754"/>
    <n v="5"/>
    <s v=""/>
    <n v="8"/>
    <x v="2"/>
    <n v="0"/>
    <s v=""/>
    <n v="2"/>
    <s v="No"/>
    <s v="No"/>
    <s v="No"/>
    <n v="4"/>
    <s v="Low"/>
    <n v="33056"/>
    <n v="0.1"/>
    <n v="36361.600000000006"/>
  </r>
  <r>
    <s v="EMP0882"/>
    <s v="EMEA"/>
    <s v="Germany"/>
    <x v="1"/>
    <s v="Manager"/>
    <x v="200"/>
    <s v="FTE"/>
    <d v="2018-02-02T00:00:00"/>
    <s v="Inactive"/>
    <s v="Controlling"/>
    <s v="CC-Fin-255"/>
    <n v="4"/>
    <d v="2023-11-19T00:00:00"/>
    <n v="5"/>
    <x v="1"/>
    <n v="0"/>
    <s v="Involuntary"/>
    <n v="4"/>
    <s v="No"/>
    <s v="No"/>
    <s v="No"/>
    <n v="2"/>
    <s v="High"/>
    <n v="53940"/>
    <n v="0.15"/>
    <n v="62030.999999999993"/>
  </r>
  <r>
    <s v="EMP0883"/>
    <s v="EMEA"/>
    <s v="Germany"/>
    <x v="3"/>
    <s v="IC"/>
    <x v="97"/>
    <s v="FTE"/>
    <d v="2018-01-28T00:00:00"/>
    <s v="Active"/>
    <s v="Manufacturing"/>
    <s v="CC-Ope-510"/>
    <n v="5"/>
    <s v=""/>
    <n v="8"/>
    <x v="2"/>
    <n v="0"/>
    <s v=""/>
    <n v="3"/>
    <s v="No"/>
    <s v="No"/>
    <s v="No"/>
    <n v="4"/>
    <s v="Low"/>
    <n v="40660"/>
    <n v="0.1"/>
    <n v="44726"/>
  </r>
  <r>
    <s v="EMP0884"/>
    <s v="EMEA"/>
    <s v="Germany"/>
    <x v="3"/>
    <s v="IC"/>
    <x v="109"/>
    <s v="FTE"/>
    <d v="2018-01-18T00:00:00"/>
    <s v="Active"/>
    <s v="Manufacturing"/>
    <s v="CC-Ope-803"/>
    <n v="5"/>
    <s v=""/>
    <n v="8"/>
    <x v="2"/>
    <n v="0"/>
    <s v=""/>
    <n v="4"/>
    <s v="No"/>
    <s v="No"/>
    <s v="No"/>
    <n v="1"/>
    <s v="High"/>
    <n v="24805"/>
    <n v="0.1"/>
    <n v="27285.500000000004"/>
  </r>
  <r>
    <s v="EMP0885"/>
    <s v="EMEA"/>
    <s v="Germany"/>
    <x v="4"/>
    <s v="Manager"/>
    <x v="253"/>
    <s v="FTE"/>
    <d v="2018-01-15T00:00:00"/>
    <s v="Active"/>
    <s v="People Operations"/>
    <s v="CC-HR-159"/>
    <n v="4"/>
    <s v=""/>
    <n v="8"/>
    <x v="2"/>
    <n v="0"/>
    <s v=""/>
    <n v="5"/>
    <s v="No"/>
    <s v="No"/>
    <s v="No"/>
    <n v="4"/>
    <s v="Low"/>
    <n v="65021"/>
    <n v="0.15"/>
    <n v="74774.149999999994"/>
  </r>
  <r>
    <s v="EMP0886"/>
    <s v="EMEA"/>
    <s v="Germany"/>
    <x v="2"/>
    <s v="IC"/>
    <x v="1"/>
    <s v="FTE"/>
    <d v="2018-01-14T00:00:00"/>
    <s v="Active"/>
    <s v="Commercial"/>
    <s v="CC-Sal-283"/>
    <n v="5"/>
    <s v=""/>
    <n v="8"/>
    <x v="2"/>
    <n v="0"/>
    <s v=""/>
    <n v="5"/>
    <s v="Yes"/>
    <s v="No"/>
    <s v="No"/>
    <n v="4"/>
    <s v="Low"/>
    <n v="37160"/>
    <n v="0.1"/>
    <n v="40876"/>
  </r>
  <r>
    <s v="EMP0887"/>
    <s v="EMEA"/>
    <s v="Germany"/>
    <x v="4"/>
    <s v="IC"/>
    <x v="230"/>
    <s v="FTE"/>
    <d v="2018-01-10T00:00:00"/>
    <s v="Active"/>
    <s v="People Operations"/>
    <s v="CC-HR-974"/>
    <n v="5"/>
    <s v=""/>
    <n v="8"/>
    <x v="2"/>
    <n v="0"/>
    <s v=""/>
    <n v="4"/>
    <s v="No"/>
    <s v="No"/>
    <s v="No"/>
    <n v="4"/>
    <s v="Low"/>
    <n v="47226"/>
    <n v="0.1"/>
    <n v="51948.600000000006"/>
  </r>
  <r>
    <s v="EMP0888"/>
    <s v="EMEA"/>
    <s v="Germany"/>
    <x v="5"/>
    <s v="IC"/>
    <x v="108"/>
    <s v="FTE"/>
    <d v="2018-01-08T00:00:00"/>
    <s v="Active"/>
    <s v="Technology"/>
    <s v="CC-IT-441"/>
    <n v="5"/>
    <s v=""/>
    <n v="8"/>
    <x v="2"/>
    <n v="0"/>
    <s v=""/>
    <n v="4"/>
    <s v="Yes"/>
    <s v="No"/>
    <s v="No"/>
    <n v="4"/>
    <s v="Low"/>
    <n v="41200"/>
    <n v="0.1"/>
    <n v="45320.000000000007"/>
  </r>
  <r>
    <s v="EMP0889"/>
    <s v="EMEA"/>
    <s v="Germany"/>
    <x v="5"/>
    <s v="IC"/>
    <x v="107"/>
    <s v="Contractor"/>
    <d v="2018-01-07T00:00:00"/>
    <s v="Inactive"/>
    <s v="Technology"/>
    <s v="CC-IT-136"/>
    <n v="5"/>
    <d v="2021-08-10T00:00:00"/>
    <n v="3"/>
    <x v="1"/>
    <n v="0"/>
    <s v="Voluntary"/>
    <n v="3"/>
    <s v="No"/>
    <s v="No"/>
    <s v="No"/>
    <n v="1"/>
    <s v="High"/>
    <n v="33290"/>
    <n v="0.1"/>
    <n v="36619"/>
  </r>
  <r>
    <s v="EMP0890"/>
    <s v="EMEA"/>
    <s v="Germany"/>
    <x v="1"/>
    <s v="Manager"/>
    <x v="90"/>
    <s v="FTE"/>
    <d v="2018-01-01T00:00:00"/>
    <s v="Active"/>
    <s v="Controlling"/>
    <s v="CC-Fin-360"/>
    <n v="4"/>
    <s v=""/>
    <n v="8"/>
    <x v="2"/>
    <n v="0"/>
    <s v=""/>
    <n v="3"/>
    <s v="No"/>
    <s v="Yes"/>
    <s v="Yes"/>
    <n v="1"/>
    <s v="High"/>
    <n v="80435"/>
    <n v="0.15"/>
    <n v="92500.25"/>
  </r>
  <r>
    <s v="EMP0891"/>
    <s v="EMEA"/>
    <s v="Germany"/>
    <x v="5"/>
    <s v="IC"/>
    <x v="192"/>
    <s v="FTE"/>
    <d v="2017-12-21T00:00:00"/>
    <s v="Active"/>
    <s v="Technology"/>
    <s v="CC-IT-699"/>
    <n v="5"/>
    <s v=""/>
    <n v="8"/>
    <x v="2"/>
    <n v="0"/>
    <s v=""/>
    <n v="4"/>
    <s v="Yes"/>
    <s v="No"/>
    <s v="No"/>
    <n v="3"/>
    <s v="Medium"/>
    <n v="28723"/>
    <n v="0.1"/>
    <n v="31595.300000000003"/>
  </r>
  <r>
    <s v="EMP0892"/>
    <s v="EMEA"/>
    <s v="Germany"/>
    <x v="0"/>
    <s v="Manager"/>
    <x v="242"/>
    <s v="FTE"/>
    <d v="2017-12-19T00:00:00"/>
    <s v="Active"/>
    <s v="Logistics"/>
    <s v="CC-Sup-547"/>
    <n v="4"/>
    <s v=""/>
    <n v="8"/>
    <x v="2"/>
    <n v="0"/>
    <s v=""/>
    <n v="3"/>
    <s v="No"/>
    <s v="No"/>
    <s v="No"/>
    <n v="1"/>
    <s v="High"/>
    <n v="71343"/>
    <n v="0.15"/>
    <n v="82044.45"/>
  </r>
  <r>
    <s v="EMP0893"/>
    <s v="EMEA"/>
    <s v="Germany"/>
    <x v="3"/>
    <s v="IC"/>
    <x v="203"/>
    <s v="FTE"/>
    <d v="2017-12-17T00:00:00"/>
    <s v="Active"/>
    <s v="Manufacturing"/>
    <s v="CC-Ope-467"/>
    <n v="5"/>
    <s v=""/>
    <n v="8"/>
    <x v="2"/>
    <n v="0"/>
    <s v=""/>
    <n v="5"/>
    <s v="Yes"/>
    <s v="No"/>
    <s v="No"/>
    <n v="1"/>
    <s v="High"/>
    <n v="25091"/>
    <n v="0.1"/>
    <n v="27600.100000000002"/>
  </r>
  <r>
    <s v="EMP0894"/>
    <s v="EMEA"/>
    <s v="Germany"/>
    <x v="3"/>
    <s v="Manager"/>
    <x v="196"/>
    <s v="FTE"/>
    <d v="2017-12-08T00:00:00"/>
    <s v="Active"/>
    <s v="Manufacturing"/>
    <s v="CC-Ope-577"/>
    <n v="4"/>
    <s v=""/>
    <n v="8"/>
    <x v="2"/>
    <n v="0"/>
    <s v=""/>
    <n v="3"/>
    <s v="No"/>
    <s v="No"/>
    <s v="No"/>
    <n v="3"/>
    <s v="Medium"/>
    <n v="66870"/>
    <n v="0.15"/>
    <n v="76900.5"/>
  </r>
  <r>
    <s v="EMP0895"/>
    <s v="EMEA"/>
    <s v="Germany"/>
    <x v="4"/>
    <s v="IC"/>
    <x v="179"/>
    <s v="Contractor"/>
    <d v="2017-12-07T00:00:00"/>
    <s v="Active"/>
    <s v="People Operations"/>
    <s v="CC-HR-184"/>
    <n v="5"/>
    <s v=""/>
    <n v="8"/>
    <x v="2"/>
    <n v="0"/>
    <s v=""/>
    <n v="4"/>
    <s v="No"/>
    <s v="No"/>
    <s v="No"/>
    <n v="1"/>
    <s v="High"/>
    <n v="46472"/>
    <n v="0.1"/>
    <n v="51119.200000000004"/>
  </r>
  <r>
    <s v="EMP0896"/>
    <s v="EMEA"/>
    <s v="Germany"/>
    <x v="1"/>
    <s v="IC"/>
    <x v="145"/>
    <s v="FTE"/>
    <d v="2017-11-25T00:00:00"/>
    <s v="Active"/>
    <s v="Controlling"/>
    <s v="CC-Fin-903"/>
    <n v="5"/>
    <s v=""/>
    <n v="8"/>
    <x v="2"/>
    <n v="0"/>
    <s v=""/>
    <n v="2"/>
    <s v="No"/>
    <s v="No"/>
    <s v="No"/>
    <n v="3"/>
    <s v="Medium"/>
    <n v="24321"/>
    <n v="0.1"/>
    <n v="26753.100000000002"/>
  </r>
  <r>
    <s v="EMP0897"/>
    <s v="EMEA"/>
    <s v="Germany"/>
    <x v="2"/>
    <s v="IC"/>
    <x v="23"/>
    <s v="FTE"/>
    <d v="2017-11-24T00:00:00"/>
    <s v="Active"/>
    <s v="Commercial"/>
    <s v="CC-Sal-488"/>
    <n v="5"/>
    <s v=""/>
    <n v="8"/>
    <x v="2"/>
    <n v="0"/>
    <s v=""/>
    <n v="3"/>
    <s v="No"/>
    <s v="Yes"/>
    <s v="No"/>
    <n v="2"/>
    <s v="High"/>
    <n v="35914"/>
    <n v="0.1"/>
    <n v="39505.4"/>
  </r>
  <r>
    <s v="EMP0898"/>
    <s v="EMEA"/>
    <s v="Germany"/>
    <x v="2"/>
    <s v="IC"/>
    <x v="120"/>
    <s v="FTE"/>
    <d v="2017-11-22T00:00:00"/>
    <s v="Active"/>
    <s v="Commercial"/>
    <s v="CC-Sal-602"/>
    <n v="5"/>
    <s v=""/>
    <n v="8"/>
    <x v="2"/>
    <n v="0"/>
    <s v=""/>
    <n v="3"/>
    <s v="No"/>
    <s v="No"/>
    <s v="No"/>
    <n v="1"/>
    <s v="High"/>
    <n v="23954"/>
    <n v="0.1"/>
    <n v="26349.4"/>
  </r>
  <r>
    <s v="EMP0899"/>
    <s v="EMEA"/>
    <s v="Germany"/>
    <x v="5"/>
    <s v="IC"/>
    <x v="1"/>
    <s v="FTE"/>
    <d v="2017-11-22T00:00:00"/>
    <s v="Active"/>
    <s v="Technology"/>
    <s v="CC-IT-736"/>
    <n v="5"/>
    <s v=""/>
    <n v="8"/>
    <x v="2"/>
    <n v="0"/>
    <s v=""/>
    <n v="4"/>
    <s v="No"/>
    <s v="No"/>
    <s v="No"/>
    <n v="1"/>
    <s v="High"/>
    <n v="49902"/>
    <n v="0.1"/>
    <n v="54892.200000000004"/>
  </r>
  <r>
    <s v="EMP0900"/>
    <s v="EMEA"/>
    <s v="Germany"/>
    <x v="3"/>
    <s v="IC"/>
    <x v="85"/>
    <s v="FTE"/>
    <d v="2017-11-20T00:00:00"/>
    <s v="Active"/>
    <s v="Manufacturing"/>
    <s v="CC-Ope-633"/>
    <n v="5"/>
    <s v=""/>
    <n v="8"/>
    <x v="2"/>
    <n v="0"/>
    <s v=""/>
    <n v="4"/>
    <s v="No"/>
    <s v="No"/>
    <s v="No"/>
    <n v="5"/>
    <s v="Low"/>
    <n v="49353"/>
    <n v="0.1"/>
    <n v="54288.3"/>
  </r>
  <r>
    <s v="EMP0901"/>
    <s v="EMEA"/>
    <s v="Germany"/>
    <x v="2"/>
    <s v="IC"/>
    <x v="1"/>
    <s v="FTE"/>
    <d v="2017-11-16T00:00:00"/>
    <s v="Active"/>
    <s v="Commercial"/>
    <s v="CC-Sal-564"/>
    <n v="5"/>
    <s v=""/>
    <n v="8"/>
    <x v="2"/>
    <n v="0"/>
    <s v=""/>
    <n v="2"/>
    <s v="No"/>
    <s v="No"/>
    <s v="No"/>
    <n v="3"/>
    <s v="Medium"/>
    <n v="30752"/>
    <n v="0.1"/>
    <n v="33827.200000000004"/>
  </r>
  <r>
    <s v="EMP0902"/>
    <s v="EMEA"/>
    <s v="Germany"/>
    <x v="3"/>
    <s v="Director"/>
    <x v="0"/>
    <s v="FTE"/>
    <d v="2017-11-13T00:00:00"/>
    <s v="Active"/>
    <s v="Manufacturing"/>
    <s v="CC-Ope-390"/>
    <n v="3"/>
    <s v=""/>
    <n v="8"/>
    <x v="2"/>
    <n v="0"/>
    <s v=""/>
    <n v="4"/>
    <s v="No"/>
    <s v="No"/>
    <s v="No"/>
    <n v="2"/>
    <s v="High"/>
    <n v="137074"/>
    <n v="0.2"/>
    <n v="164488.79999999999"/>
  </r>
  <r>
    <s v="EMP0903"/>
    <s v="EMEA"/>
    <s v="Germany"/>
    <x v="1"/>
    <s v="IC"/>
    <x v="30"/>
    <s v="FTE"/>
    <d v="2017-11-02T00:00:00"/>
    <s v="Active"/>
    <s v="Controlling"/>
    <s v="CC-Fin-318"/>
    <n v="5"/>
    <s v=""/>
    <n v="8"/>
    <x v="2"/>
    <n v="0"/>
    <s v=""/>
    <n v="4"/>
    <s v="No"/>
    <s v="No"/>
    <s v="No"/>
    <n v="4"/>
    <s v="Low"/>
    <n v="43829"/>
    <n v="0.1"/>
    <n v="48211.9"/>
  </r>
  <r>
    <s v="EMP0904"/>
    <s v="EMEA"/>
    <s v="Germany"/>
    <x v="0"/>
    <s v="IC"/>
    <x v="143"/>
    <s v="FTE"/>
    <d v="2017-10-21T00:00:00"/>
    <s v="Active"/>
    <s v="Logistics"/>
    <s v="CC-Sup-994"/>
    <n v="5"/>
    <s v=""/>
    <n v="8"/>
    <x v="2"/>
    <n v="0"/>
    <s v=""/>
    <n v="3"/>
    <s v="Yes"/>
    <s v="No"/>
    <s v="No"/>
    <n v="1"/>
    <s v="High"/>
    <n v="21910"/>
    <n v="0.1"/>
    <n v="24101.000000000004"/>
  </r>
  <r>
    <s v="EMP0905"/>
    <s v="EMEA"/>
    <s v="Germany"/>
    <x v="4"/>
    <s v="IC"/>
    <x v="236"/>
    <s v="FTE"/>
    <d v="2017-10-20T00:00:00"/>
    <s v="Active"/>
    <s v="People Operations"/>
    <s v="CC-HR-676"/>
    <n v="5"/>
    <s v=""/>
    <n v="8"/>
    <x v="2"/>
    <n v="0"/>
    <s v=""/>
    <n v="3"/>
    <s v="Yes"/>
    <s v="No"/>
    <s v="No"/>
    <n v="1"/>
    <s v="High"/>
    <n v="33006"/>
    <n v="0.1"/>
    <n v="36306.600000000006"/>
  </r>
  <r>
    <s v="EMP0906"/>
    <s v="EMEA"/>
    <s v="Germany"/>
    <x v="5"/>
    <s v="IC"/>
    <x v="131"/>
    <s v="FTE"/>
    <d v="2017-10-19T00:00:00"/>
    <s v="Active"/>
    <s v="Technology"/>
    <s v="CC-IT-733"/>
    <n v="5"/>
    <s v=""/>
    <n v="8"/>
    <x v="2"/>
    <n v="0"/>
    <s v=""/>
    <n v="4"/>
    <s v="No"/>
    <s v="No"/>
    <s v="No"/>
    <n v="1"/>
    <s v="High"/>
    <n v="22390"/>
    <n v="0.1"/>
    <n v="24629.000000000004"/>
  </r>
  <r>
    <s v="EMP0907"/>
    <s v="EMEA"/>
    <s v="Germany"/>
    <x v="3"/>
    <s v="IC"/>
    <x v="178"/>
    <s v="FTE"/>
    <d v="2017-10-14T00:00:00"/>
    <s v="Active"/>
    <s v="Manufacturing"/>
    <s v="CC-Ope-215"/>
    <n v="5"/>
    <s v=""/>
    <n v="8"/>
    <x v="2"/>
    <n v="0"/>
    <s v=""/>
    <n v="3"/>
    <s v="No"/>
    <s v="No"/>
    <s v="No"/>
    <n v="3"/>
    <s v="Medium"/>
    <n v="49530"/>
    <n v="0.1"/>
    <n v="54483.000000000007"/>
  </r>
  <r>
    <s v="EMP0908"/>
    <s v="EMEA"/>
    <s v="Germany"/>
    <x v="4"/>
    <s v="IC"/>
    <x v="136"/>
    <s v="Contractor"/>
    <d v="2017-10-14T00:00:00"/>
    <s v="Active"/>
    <s v="People Operations"/>
    <s v="CC-HR-114"/>
    <n v="5"/>
    <s v=""/>
    <n v="8"/>
    <x v="2"/>
    <n v="0"/>
    <s v=""/>
    <n v="3"/>
    <s v="No"/>
    <s v="No"/>
    <s v="No"/>
    <n v="4"/>
    <s v="Low"/>
    <n v="43567"/>
    <n v="0.1"/>
    <n v="47923.700000000004"/>
  </r>
  <r>
    <s v="EMP0909"/>
    <s v="EMEA"/>
    <s v="Germany"/>
    <x v="4"/>
    <s v="IC"/>
    <x v="37"/>
    <s v="FTE"/>
    <d v="2017-10-13T00:00:00"/>
    <s v="Active"/>
    <s v="People Operations"/>
    <s v="CC-HR-809"/>
    <n v="5"/>
    <s v=""/>
    <n v="8"/>
    <x v="2"/>
    <n v="0"/>
    <s v=""/>
    <n v="3"/>
    <s v="Yes"/>
    <s v="No"/>
    <s v="No"/>
    <n v="5"/>
    <s v="Low"/>
    <n v="24604"/>
    <n v="0.1"/>
    <n v="27064.400000000001"/>
  </r>
  <r>
    <s v="EMP0910"/>
    <s v="EMEA"/>
    <s v="Germany"/>
    <x v="1"/>
    <s v="IC"/>
    <x v="134"/>
    <s v="FTE"/>
    <d v="2017-10-12T00:00:00"/>
    <s v="Active"/>
    <s v="Controlling"/>
    <s v="CC-Fin-270"/>
    <n v="5"/>
    <s v=""/>
    <n v="8"/>
    <x v="2"/>
    <n v="0"/>
    <s v=""/>
    <n v="4"/>
    <s v="No"/>
    <s v="No"/>
    <s v="No"/>
    <n v="4"/>
    <s v="Low"/>
    <n v="32814"/>
    <n v="0.1"/>
    <n v="36095.4"/>
  </r>
  <r>
    <s v="EMP0911"/>
    <s v="EMEA"/>
    <s v="Germany"/>
    <x v="0"/>
    <s v="IC"/>
    <x v="122"/>
    <s v="FTE"/>
    <d v="2017-10-09T00:00:00"/>
    <s v="Active"/>
    <s v="Logistics"/>
    <s v="CC-Sup-623"/>
    <n v="5"/>
    <s v=""/>
    <n v="8"/>
    <x v="2"/>
    <n v="0"/>
    <s v=""/>
    <n v="3"/>
    <s v="No"/>
    <s v="No"/>
    <s v="No"/>
    <n v="1"/>
    <s v="High"/>
    <n v="45135"/>
    <n v="0.1"/>
    <n v="49648.500000000007"/>
  </r>
  <r>
    <s v="EMP0912"/>
    <s v="EMEA"/>
    <s v="Germany"/>
    <x v="1"/>
    <s v="IC"/>
    <x v="161"/>
    <s v="FTE"/>
    <d v="2017-10-05T00:00:00"/>
    <s v="Active"/>
    <s v="Controlling"/>
    <s v="CC-Fin-397"/>
    <n v="5"/>
    <s v=""/>
    <n v="8"/>
    <x v="2"/>
    <n v="0"/>
    <s v=""/>
    <n v="2"/>
    <s v="No"/>
    <s v="Yes"/>
    <s v="No"/>
    <n v="3"/>
    <s v="Medium"/>
    <n v="27622"/>
    <n v="0.1"/>
    <n v="30384.2"/>
  </r>
  <r>
    <s v="EMP0913"/>
    <s v="EMEA"/>
    <s v="Germany"/>
    <x v="2"/>
    <s v="Manager"/>
    <x v="245"/>
    <s v="FTE"/>
    <d v="2017-10-04T00:00:00"/>
    <s v="Active"/>
    <s v="Commercial"/>
    <s v="CC-Sal-389"/>
    <n v="4"/>
    <s v=""/>
    <n v="8"/>
    <x v="2"/>
    <n v="0"/>
    <s v=""/>
    <n v="3"/>
    <s v="No"/>
    <s v="No"/>
    <s v="No"/>
    <n v="5"/>
    <s v="Low"/>
    <n v="87294"/>
    <n v="0.15"/>
    <n v="100388.09999999999"/>
  </r>
  <r>
    <s v="EMP0914"/>
    <s v="EMEA"/>
    <s v="Germany"/>
    <x v="5"/>
    <s v="IC"/>
    <x v="83"/>
    <s v="FTE"/>
    <d v="2017-10-04T00:00:00"/>
    <s v="Active"/>
    <s v="Technology"/>
    <s v="CC-IT-778"/>
    <n v="5"/>
    <s v=""/>
    <n v="8"/>
    <x v="2"/>
    <n v="0"/>
    <s v=""/>
    <n v="3"/>
    <s v="No"/>
    <s v="No"/>
    <s v="No"/>
    <n v="5"/>
    <s v="Low"/>
    <n v="25694"/>
    <n v="0.1"/>
    <n v="28263.4"/>
  </r>
  <r>
    <s v="EMP0915"/>
    <s v="EMEA"/>
    <s v="Germany"/>
    <x v="5"/>
    <s v="IC"/>
    <x v="17"/>
    <s v="FTE"/>
    <d v="2017-10-04T00:00:00"/>
    <s v="Active"/>
    <s v="Technology"/>
    <s v="CC-IT-732"/>
    <n v="5"/>
    <s v=""/>
    <n v="8"/>
    <x v="2"/>
    <n v="0"/>
    <s v=""/>
    <n v="5"/>
    <s v="Yes"/>
    <s v="No"/>
    <s v="No"/>
    <n v="4"/>
    <s v="Low"/>
    <n v="43076"/>
    <n v="0.1"/>
    <n v="47383.600000000006"/>
  </r>
  <r>
    <s v="EMP0916"/>
    <s v="EMEA"/>
    <s v="Germany"/>
    <x v="4"/>
    <s v="IC"/>
    <x v="229"/>
    <s v="Contractor"/>
    <d v="2017-10-01T00:00:00"/>
    <s v="Active"/>
    <s v="People Operations"/>
    <s v="CC-HR-591"/>
    <n v="5"/>
    <s v=""/>
    <n v="8"/>
    <x v="2"/>
    <n v="0"/>
    <s v=""/>
    <n v="4"/>
    <s v="No"/>
    <s v="Yes"/>
    <s v="No"/>
    <n v="2"/>
    <s v="High"/>
    <n v="28018"/>
    <n v="0.1"/>
    <n v="30819.800000000003"/>
  </r>
  <r>
    <s v="EMP0917"/>
    <s v="EMEA"/>
    <s v="Germany"/>
    <x v="0"/>
    <s v="IC"/>
    <x v="164"/>
    <s v="FTE"/>
    <d v="2017-09-22T00:00:00"/>
    <s v="Active"/>
    <s v="Logistics"/>
    <s v="CC-Sup-708"/>
    <n v="5"/>
    <s v=""/>
    <n v="8"/>
    <x v="2"/>
    <n v="0"/>
    <s v=""/>
    <n v="4"/>
    <s v="No"/>
    <s v="No"/>
    <s v="No"/>
    <n v="2"/>
    <s v="High"/>
    <n v="27425"/>
    <n v="0.1"/>
    <n v="30167.500000000004"/>
  </r>
  <r>
    <s v="EMP0918"/>
    <s v="EMEA"/>
    <s v="Germany"/>
    <x v="1"/>
    <s v="IC"/>
    <x v="71"/>
    <s v="FTE"/>
    <d v="2017-09-17T00:00:00"/>
    <s v="Active"/>
    <s v="Controlling"/>
    <s v="CC-Fin-470"/>
    <n v="5"/>
    <s v=""/>
    <n v="8"/>
    <x v="2"/>
    <n v="0"/>
    <s v=""/>
    <n v="3"/>
    <s v="No"/>
    <s v="No"/>
    <s v="No"/>
    <n v="3"/>
    <s v="Medium"/>
    <n v="33892"/>
    <n v="0.1"/>
    <n v="37281.200000000004"/>
  </r>
  <r>
    <s v="EMP0919"/>
    <s v="EMEA"/>
    <s v="Germany"/>
    <x v="3"/>
    <s v="Manager"/>
    <x v="218"/>
    <s v="FTE"/>
    <d v="2017-09-13T00:00:00"/>
    <s v="Inactive"/>
    <s v="Manufacturing"/>
    <s v="CC-Ope-122"/>
    <n v="4"/>
    <d v="2021-01-12T00:00:00"/>
    <n v="3"/>
    <x v="1"/>
    <n v="0"/>
    <s v="Voluntary"/>
    <n v="4"/>
    <s v="No"/>
    <s v="No"/>
    <s v="No"/>
    <n v="2"/>
    <s v="High"/>
    <n v="82266"/>
    <n v="0.15"/>
    <n v="94605.9"/>
  </r>
  <r>
    <s v="EMP0920"/>
    <s v="EMEA"/>
    <s v="Germany"/>
    <x v="3"/>
    <s v="IC"/>
    <x v="28"/>
    <s v="FTE"/>
    <d v="2017-09-12T00:00:00"/>
    <s v="Inactive"/>
    <s v="Manufacturing"/>
    <s v="CC-Ope-582"/>
    <n v="5"/>
    <d v="2022-08-20T00:00:00"/>
    <n v="4"/>
    <x v="1"/>
    <n v="0"/>
    <s v="Voluntary"/>
    <n v="3"/>
    <s v="No"/>
    <s v="No"/>
    <s v="No"/>
    <n v="5"/>
    <s v="Low"/>
    <n v="20507"/>
    <n v="0.1"/>
    <n v="22557.7"/>
  </r>
  <r>
    <s v="EMP0921"/>
    <s v="EMEA"/>
    <s v="Germany"/>
    <x v="0"/>
    <s v="IC"/>
    <x v="152"/>
    <s v="FTE"/>
    <d v="2017-09-10T00:00:00"/>
    <s v="Active"/>
    <s v="Logistics"/>
    <s v="CC-Sup-529"/>
    <n v="5"/>
    <s v=""/>
    <n v="8"/>
    <x v="2"/>
    <n v="0"/>
    <s v=""/>
    <n v="5"/>
    <s v="No"/>
    <s v="No"/>
    <s v="No"/>
    <n v="3"/>
    <s v="Medium"/>
    <n v="21201"/>
    <n v="0.1"/>
    <n v="23321.100000000002"/>
  </r>
  <r>
    <s v="EMP0922"/>
    <s v="EMEA"/>
    <s v="Germany"/>
    <x v="5"/>
    <s v="IC"/>
    <x v="145"/>
    <s v="FTE"/>
    <d v="2017-09-08T00:00:00"/>
    <s v="Inactive"/>
    <s v="Technology"/>
    <s v="CC-IT-156"/>
    <n v="5"/>
    <d v="2021-03-22T00:00:00"/>
    <n v="3"/>
    <x v="1"/>
    <n v="0"/>
    <s v="Voluntary"/>
    <n v="3"/>
    <s v="Yes"/>
    <s v="No"/>
    <s v="No"/>
    <n v="5"/>
    <s v="Low"/>
    <n v="49534"/>
    <n v="0.1"/>
    <n v="54487.4"/>
  </r>
  <r>
    <s v="EMP0923"/>
    <s v="EMEA"/>
    <s v="Germany"/>
    <x v="4"/>
    <s v="IC"/>
    <x v="52"/>
    <s v="FTE"/>
    <d v="2017-09-05T00:00:00"/>
    <s v="Active"/>
    <s v="People Operations"/>
    <s v="CC-HR-719"/>
    <n v="5"/>
    <s v=""/>
    <n v="8"/>
    <x v="2"/>
    <n v="0"/>
    <s v=""/>
    <n v="3"/>
    <s v="No"/>
    <s v="No"/>
    <s v="No"/>
    <n v="4"/>
    <s v="Low"/>
    <n v="23755"/>
    <n v="0.1"/>
    <n v="26130.500000000004"/>
  </r>
  <r>
    <s v="EMP0924"/>
    <s v="EMEA"/>
    <s v="Germany"/>
    <x v="5"/>
    <s v="IC"/>
    <x v="124"/>
    <s v="Contractor"/>
    <d v="2017-08-24T00:00:00"/>
    <s v="Active"/>
    <s v="Technology"/>
    <s v="CC-IT-573"/>
    <n v="5"/>
    <s v=""/>
    <n v="8"/>
    <x v="2"/>
    <n v="0"/>
    <s v=""/>
    <n v="3"/>
    <s v="No"/>
    <s v="No"/>
    <s v="No"/>
    <n v="5"/>
    <s v="Low"/>
    <n v="32868"/>
    <n v="0.1"/>
    <n v="36154.800000000003"/>
  </r>
  <r>
    <s v="EMP0925"/>
    <s v="EMEA"/>
    <s v="Germany"/>
    <x v="2"/>
    <s v="IC"/>
    <x v="169"/>
    <s v="FTE"/>
    <d v="2017-08-17T00:00:00"/>
    <s v="Active"/>
    <s v="Commercial"/>
    <s v="CC-Sal-338"/>
    <n v="5"/>
    <s v=""/>
    <n v="8"/>
    <x v="2"/>
    <n v="0"/>
    <s v=""/>
    <n v="3"/>
    <s v="No"/>
    <s v="No"/>
    <s v="No"/>
    <n v="5"/>
    <s v="Low"/>
    <n v="39869"/>
    <n v="0.1"/>
    <n v="43855.9"/>
  </r>
  <r>
    <s v="EMP0926"/>
    <s v="EMEA"/>
    <s v="Germany"/>
    <x v="5"/>
    <s v="IC"/>
    <x v="87"/>
    <s v="FTE"/>
    <d v="2017-08-14T00:00:00"/>
    <s v="Active"/>
    <s v="Technology"/>
    <s v="CC-IT-572"/>
    <n v="5"/>
    <s v=""/>
    <n v="8"/>
    <x v="2"/>
    <n v="0"/>
    <s v=""/>
    <n v="4"/>
    <s v="No"/>
    <s v="No"/>
    <s v="No"/>
    <n v="3"/>
    <s v="Medium"/>
    <n v="31220"/>
    <n v="0.1"/>
    <n v="34342"/>
  </r>
  <r>
    <s v="EMP0927"/>
    <s v="EMEA"/>
    <s v="Germany"/>
    <x v="2"/>
    <s v="IC"/>
    <x v="93"/>
    <s v="FTE"/>
    <d v="2017-08-11T00:00:00"/>
    <s v="Active"/>
    <s v="Commercial"/>
    <s v="CC-Sal-330"/>
    <n v="5"/>
    <s v=""/>
    <n v="8"/>
    <x v="2"/>
    <n v="0"/>
    <s v=""/>
    <n v="3"/>
    <s v="No"/>
    <s v="No"/>
    <s v="No"/>
    <n v="4"/>
    <s v="Low"/>
    <n v="40365"/>
    <n v="0.1"/>
    <n v="44401.5"/>
  </r>
  <r>
    <s v="EMP0928"/>
    <s v="EMEA"/>
    <s v="Germany"/>
    <x v="5"/>
    <s v="IC"/>
    <x v="85"/>
    <s v="FTE"/>
    <d v="2017-08-04T00:00:00"/>
    <s v="Active"/>
    <s v="Technology"/>
    <s v="CC-IT-327"/>
    <n v="5"/>
    <s v=""/>
    <n v="8"/>
    <x v="2"/>
    <n v="0"/>
    <s v=""/>
    <n v="2"/>
    <s v="No"/>
    <s v="No"/>
    <s v="No"/>
    <n v="3"/>
    <s v="Medium"/>
    <n v="39726"/>
    <n v="0.1"/>
    <n v="43698.600000000006"/>
  </r>
  <r>
    <s v="EMP0929"/>
    <s v="EMEA"/>
    <s v="Germany"/>
    <x v="3"/>
    <s v="IC"/>
    <x v="180"/>
    <s v="Contractor"/>
    <d v="2017-07-28T00:00:00"/>
    <s v="Active"/>
    <s v="Manufacturing"/>
    <s v="CC-Ope-724"/>
    <n v="5"/>
    <s v=""/>
    <n v="8"/>
    <x v="2"/>
    <n v="0"/>
    <s v=""/>
    <n v="3"/>
    <s v="Yes"/>
    <s v="No"/>
    <s v="No"/>
    <n v="1"/>
    <s v="High"/>
    <n v="38514"/>
    <n v="0.1"/>
    <n v="42365.4"/>
  </r>
  <r>
    <s v="EMP0930"/>
    <s v="EMEA"/>
    <s v="Germany"/>
    <x v="1"/>
    <s v="IC"/>
    <x v="191"/>
    <s v="FTE"/>
    <d v="2017-07-25T00:00:00"/>
    <s v="Active"/>
    <s v="Controlling"/>
    <s v="CC-Fin-646"/>
    <n v="5"/>
    <s v=""/>
    <n v="8"/>
    <x v="2"/>
    <n v="0"/>
    <s v=""/>
    <n v="3"/>
    <s v="No"/>
    <s v="No"/>
    <s v="No"/>
    <n v="4"/>
    <s v="Low"/>
    <n v="42473"/>
    <n v="0.1"/>
    <n v="46720.3"/>
  </r>
  <r>
    <s v="EMP0931"/>
    <s v="EMEA"/>
    <s v="Germany"/>
    <x v="1"/>
    <s v="IC"/>
    <x v="173"/>
    <s v="FTE"/>
    <d v="2017-07-24T00:00:00"/>
    <s v="Active"/>
    <s v="Controlling"/>
    <s v="CC-Fin-204"/>
    <n v="5"/>
    <s v=""/>
    <n v="8"/>
    <x v="2"/>
    <n v="0"/>
    <s v=""/>
    <n v="4"/>
    <s v="No"/>
    <s v="No"/>
    <s v="No"/>
    <n v="4"/>
    <s v="Low"/>
    <n v="41748"/>
    <n v="0.1"/>
    <n v="45922.8"/>
  </r>
  <r>
    <s v="EMP0932"/>
    <s v="EMEA"/>
    <s v="Germany"/>
    <x v="4"/>
    <s v="VP"/>
    <x v="140"/>
    <s v="FTE"/>
    <d v="2017-07-22T00:00:00"/>
    <s v="Active"/>
    <s v="People Operations"/>
    <s v="CC-HR-159"/>
    <n v="2"/>
    <s v=""/>
    <n v="8"/>
    <x v="2"/>
    <n v="0"/>
    <s v=""/>
    <n v="4"/>
    <s v="No"/>
    <s v="No"/>
    <s v="No"/>
    <n v="5"/>
    <s v="Low"/>
    <n v="159860"/>
    <n v="0.25"/>
    <n v="199825"/>
  </r>
  <r>
    <s v="EMP0933"/>
    <s v="EMEA"/>
    <s v="Germany"/>
    <x v="3"/>
    <s v="IC"/>
    <x v="68"/>
    <s v="FTE"/>
    <d v="2017-07-21T00:00:00"/>
    <s v="Inactive"/>
    <s v="Manufacturing"/>
    <s v="CC-Ope-955"/>
    <n v="5"/>
    <d v="2023-03-20T00:00:00"/>
    <n v="5"/>
    <x v="1"/>
    <n v="0"/>
    <s v="Voluntary"/>
    <n v="2"/>
    <s v="Yes"/>
    <s v="Yes"/>
    <s v="No"/>
    <n v="1"/>
    <s v="High"/>
    <n v="48951"/>
    <n v="0.1"/>
    <n v="53846.100000000006"/>
  </r>
  <r>
    <s v="EMP0934"/>
    <s v="EMEA"/>
    <s v="Germany"/>
    <x v="5"/>
    <s v="IC"/>
    <x v="213"/>
    <s v="FTE"/>
    <d v="2017-07-15T00:00:00"/>
    <s v="Active"/>
    <s v="Technology"/>
    <s v="CC-IT-547"/>
    <n v="5"/>
    <s v=""/>
    <n v="8"/>
    <x v="2"/>
    <n v="0"/>
    <s v=""/>
    <n v="3"/>
    <s v="No"/>
    <s v="No"/>
    <s v="No"/>
    <n v="3"/>
    <s v="Medium"/>
    <n v="32214"/>
    <n v="0.1"/>
    <n v="35435.4"/>
  </r>
  <r>
    <s v="EMP0935"/>
    <s v="EMEA"/>
    <s v="Germany"/>
    <x v="0"/>
    <s v="IC"/>
    <x v="14"/>
    <s v="FTE"/>
    <d v="2017-07-14T00:00:00"/>
    <s v="Active"/>
    <s v="Logistics"/>
    <s v="CC-Sup-737"/>
    <n v="5"/>
    <s v=""/>
    <n v="8"/>
    <x v="2"/>
    <n v="0"/>
    <s v=""/>
    <n v="3"/>
    <s v="No"/>
    <s v="No"/>
    <s v="No"/>
    <n v="2"/>
    <s v="High"/>
    <n v="49158"/>
    <n v="0.1"/>
    <n v="54073.8"/>
  </r>
  <r>
    <s v="EMP0936"/>
    <s v="EMEA"/>
    <s v="Germany"/>
    <x v="3"/>
    <s v="IC"/>
    <x v="236"/>
    <s v="Contractor"/>
    <d v="2017-07-12T00:00:00"/>
    <s v="Active"/>
    <s v="Manufacturing"/>
    <s v="CC-Ope-818"/>
    <n v="5"/>
    <s v=""/>
    <n v="8"/>
    <x v="2"/>
    <n v="0"/>
    <s v=""/>
    <n v="4"/>
    <s v="No"/>
    <s v="Yes"/>
    <s v="Yes"/>
    <n v="1"/>
    <s v="High"/>
    <n v="46527"/>
    <n v="0.1"/>
    <n v="51179.700000000004"/>
  </r>
  <r>
    <s v="EMP0937"/>
    <s v="EMEA"/>
    <s v="Germany"/>
    <x v="4"/>
    <s v="IC"/>
    <x v="51"/>
    <s v="FTE"/>
    <d v="2017-07-12T00:00:00"/>
    <s v="Inactive"/>
    <s v="People Operations"/>
    <s v="CC-HR-612"/>
    <n v="5"/>
    <d v="2023-11-12T00:00:00"/>
    <n v="6"/>
    <x v="2"/>
    <n v="0"/>
    <s v="Voluntary"/>
    <n v="5"/>
    <s v="No"/>
    <s v="No"/>
    <s v="No"/>
    <n v="5"/>
    <s v="Low"/>
    <n v="30363"/>
    <n v="0.1"/>
    <n v="33399.300000000003"/>
  </r>
  <r>
    <s v="EMP0938"/>
    <s v="EMEA"/>
    <s v="Germany"/>
    <x v="2"/>
    <s v="IC"/>
    <x v="2"/>
    <s v="FTE"/>
    <d v="2017-07-08T00:00:00"/>
    <s v="Active"/>
    <s v="Commercial"/>
    <s v="CC-Sal-236"/>
    <n v="5"/>
    <s v=""/>
    <n v="8"/>
    <x v="2"/>
    <n v="0"/>
    <s v=""/>
    <n v="3"/>
    <s v="No"/>
    <s v="No"/>
    <s v="No"/>
    <n v="2"/>
    <s v="High"/>
    <n v="48966"/>
    <n v="0.1"/>
    <n v="53862.600000000006"/>
  </r>
  <r>
    <s v="EMP0939"/>
    <s v="EMEA"/>
    <s v="Germany"/>
    <x v="3"/>
    <s v="Manager"/>
    <x v="90"/>
    <s v="FTE"/>
    <d v="2017-07-06T00:00:00"/>
    <s v="Active"/>
    <s v="Manufacturing"/>
    <s v="CC-Ope-686"/>
    <n v="4"/>
    <s v=""/>
    <n v="8"/>
    <x v="2"/>
    <n v="0"/>
    <s v=""/>
    <n v="3"/>
    <s v="No"/>
    <s v="No"/>
    <s v="No"/>
    <n v="1"/>
    <s v="High"/>
    <n v="84259"/>
    <n v="0.15"/>
    <n v="96897.849999999991"/>
  </r>
  <r>
    <s v="EMP0940"/>
    <s v="EMEA"/>
    <s v="Germany"/>
    <x v="2"/>
    <s v="IC"/>
    <x v="64"/>
    <s v="FTE"/>
    <d v="2017-07-06T00:00:00"/>
    <s v="Active"/>
    <s v="Commercial"/>
    <s v="CC-Sal-777"/>
    <n v="5"/>
    <s v=""/>
    <n v="8"/>
    <x v="2"/>
    <n v="0"/>
    <s v=""/>
    <n v="5"/>
    <s v="No"/>
    <s v="No"/>
    <s v="No"/>
    <n v="4"/>
    <s v="Low"/>
    <n v="41390"/>
    <n v="0.1"/>
    <n v="45529.000000000007"/>
  </r>
  <r>
    <s v="EMP0941"/>
    <s v="EMEA"/>
    <s v="Germany"/>
    <x v="3"/>
    <s v="IC"/>
    <x v="224"/>
    <s v="FTE"/>
    <d v="2017-07-03T00:00:00"/>
    <s v="Active"/>
    <s v="Manufacturing"/>
    <s v="CC-Ope-855"/>
    <n v="5"/>
    <s v=""/>
    <n v="8"/>
    <x v="2"/>
    <n v="0"/>
    <s v=""/>
    <n v="3"/>
    <s v="No"/>
    <s v="No"/>
    <s v="No"/>
    <n v="1"/>
    <s v="High"/>
    <n v="44721"/>
    <n v="0.1"/>
    <n v="49193.100000000006"/>
  </r>
  <r>
    <s v="EMP0942"/>
    <s v="EMEA"/>
    <s v="Germany"/>
    <x v="4"/>
    <s v="IC"/>
    <x v="179"/>
    <s v="FTE"/>
    <d v="2017-07-02T00:00:00"/>
    <s v="Active"/>
    <s v="People Operations"/>
    <s v="CC-HR-883"/>
    <n v="5"/>
    <s v=""/>
    <n v="8"/>
    <x v="2"/>
    <n v="0"/>
    <s v=""/>
    <n v="4"/>
    <s v="Yes"/>
    <s v="No"/>
    <s v="No"/>
    <n v="1"/>
    <s v="High"/>
    <n v="37787"/>
    <n v="0.1"/>
    <n v="41565.700000000004"/>
  </r>
  <r>
    <s v="EMP0943"/>
    <s v="EMEA"/>
    <s v="Germany"/>
    <x v="0"/>
    <s v="IC"/>
    <x v="224"/>
    <s v="FTE"/>
    <d v="2017-06-23T00:00:00"/>
    <s v="Inactive"/>
    <s v="Logistics"/>
    <s v="CC-Sup-460"/>
    <n v="5"/>
    <d v="2018-12-23T00:00:00"/>
    <n v="1"/>
    <x v="0"/>
    <n v="1"/>
    <s v="Involuntary"/>
    <n v="4"/>
    <s v="No"/>
    <s v="Yes"/>
    <s v="No"/>
    <n v="2"/>
    <s v="High"/>
    <n v="27692"/>
    <n v="0.1"/>
    <n v="30461.200000000001"/>
  </r>
  <r>
    <s v="EMP0944"/>
    <s v="EMEA"/>
    <s v="Germany"/>
    <x v="4"/>
    <s v="IC"/>
    <x v="118"/>
    <s v="FTE"/>
    <d v="2017-06-12T00:00:00"/>
    <s v="Active"/>
    <s v="People Operations"/>
    <s v="CC-HR-480"/>
    <n v="5"/>
    <s v=""/>
    <n v="8"/>
    <x v="2"/>
    <n v="0"/>
    <s v=""/>
    <n v="4"/>
    <s v="No"/>
    <s v="Yes"/>
    <s v="Yes"/>
    <n v="3"/>
    <s v="Medium"/>
    <n v="21736"/>
    <n v="0.1"/>
    <n v="23909.600000000002"/>
  </r>
  <r>
    <s v="EMP0945"/>
    <s v="EMEA"/>
    <s v="Germany"/>
    <x v="2"/>
    <s v="IC"/>
    <x v="101"/>
    <s v="FTE"/>
    <d v="2017-06-12T00:00:00"/>
    <s v="Active"/>
    <s v="Commercial"/>
    <s v="CC-Sal-833"/>
    <n v="5"/>
    <s v=""/>
    <n v="8"/>
    <x v="2"/>
    <n v="0"/>
    <s v=""/>
    <n v="3"/>
    <s v="Yes"/>
    <s v="Yes"/>
    <s v="No"/>
    <n v="3"/>
    <s v="Medium"/>
    <n v="37303"/>
    <n v="0.1"/>
    <n v="41033.300000000003"/>
  </r>
  <r>
    <s v="EMP0946"/>
    <s v="EMEA"/>
    <s v="Germany"/>
    <x v="3"/>
    <s v="Director"/>
    <x v="154"/>
    <s v="FTE"/>
    <d v="2017-06-09T00:00:00"/>
    <s v="Active"/>
    <s v="Manufacturing"/>
    <s v="CC-Ope-570"/>
    <n v="3"/>
    <s v=""/>
    <n v="8"/>
    <x v="2"/>
    <n v="0"/>
    <s v=""/>
    <n v="2"/>
    <s v="No"/>
    <s v="No"/>
    <s v="No"/>
    <n v="3"/>
    <s v="Medium"/>
    <n v="117236"/>
    <n v="0.2"/>
    <n v="140683.19999999998"/>
  </r>
  <r>
    <s v="EMP0947"/>
    <s v="EMEA"/>
    <s v="Germany"/>
    <x v="5"/>
    <s v="IC"/>
    <x v="9"/>
    <s v="FTE"/>
    <d v="2017-05-27T00:00:00"/>
    <s v="Active"/>
    <s v="Technology"/>
    <s v="CC-IT-618"/>
    <n v="5"/>
    <s v=""/>
    <n v="8"/>
    <x v="2"/>
    <n v="0"/>
    <s v=""/>
    <n v="5"/>
    <s v="No"/>
    <s v="No"/>
    <s v="No"/>
    <n v="3"/>
    <s v="Medium"/>
    <n v="24765"/>
    <n v="0.1"/>
    <n v="27241.500000000004"/>
  </r>
  <r>
    <s v="EMP0948"/>
    <s v="EMEA"/>
    <s v="Germany"/>
    <x v="1"/>
    <s v="IC"/>
    <x v="185"/>
    <s v="FTE"/>
    <d v="2017-05-25T00:00:00"/>
    <s v="Active"/>
    <s v="Controlling"/>
    <s v="CC-Fin-462"/>
    <n v="5"/>
    <s v=""/>
    <n v="8"/>
    <x v="2"/>
    <n v="0"/>
    <s v=""/>
    <n v="5"/>
    <s v="No"/>
    <s v="No"/>
    <s v="No"/>
    <n v="5"/>
    <s v="Low"/>
    <n v="42340"/>
    <n v="0.1"/>
    <n v="46574.000000000007"/>
  </r>
  <r>
    <s v="EMP0949"/>
    <s v="EMEA"/>
    <s v="Germany"/>
    <x v="3"/>
    <s v="IC"/>
    <x v="74"/>
    <s v="FTE"/>
    <d v="2017-05-19T00:00:00"/>
    <s v="Active"/>
    <s v="Manufacturing"/>
    <s v="CC-Ope-264"/>
    <n v="5"/>
    <s v=""/>
    <n v="8"/>
    <x v="2"/>
    <n v="0"/>
    <s v=""/>
    <n v="3"/>
    <s v="Yes"/>
    <s v="No"/>
    <s v="No"/>
    <n v="1"/>
    <s v="High"/>
    <n v="29069"/>
    <n v="0.1"/>
    <n v="31975.9"/>
  </r>
  <r>
    <s v="EMP0950"/>
    <s v="EMEA"/>
    <s v="Germany"/>
    <x v="4"/>
    <s v="Director"/>
    <x v="189"/>
    <s v="FTE"/>
    <d v="2017-05-17T00:00:00"/>
    <s v="Active"/>
    <s v="People Operations"/>
    <s v="CC-HR-438"/>
    <n v="3"/>
    <s v=""/>
    <n v="8"/>
    <x v="2"/>
    <n v="0"/>
    <s v=""/>
    <n v="4"/>
    <s v="No"/>
    <s v="No"/>
    <s v="No"/>
    <n v="3"/>
    <s v="Medium"/>
    <n v="92217"/>
    <n v="0.2"/>
    <n v="110660.4"/>
  </r>
  <r>
    <s v="EMP0951"/>
    <s v="EMEA"/>
    <s v="Germany"/>
    <x v="4"/>
    <s v="IC"/>
    <x v="59"/>
    <s v="FTE"/>
    <d v="2017-05-08T00:00:00"/>
    <s v="Active"/>
    <s v="People Operations"/>
    <s v="CC-HR-570"/>
    <n v="5"/>
    <s v=""/>
    <n v="8"/>
    <x v="2"/>
    <n v="0"/>
    <s v=""/>
    <n v="5"/>
    <s v="No"/>
    <s v="No"/>
    <s v="No"/>
    <n v="3"/>
    <s v="Medium"/>
    <n v="31799"/>
    <n v="0.1"/>
    <n v="34978.9"/>
  </r>
  <r>
    <s v="EMP0952"/>
    <s v="EMEA"/>
    <s v="Germany"/>
    <x v="2"/>
    <s v="IC"/>
    <x v="146"/>
    <s v="FTE"/>
    <d v="2017-05-07T00:00:00"/>
    <s v="Active"/>
    <s v="Commercial"/>
    <s v="CC-Sal-811"/>
    <n v="5"/>
    <s v=""/>
    <n v="8"/>
    <x v="2"/>
    <n v="0"/>
    <s v=""/>
    <n v="3"/>
    <s v="No"/>
    <s v="No"/>
    <s v="No"/>
    <n v="2"/>
    <s v="High"/>
    <n v="30507"/>
    <n v="0.1"/>
    <n v="33557.700000000004"/>
  </r>
  <r>
    <s v="EMP0953"/>
    <s v="EMEA"/>
    <s v="Germany"/>
    <x v="3"/>
    <s v="IC"/>
    <x v="180"/>
    <s v="FTE"/>
    <d v="2017-04-28T00:00:00"/>
    <s v="Active"/>
    <s v="Manufacturing"/>
    <s v="CC-Ope-769"/>
    <n v="5"/>
    <s v=""/>
    <n v="8"/>
    <x v="2"/>
    <n v="0"/>
    <s v=""/>
    <n v="3"/>
    <s v="No"/>
    <s v="No"/>
    <s v="No"/>
    <n v="4"/>
    <s v="Low"/>
    <n v="33182"/>
    <n v="0.1"/>
    <n v="36500.200000000004"/>
  </r>
  <r>
    <s v="EMP0954"/>
    <s v="EMEA"/>
    <s v="Germany"/>
    <x v="3"/>
    <s v="IC"/>
    <x v="88"/>
    <s v="Contractor"/>
    <d v="2017-04-23T00:00:00"/>
    <s v="Active"/>
    <s v="Manufacturing"/>
    <s v="CC-Ope-860"/>
    <n v="5"/>
    <s v=""/>
    <n v="8"/>
    <x v="2"/>
    <n v="0"/>
    <s v=""/>
    <n v="3"/>
    <s v="No"/>
    <s v="No"/>
    <s v="No"/>
    <n v="3"/>
    <s v="Medium"/>
    <n v="31853"/>
    <n v="0.1"/>
    <n v="35038.300000000003"/>
  </r>
  <r>
    <s v="EMP0955"/>
    <s v="EMEA"/>
    <s v="Germany"/>
    <x v="0"/>
    <s v="IC"/>
    <x v="51"/>
    <s v="FTE"/>
    <d v="2017-04-20T00:00:00"/>
    <s v="Active"/>
    <s v="Logistics"/>
    <s v="CC-Sup-540"/>
    <n v="5"/>
    <s v=""/>
    <n v="8"/>
    <x v="2"/>
    <n v="0"/>
    <s v=""/>
    <n v="3"/>
    <s v="No"/>
    <s v="No"/>
    <s v="No"/>
    <n v="2"/>
    <s v="High"/>
    <n v="25575"/>
    <n v="0.1"/>
    <n v="28132.500000000004"/>
  </r>
  <r>
    <s v="EMP0956"/>
    <s v="EMEA"/>
    <s v="Germany"/>
    <x v="1"/>
    <s v="Manager"/>
    <x v="216"/>
    <s v="FTE"/>
    <d v="2017-04-19T00:00:00"/>
    <s v="Active"/>
    <s v="Controlling"/>
    <s v="CC-Fin-957"/>
    <n v="4"/>
    <s v=""/>
    <n v="8"/>
    <x v="2"/>
    <n v="0"/>
    <s v=""/>
    <n v="4"/>
    <s v="No"/>
    <s v="No"/>
    <s v="No"/>
    <n v="2"/>
    <s v="High"/>
    <n v="50414"/>
    <n v="0.15"/>
    <n v="57976.1"/>
  </r>
  <r>
    <s v="EMP0957"/>
    <s v="EMEA"/>
    <s v="Germany"/>
    <x v="0"/>
    <s v="IC"/>
    <x v="135"/>
    <s v="FTE"/>
    <d v="2017-04-17T00:00:00"/>
    <s v="Active"/>
    <s v="Logistics"/>
    <s v="CC-Sup-146"/>
    <n v="5"/>
    <s v=""/>
    <n v="8"/>
    <x v="2"/>
    <n v="0"/>
    <s v=""/>
    <n v="3"/>
    <s v="No"/>
    <s v="No"/>
    <s v="No"/>
    <n v="4"/>
    <s v="Low"/>
    <n v="28867"/>
    <n v="0.1"/>
    <n v="31753.700000000004"/>
  </r>
  <r>
    <s v="EMP0958"/>
    <s v="EMEA"/>
    <s v="Germany"/>
    <x v="0"/>
    <s v="IC"/>
    <x v="26"/>
    <s v="FTE"/>
    <d v="2017-04-16T00:00:00"/>
    <s v="Active"/>
    <s v="Logistics"/>
    <s v="CC-Sup-542"/>
    <n v="5"/>
    <s v=""/>
    <n v="8"/>
    <x v="2"/>
    <n v="0"/>
    <s v=""/>
    <n v="4"/>
    <s v="Yes"/>
    <s v="No"/>
    <s v="No"/>
    <n v="1"/>
    <s v="High"/>
    <n v="37603"/>
    <n v="0.1"/>
    <n v="41363.300000000003"/>
  </r>
  <r>
    <s v="EMP0959"/>
    <s v="EMEA"/>
    <s v="Germany"/>
    <x v="5"/>
    <s v="IC"/>
    <x v="68"/>
    <s v="Contractor"/>
    <d v="2017-04-14T00:00:00"/>
    <s v="Active"/>
    <s v="Technology"/>
    <s v="CC-IT-773"/>
    <n v="5"/>
    <s v=""/>
    <n v="8"/>
    <x v="2"/>
    <n v="0"/>
    <s v=""/>
    <n v="3"/>
    <s v="Yes"/>
    <s v="No"/>
    <s v="No"/>
    <n v="3"/>
    <s v="Medium"/>
    <n v="34409"/>
    <n v="0.1"/>
    <n v="37849.9"/>
  </r>
  <r>
    <s v="EMP0960"/>
    <s v="EMEA"/>
    <s v="Germany"/>
    <x v="4"/>
    <s v="IC"/>
    <x v="118"/>
    <s v="FTE"/>
    <d v="2017-04-14T00:00:00"/>
    <s v="Inactive"/>
    <s v="People Operations"/>
    <s v="CC-HR-399"/>
    <n v="5"/>
    <d v="2023-09-09T00:00:00"/>
    <n v="6"/>
    <x v="2"/>
    <n v="0"/>
    <s v="Voluntary"/>
    <n v="3"/>
    <s v="Yes"/>
    <s v="No"/>
    <s v="No"/>
    <n v="3"/>
    <s v="Medium"/>
    <n v="20438"/>
    <n v="0.1"/>
    <n v="22481.800000000003"/>
  </r>
  <r>
    <s v="EMP0961"/>
    <s v="EMEA"/>
    <s v="Germany"/>
    <x v="5"/>
    <s v="IC"/>
    <x v="203"/>
    <s v="FTE"/>
    <d v="2017-04-14T00:00:00"/>
    <s v="Active"/>
    <s v="Technology"/>
    <s v="CC-IT-665"/>
    <n v="5"/>
    <s v=""/>
    <n v="8"/>
    <x v="2"/>
    <n v="0"/>
    <s v=""/>
    <n v="4"/>
    <s v="No"/>
    <s v="No"/>
    <s v="No"/>
    <n v="3"/>
    <s v="Medium"/>
    <n v="37466"/>
    <n v="0.1"/>
    <n v="41212.600000000006"/>
  </r>
  <r>
    <s v="EMP0962"/>
    <s v="EMEA"/>
    <s v="Germany"/>
    <x v="5"/>
    <s v="Manager"/>
    <x v="196"/>
    <s v="FTE"/>
    <d v="2017-04-10T00:00:00"/>
    <s v="Active"/>
    <s v="Technology"/>
    <s v="CC-IT-560"/>
    <n v="4"/>
    <s v=""/>
    <n v="8"/>
    <x v="2"/>
    <n v="0"/>
    <s v=""/>
    <n v="3"/>
    <s v="Yes"/>
    <s v="Yes"/>
    <s v="No"/>
    <n v="3"/>
    <s v="Medium"/>
    <n v="65894"/>
    <n v="0.15"/>
    <n v="75778.099999999991"/>
  </r>
  <r>
    <s v="EMP0963"/>
    <s v="EMEA"/>
    <s v="Germany"/>
    <x v="2"/>
    <s v="IC"/>
    <x v="123"/>
    <s v="FTE"/>
    <d v="2017-04-09T00:00:00"/>
    <s v="Active"/>
    <s v="Commercial"/>
    <s v="CC-Sal-208"/>
    <n v="5"/>
    <s v=""/>
    <n v="8"/>
    <x v="2"/>
    <n v="0"/>
    <s v=""/>
    <n v="3"/>
    <s v="Yes"/>
    <s v="No"/>
    <s v="No"/>
    <n v="2"/>
    <s v="High"/>
    <n v="26357"/>
    <n v="0.1"/>
    <n v="28992.7"/>
  </r>
  <r>
    <s v="EMP0964"/>
    <s v="EMEA"/>
    <s v="Germany"/>
    <x v="0"/>
    <s v="IC"/>
    <x v="99"/>
    <s v="Contractor"/>
    <d v="2017-04-05T00:00:00"/>
    <s v="Inactive"/>
    <s v="Logistics"/>
    <s v="CC-Sup-399"/>
    <n v="5"/>
    <d v="2020-04-04T00:00:00"/>
    <n v="2"/>
    <x v="0"/>
    <n v="1"/>
    <s v="Involuntary"/>
    <n v="4"/>
    <s v="No"/>
    <s v="No"/>
    <s v="No"/>
    <n v="4"/>
    <s v="Low"/>
    <n v="49534"/>
    <n v="0.1"/>
    <n v="54487.4"/>
  </r>
  <r>
    <s v="EMP0965"/>
    <s v="EMEA"/>
    <s v="Germany"/>
    <x v="5"/>
    <s v="IC"/>
    <x v="158"/>
    <s v="FTE"/>
    <d v="2017-04-04T00:00:00"/>
    <s v="Active"/>
    <s v="Technology"/>
    <s v="CC-IT-618"/>
    <n v="5"/>
    <s v=""/>
    <n v="8"/>
    <x v="2"/>
    <n v="0"/>
    <s v=""/>
    <n v="4"/>
    <s v="No"/>
    <s v="No"/>
    <s v="No"/>
    <n v="3"/>
    <s v="Medium"/>
    <n v="33981"/>
    <n v="0.1"/>
    <n v="37379.100000000006"/>
  </r>
  <r>
    <s v="EMP0966"/>
    <s v="EMEA"/>
    <s v="Germany"/>
    <x v="2"/>
    <s v="IC"/>
    <x v="39"/>
    <s v="FTE"/>
    <d v="2017-04-03T00:00:00"/>
    <s v="Active"/>
    <s v="Commercial"/>
    <s v="CC-Sal-477"/>
    <n v="5"/>
    <s v=""/>
    <n v="8"/>
    <x v="2"/>
    <n v="0"/>
    <s v=""/>
    <n v="3"/>
    <s v="No"/>
    <s v="Yes"/>
    <s v="Yes"/>
    <n v="5"/>
    <s v="Low"/>
    <n v="33163"/>
    <n v="0.1"/>
    <n v="36479.300000000003"/>
  </r>
  <r>
    <s v="EMP0967"/>
    <s v="EMEA"/>
    <s v="Germany"/>
    <x v="5"/>
    <s v="IC"/>
    <x v="118"/>
    <s v="FTE"/>
    <d v="2017-03-20T00:00:00"/>
    <s v="Active"/>
    <s v="Technology"/>
    <s v="CC-IT-346"/>
    <n v="5"/>
    <s v=""/>
    <n v="8"/>
    <x v="2"/>
    <n v="0"/>
    <s v=""/>
    <n v="3"/>
    <s v="No"/>
    <s v="Yes"/>
    <s v="Yes"/>
    <n v="3"/>
    <s v="Medium"/>
    <n v="48403"/>
    <n v="0.1"/>
    <n v="53243.3"/>
  </r>
  <r>
    <s v="EMP0968"/>
    <s v="EMEA"/>
    <s v="Germany"/>
    <x v="4"/>
    <s v="IC"/>
    <x v="166"/>
    <s v="Contractor"/>
    <d v="2017-03-20T00:00:00"/>
    <s v="Active"/>
    <s v="People Operations"/>
    <s v="CC-HR-869"/>
    <n v="5"/>
    <s v=""/>
    <n v="8"/>
    <x v="2"/>
    <n v="0"/>
    <s v=""/>
    <n v="3"/>
    <s v="No"/>
    <s v="Yes"/>
    <s v="Yes"/>
    <n v="1"/>
    <s v="High"/>
    <n v="25416"/>
    <n v="0.1"/>
    <n v="27957.600000000002"/>
  </r>
  <r>
    <s v="EMP0969"/>
    <s v="EMEA"/>
    <s v="Germany"/>
    <x v="3"/>
    <s v="IC"/>
    <x v="169"/>
    <s v="Contractor"/>
    <d v="2017-03-17T00:00:00"/>
    <s v="Active"/>
    <s v="Manufacturing"/>
    <s v="CC-Ope-688"/>
    <n v="5"/>
    <s v=""/>
    <n v="8"/>
    <x v="2"/>
    <n v="0"/>
    <s v=""/>
    <n v="4"/>
    <s v="No"/>
    <s v="No"/>
    <s v="No"/>
    <n v="3"/>
    <s v="Medium"/>
    <n v="40226"/>
    <n v="0.1"/>
    <n v="44248.600000000006"/>
  </r>
  <r>
    <s v="EMP0970"/>
    <s v="EMEA"/>
    <s v="Germany"/>
    <x v="4"/>
    <s v="Manager"/>
    <x v="75"/>
    <s v="Contractor"/>
    <d v="2017-03-16T00:00:00"/>
    <s v="Active"/>
    <s v="People Operations"/>
    <s v="CC-HR-543"/>
    <n v="4"/>
    <s v=""/>
    <n v="8"/>
    <x v="2"/>
    <n v="0"/>
    <s v=""/>
    <n v="5"/>
    <s v="No"/>
    <s v="No"/>
    <s v="No"/>
    <n v="3"/>
    <s v="Medium"/>
    <n v="71577"/>
    <n v="0.15"/>
    <n v="82313.549999999988"/>
  </r>
  <r>
    <s v="EMP0971"/>
    <s v="EMEA"/>
    <s v="Germany"/>
    <x v="2"/>
    <s v="IC"/>
    <x v="190"/>
    <s v="FTE"/>
    <d v="2017-03-13T00:00:00"/>
    <s v="Active"/>
    <s v="Commercial"/>
    <s v="CC-Sal-263"/>
    <n v="5"/>
    <s v=""/>
    <n v="8"/>
    <x v="2"/>
    <n v="0"/>
    <s v=""/>
    <n v="3"/>
    <s v="No"/>
    <s v="No"/>
    <s v="No"/>
    <n v="3"/>
    <s v="Medium"/>
    <n v="49919"/>
    <n v="0.1"/>
    <n v="54910.9"/>
  </r>
  <r>
    <s v="EMP0972"/>
    <s v="EMEA"/>
    <s v="Germany"/>
    <x v="1"/>
    <s v="IC"/>
    <x v="47"/>
    <s v="FTE"/>
    <d v="2017-03-12T00:00:00"/>
    <s v="Active"/>
    <s v="Controlling"/>
    <s v="CC-Fin-745"/>
    <n v="5"/>
    <s v=""/>
    <n v="8"/>
    <x v="2"/>
    <n v="0"/>
    <s v=""/>
    <n v="5"/>
    <s v="Yes"/>
    <s v="No"/>
    <s v="No"/>
    <n v="2"/>
    <s v="High"/>
    <n v="49519"/>
    <n v="0.1"/>
    <n v="54470.9"/>
  </r>
  <r>
    <s v="EMP0973"/>
    <s v="EMEA"/>
    <s v="Germany"/>
    <x v="5"/>
    <s v="IC"/>
    <x v="134"/>
    <s v="FTE"/>
    <d v="2017-03-12T00:00:00"/>
    <s v="Active"/>
    <s v="Technology"/>
    <s v="CC-IT-321"/>
    <n v="5"/>
    <s v=""/>
    <n v="8"/>
    <x v="2"/>
    <n v="0"/>
    <s v=""/>
    <n v="5"/>
    <s v="No"/>
    <s v="No"/>
    <s v="No"/>
    <n v="4"/>
    <s v="Low"/>
    <n v="40441"/>
    <n v="0.1"/>
    <n v="44485.100000000006"/>
  </r>
  <r>
    <s v="EMP0974"/>
    <s v="EMEA"/>
    <s v="Germany"/>
    <x v="0"/>
    <s v="IC"/>
    <x v="179"/>
    <s v="FTE"/>
    <d v="2017-03-09T00:00:00"/>
    <s v="Active"/>
    <s v="Logistics"/>
    <s v="CC-Sup-242"/>
    <n v="5"/>
    <s v=""/>
    <n v="8"/>
    <x v="2"/>
    <n v="0"/>
    <s v=""/>
    <n v="5"/>
    <s v="No"/>
    <s v="No"/>
    <s v="No"/>
    <n v="5"/>
    <s v="Low"/>
    <n v="25956"/>
    <n v="0.1"/>
    <n v="28551.600000000002"/>
  </r>
  <r>
    <s v="EMP0975"/>
    <s v="EMEA"/>
    <s v="Germany"/>
    <x v="2"/>
    <s v="IC"/>
    <x v="177"/>
    <s v="Contractor"/>
    <d v="2017-03-07T00:00:00"/>
    <s v="Active"/>
    <s v="Commercial"/>
    <s v="CC-Sal-134"/>
    <n v="5"/>
    <s v=""/>
    <n v="8"/>
    <x v="2"/>
    <n v="0"/>
    <s v=""/>
    <n v="4"/>
    <s v="No"/>
    <s v="No"/>
    <s v="No"/>
    <n v="4"/>
    <s v="Low"/>
    <n v="33893"/>
    <n v="0.1"/>
    <n v="37282.300000000003"/>
  </r>
  <r>
    <s v="EMP0976"/>
    <s v="EMEA"/>
    <s v="Germany"/>
    <x v="2"/>
    <s v="Director"/>
    <x v="206"/>
    <s v="FTE"/>
    <d v="2017-03-06T00:00:00"/>
    <s v="Active"/>
    <s v="Commercial"/>
    <s v="CC-Sal-982"/>
    <n v="3"/>
    <s v=""/>
    <n v="8"/>
    <x v="2"/>
    <n v="0"/>
    <s v=""/>
    <n v="5"/>
    <s v="No"/>
    <s v="No"/>
    <s v="No"/>
    <n v="4"/>
    <s v="Low"/>
    <n v="103348"/>
    <n v="0.2"/>
    <n v="124017.59999999999"/>
  </r>
  <r>
    <s v="EMP0977"/>
    <s v="EMEA"/>
    <s v="Germany"/>
    <x v="3"/>
    <s v="IC"/>
    <x v="1"/>
    <s v="FTE"/>
    <d v="2017-03-05T00:00:00"/>
    <s v="Active"/>
    <s v="Manufacturing"/>
    <s v="CC-Ope-960"/>
    <n v="5"/>
    <s v=""/>
    <n v="8"/>
    <x v="2"/>
    <n v="0"/>
    <s v=""/>
    <n v="3"/>
    <s v="No"/>
    <s v="No"/>
    <s v="No"/>
    <n v="3"/>
    <s v="Medium"/>
    <n v="44697"/>
    <n v="0.1"/>
    <n v="49166.700000000004"/>
  </r>
  <r>
    <s v="EMP0978"/>
    <s v="EMEA"/>
    <s v="Germany"/>
    <x v="2"/>
    <s v="IC"/>
    <x v="95"/>
    <s v="FTE"/>
    <d v="2017-03-04T00:00:00"/>
    <s v="Active"/>
    <s v="Commercial"/>
    <s v="CC-Sal-326"/>
    <n v="5"/>
    <s v=""/>
    <n v="8"/>
    <x v="2"/>
    <n v="0"/>
    <s v=""/>
    <n v="2"/>
    <s v="No"/>
    <s v="No"/>
    <s v="No"/>
    <n v="1"/>
    <s v="High"/>
    <n v="36976"/>
    <n v="0.1"/>
    <n v="40673.600000000006"/>
  </r>
  <r>
    <s v="EMP0979"/>
    <s v="EMEA"/>
    <s v="Germany"/>
    <x v="0"/>
    <s v="IC"/>
    <x v="224"/>
    <s v="FTE"/>
    <d v="2017-03-01T00:00:00"/>
    <s v="Active"/>
    <s v="Logistics"/>
    <s v="CC-Sup-952"/>
    <n v="5"/>
    <s v=""/>
    <n v="8"/>
    <x v="2"/>
    <n v="0"/>
    <s v=""/>
    <n v="2"/>
    <s v="No"/>
    <s v="No"/>
    <s v="No"/>
    <n v="3"/>
    <s v="Medium"/>
    <n v="27663"/>
    <n v="0.1"/>
    <n v="30429.300000000003"/>
  </r>
  <r>
    <s v="EMP0980"/>
    <s v="EMEA"/>
    <s v="Germany"/>
    <x v="2"/>
    <s v="IC"/>
    <x v="244"/>
    <s v="FTE"/>
    <d v="2017-02-25T00:00:00"/>
    <s v="Active"/>
    <s v="Commercial"/>
    <s v="CC-Sal-627"/>
    <n v="5"/>
    <s v=""/>
    <n v="8"/>
    <x v="2"/>
    <n v="0"/>
    <s v=""/>
    <n v="4"/>
    <s v="No"/>
    <s v="No"/>
    <s v="No"/>
    <n v="4"/>
    <s v="Low"/>
    <n v="21411"/>
    <n v="0.1"/>
    <n v="23552.100000000002"/>
  </r>
  <r>
    <s v="EMP0981"/>
    <s v="EMEA"/>
    <s v="Germany"/>
    <x v="0"/>
    <s v="IC"/>
    <x v="67"/>
    <s v="FTE"/>
    <d v="2017-02-21T00:00:00"/>
    <s v="Active"/>
    <s v="Logistics"/>
    <s v="CC-Sup-363"/>
    <n v="5"/>
    <s v=""/>
    <n v="9"/>
    <x v="2"/>
    <n v="0"/>
    <s v=""/>
    <n v="3"/>
    <s v="No"/>
    <s v="No"/>
    <s v="No"/>
    <n v="4"/>
    <s v="Low"/>
    <n v="22925"/>
    <n v="0.1"/>
    <n v="25217.500000000004"/>
  </r>
  <r>
    <s v="EMP0982"/>
    <s v="EMEA"/>
    <s v="Germany"/>
    <x v="5"/>
    <s v="Manager"/>
    <x v="209"/>
    <s v="FTE"/>
    <d v="2017-02-18T00:00:00"/>
    <s v="Active"/>
    <s v="Technology"/>
    <s v="CC-IT-432"/>
    <n v="4"/>
    <s v=""/>
    <n v="9"/>
    <x v="2"/>
    <n v="0"/>
    <s v=""/>
    <n v="3"/>
    <s v="No"/>
    <s v="No"/>
    <s v="No"/>
    <n v="2"/>
    <s v="High"/>
    <n v="81568"/>
    <n v="0.15"/>
    <n v="93803.199999999997"/>
  </r>
  <r>
    <s v="EMP0983"/>
    <s v="EMEA"/>
    <s v="Germany"/>
    <x v="4"/>
    <s v="IC"/>
    <x v="169"/>
    <s v="FTE"/>
    <d v="2017-02-17T00:00:00"/>
    <s v="Inactive"/>
    <s v="People Operations"/>
    <s v="CC-HR-901"/>
    <n v="5"/>
    <d v="2023-01-27T00:00:00"/>
    <n v="5"/>
    <x v="1"/>
    <n v="0"/>
    <s v="Voluntary"/>
    <n v="4"/>
    <s v="No"/>
    <s v="No"/>
    <s v="No"/>
    <n v="4"/>
    <s v="Low"/>
    <n v="29706"/>
    <n v="0.1"/>
    <n v="32676.600000000002"/>
  </r>
  <r>
    <s v="EMP0984"/>
    <s v="EMEA"/>
    <s v="Germany"/>
    <x v="0"/>
    <s v="IC"/>
    <x v="181"/>
    <s v="FTE"/>
    <d v="2017-02-16T00:00:00"/>
    <s v="Active"/>
    <s v="Logistics"/>
    <s v="CC-Sup-277"/>
    <n v="5"/>
    <s v=""/>
    <n v="9"/>
    <x v="2"/>
    <n v="0"/>
    <s v=""/>
    <n v="4"/>
    <s v="No"/>
    <s v="Yes"/>
    <s v="No"/>
    <n v="5"/>
    <s v="Low"/>
    <n v="37736"/>
    <n v="0.1"/>
    <n v="41509.600000000006"/>
  </r>
  <r>
    <s v="EMP0985"/>
    <s v="EMEA"/>
    <s v="Germany"/>
    <x v="2"/>
    <s v="IC"/>
    <x v="145"/>
    <s v="FTE"/>
    <d v="2017-02-14T00:00:00"/>
    <s v="Active"/>
    <s v="Commercial"/>
    <s v="CC-Sal-708"/>
    <n v="5"/>
    <s v=""/>
    <n v="9"/>
    <x v="2"/>
    <n v="0"/>
    <s v=""/>
    <n v="4"/>
    <s v="No"/>
    <s v="No"/>
    <s v="No"/>
    <n v="5"/>
    <s v="Low"/>
    <n v="21241"/>
    <n v="0.1"/>
    <n v="23365.100000000002"/>
  </r>
  <r>
    <s v="EMP0986"/>
    <s v="EMEA"/>
    <s v="Germany"/>
    <x v="2"/>
    <s v="IC"/>
    <x v="152"/>
    <s v="FTE"/>
    <d v="2017-02-11T00:00:00"/>
    <s v="Active"/>
    <s v="Commercial"/>
    <s v="CC-Sal-107"/>
    <n v="5"/>
    <s v=""/>
    <n v="9"/>
    <x v="2"/>
    <n v="0"/>
    <s v=""/>
    <n v="4"/>
    <s v="No"/>
    <s v="No"/>
    <s v="No"/>
    <n v="5"/>
    <s v="Low"/>
    <n v="48295"/>
    <n v="0.1"/>
    <n v="53124.500000000007"/>
  </r>
  <r>
    <s v="EMP0987"/>
    <s v="EMEA"/>
    <s v="Germany"/>
    <x v="0"/>
    <s v="VP"/>
    <x v="38"/>
    <s v="FTE"/>
    <d v="2017-02-01T00:00:00"/>
    <s v="Active"/>
    <s v="Logistics"/>
    <s v="CC-Sup-596"/>
    <n v="2"/>
    <s v=""/>
    <n v="9"/>
    <x v="2"/>
    <n v="0"/>
    <s v=""/>
    <n v="3"/>
    <s v="No"/>
    <s v="Yes"/>
    <s v="No"/>
    <n v="2"/>
    <s v="High"/>
    <n v="164610"/>
    <n v="0.25"/>
    <n v="205762.5"/>
  </r>
  <r>
    <s v="EMP0988"/>
    <s v="EMEA"/>
    <s v="Germany"/>
    <x v="3"/>
    <s v="IC"/>
    <x v="91"/>
    <s v="FTE"/>
    <d v="2017-02-01T00:00:00"/>
    <s v="Inactive"/>
    <s v="Manufacturing"/>
    <s v="CC-Ope-643"/>
    <n v="5"/>
    <d v="2018-09-10T00:00:00"/>
    <n v="1"/>
    <x v="0"/>
    <n v="1"/>
    <s v="Voluntary"/>
    <n v="3"/>
    <s v="No"/>
    <s v="No"/>
    <s v="No"/>
    <n v="4"/>
    <s v="Low"/>
    <n v="33028"/>
    <n v="0.1"/>
    <n v="36330.800000000003"/>
  </r>
  <r>
    <s v="EMP0989"/>
    <s v="EMEA"/>
    <s v="Germany"/>
    <x v="1"/>
    <s v="Manager"/>
    <x v="65"/>
    <s v="FTE"/>
    <d v="2017-01-28T00:00:00"/>
    <s v="Inactive"/>
    <s v="Controlling"/>
    <s v="CC-Fin-212"/>
    <n v="4"/>
    <d v="2023-02-10T00:00:00"/>
    <n v="6"/>
    <x v="2"/>
    <n v="0"/>
    <s v="Voluntary"/>
    <n v="3"/>
    <s v="No"/>
    <s v="No"/>
    <s v="No"/>
    <n v="4"/>
    <s v="Low"/>
    <n v="80242"/>
    <n v="0.15"/>
    <n v="92278.299999999988"/>
  </r>
  <r>
    <s v="EMP0990"/>
    <s v="EMEA"/>
    <s v="Germany"/>
    <x v="3"/>
    <s v="IC"/>
    <x v="211"/>
    <s v="FTE"/>
    <d v="2017-01-21T00:00:00"/>
    <s v="Inactive"/>
    <s v="Manufacturing"/>
    <s v="CC-Ope-367"/>
    <n v="5"/>
    <d v="2019-07-10T00:00:00"/>
    <n v="2"/>
    <x v="0"/>
    <n v="1"/>
    <s v="Involuntary"/>
    <n v="4"/>
    <s v="No"/>
    <s v="Yes"/>
    <s v="No"/>
    <n v="5"/>
    <s v="Low"/>
    <n v="23980"/>
    <n v="0.1"/>
    <n v="26378.000000000004"/>
  </r>
  <r>
    <s v="EMP0991"/>
    <s v="EMEA"/>
    <s v="Germany"/>
    <x v="1"/>
    <s v="IC"/>
    <x v="175"/>
    <s v="FTE"/>
    <d v="2017-01-21T00:00:00"/>
    <s v="Active"/>
    <s v="Controlling"/>
    <s v="CC-Fin-520"/>
    <n v="5"/>
    <s v=""/>
    <n v="9"/>
    <x v="2"/>
    <n v="0"/>
    <s v=""/>
    <n v="4"/>
    <s v="No"/>
    <s v="Yes"/>
    <s v="No"/>
    <n v="5"/>
    <s v="Low"/>
    <n v="26586"/>
    <n v="0.1"/>
    <n v="29244.600000000002"/>
  </r>
  <r>
    <s v="EMP0992"/>
    <s v="EMEA"/>
    <s v="Germany"/>
    <x v="1"/>
    <s v="IC"/>
    <x v="244"/>
    <s v="FTE"/>
    <d v="2017-01-19T00:00:00"/>
    <s v="Active"/>
    <s v="Controlling"/>
    <s v="CC-Fin-247"/>
    <n v="5"/>
    <s v=""/>
    <n v="9"/>
    <x v="2"/>
    <n v="0"/>
    <s v=""/>
    <n v="2"/>
    <s v="No"/>
    <s v="No"/>
    <s v="No"/>
    <n v="4"/>
    <s v="Low"/>
    <n v="22051"/>
    <n v="0.1"/>
    <n v="24256.100000000002"/>
  </r>
  <r>
    <s v="EMP0993"/>
    <s v="EMEA"/>
    <s v="Germany"/>
    <x v="2"/>
    <s v="IC"/>
    <x v="63"/>
    <s v="FTE"/>
    <d v="2017-01-14T00:00:00"/>
    <s v="Active"/>
    <s v="Commercial"/>
    <s v="CC-Sal-597"/>
    <n v="5"/>
    <s v=""/>
    <n v="9"/>
    <x v="2"/>
    <n v="0"/>
    <s v=""/>
    <n v="4"/>
    <s v="No"/>
    <s v="No"/>
    <s v="No"/>
    <n v="3"/>
    <s v="Medium"/>
    <n v="48686"/>
    <n v="0.1"/>
    <n v="53554.600000000006"/>
  </r>
  <r>
    <s v="EMP0994"/>
    <s v="EMEA"/>
    <s v="Germany"/>
    <x v="1"/>
    <s v="Director"/>
    <x v="43"/>
    <s v="FTE"/>
    <d v="2017-01-11T00:00:00"/>
    <s v="Active"/>
    <s v="Controlling"/>
    <s v="CC-Fin-576"/>
    <n v="3"/>
    <s v=""/>
    <n v="9"/>
    <x v="2"/>
    <n v="0"/>
    <s v=""/>
    <n v="3"/>
    <s v="No"/>
    <s v="Yes"/>
    <s v="No"/>
    <n v="4"/>
    <s v="Low"/>
    <n v="112309"/>
    <n v="0.2"/>
    <n v="134770.79999999999"/>
  </r>
  <r>
    <s v="EMP0995"/>
    <s v="EMEA"/>
    <s v="Germany"/>
    <x v="4"/>
    <s v="IC"/>
    <x v="15"/>
    <s v="FTE"/>
    <d v="2017-01-11T00:00:00"/>
    <s v="Inactive"/>
    <s v="People Operations"/>
    <s v="CC-HR-816"/>
    <n v="5"/>
    <d v="2021-12-23T00:00:00"/>
    <n v="4"/>
    <x v="1"/>
    <n v="0"/>
    <s v="Voluntary"/>
    <n v="4"/>
    <s v="No"/>
    <s v="No"/>
    <s v="No"/>
    <n v="3"/>
    <s v="Medium"/>
    <n v="24860"/>
    <n v="0.1"/>
    <n v="27346.000000000004"/>
  </r>
  <r>
    <s v="EMP0996"/>
    <s v="EMEA"/>
    <s v="Germany"/>
    <x v="2"/>
    <s v="IC"/>
    <x v="237"/>
    <s v="FTE"/>
    <d v="2017-01-08T00:00:00"/>
    <s v="Active"/>
    <s v="Commercial"/>
    <s v="CC-Sal-202"/>
    <n v="5"/>
    <s v=""/>
    <n v="9"/>
    <x v="2"/>
    <n v="0"/>
    <s v=""/>
    <n v="4"/>
    <s v="No"/>
    <s v="No"/>
    <s v="No"/>
    <n v="1"/>
    <s v="High"/>
    <n v="40442"/>
    <n v="0.1"/>
    <n v="44486.200000000004"/>
  </r>
  <r>
    <s v="EMP0997"/>
    <s v="EMEA"/>
    <s v="Germany"/>
    <x v="0"/>
    <s v="IC"/>
    <x v="68"/>
    <s v="FTE"/>
    <d v="2017-01-03T00:00:00"/>
    <s v="Active"/>
    <s v="Logistics"/>
    <s v="CC-Sup-739"/>
    <n v="5"/>
    <s v=""/>
    <n v="9"/>
    <x v="2"/>
    <n v="0"/>
    <s v=""/>
    <n v="2"/>
    <s v="Yes"/>
    <s v="No"/>
    <s v="No"/>
    <n v="5"/>
    <s v="Low"/>
    <n v="35640"/>
    <n v="0.1"/>
    <n v="39204"/>
  </r>
  <r>
    <s v="EMP0998"/>
    <s v="EMEA"/>
    <s v="Germany"/>
    <x v="5"/>
    <s v="IC"/>
    <x v="74"/>
    <s v="FTE"/>
    <d v="2016-12-23T00:00:00"/>
    <s v="Active"/>
    <s v="Technology"/>
    <s v="CC-IT-321"/>
    <n v="5"/>
    <s v=""/>
    <n v="9"/>
    <x v="2"/>
    <n v="0"/>
    <s v=""/>
    <n v="2"/>
    <s v="No"/>
    <s v="No"/>
    <s v="No"/>
    <n v="3"/>
    <s v="Medium"/>
    <n v="30643"/>
    <n v="0.1"/>
    <n v="33707.300000000003"/>
  </r>
  <r>
    <s v="EMP0999"/>
    <s v="EMEA"/>
    <s v="Germany"/>
    <x v="2"/>
    <s v="IC"/>
    <x v="130"/>
    <s v="FTE"/>
    <d v="2016-12-19T00:00:00"/>
    <s v="Active"/>
    <s v="Commercial"/>
    <s v="CC-Sal-506"/>
    <n v="5"/>
    <s v=""/>
    <n v="9"/>
    <x v="2"/>
    <n v="0"/>
    <s v=""/>
    <n v="4"/>
    <s v="No"/>
    <s v="No"/>
    <s v="No"/>
    <n v="1"/>
    <s v="High"/>
    <n v="45392"/>
    <n v="0.1"/>
    <n v="49931.200000000004"/>
  </r>
  <r>
    <s v="EMP1000"/>
    <s v="EMEA"/>
    <s v="Germany"/>
    <x v="4"/>
    <s v="Manager"/>
    <x v="132"/>
    <s v="FTE"/>
    <d v="2016-12-15T00:00:00"/>
    <s v="Inactive"/>
    <s v="People Operations"/>
    <s v="CC-HR-181"/>
    <n v="4"/>
    <d v="2021-08-11T00:00:00"/>
    <n v="4"/>
    <x v="1"/>
    <n v="0"/>
    <s v="Voluntary"/>
    <n v="3"/>
    <s v="No"/>
    <s v="No"/>
    <s v="No"/>
    <n v="5"/>
    <s v="Low"/>
    <n v="51672"/>
    <n v="0.15"/>
    <n v="59422.799999999996"/>
  </r>
  <r>
    <s v="EMP1001"/>
    <s v="EMEA"/>
    <s v="Germany"/>
    <x v="4"/>
    <s v="Manager"/>
    <x v="234"/>
    <s v="FTE"/>
    <d v="2016-12-15T00:00:00"/>
    <s v="Active"/>
    <s v="People Operations"/>
    <s v="CC-HR-261"/>
    <n v="4"/>
    <s v=""/>
    <n v="9"/>
    <x v="2"/>
    <n v="0"/>
    <s v=""/>
    <n v="4"/>
    <s v="No"/>
    <s v="No"/>
    <s v="No"/>
    <n v="1"/>
    <s v="High"/>
    <n v="61809"/>
    <n v="0.15"/>
    <n v="71080.349999999991"/>
  </r>
  <r>
    <s v="EMP1002"/>
    <s v="EMEA"/>
    <s v="Germany"/>
    <x v="2"/>
    <s v="IC"/>
    <x v="52"/>
    <s v="FTE"/>
    <d v="2016-12-14T00:00:00"/>
    <s v="Active"/>
    <s v="Commercial"/>
    <s v="CC-Sal-669"/>
    <n v="5"/>
    <s v=""/>
    <n v="9"/>
    <x v="2"/>
    <n v="0"/>
    <s v=""/>
    <n v="3"/>
    <s v="No"/>
    <s v="Yes"/>
    <s v="No"/>
    <n v="3"/>
    <s v="Medium"/>
    <n v="40546"/>
    <n v="0.1"/>
    <n v="44600.600000000006"/>
  </r>
  <r>
    <s v="EMP1003"/>
    <s v="EMEA"/>
    <s v="Germany"/>
    <x v="0"/>
    <s v="Manager"/>
    <x v="139"/>
    <s v="FTE"/>
    <d v="2016-12-13T00:00:00"/>
    <s v="Active"/>
    <s v="Logistics"/>
    <s v="CC-Sup-984"/>
    <n v="4"/>
    <s v=""/>
    <n v="9"/>
    <x v="2"/>
    <n v="0"/>
    <s v=""/>
    <n v="3"/>
    <s v="No"/>
    <s v="No"/>
    <s v="No"/>
    <n v="4"/>
    <s v="Low"/>
    <n v="56226"/>
    <n v="0.15"/>
    <n v="64659.899999999994"/>
  </r>
  <r>
    <s v="EMP1004"/>
    <s v="EMEA"/>
    <s v="Germany"/>
    <x v="2"/>
    <s v="IC"/>
    <x v="115"/>
    <s v="FTE"/>
    <d v="2016-12-11T00:00:00"/>
    <s v="Active"/>
    <s v="Commercial"/>
    <s v="CC-Sal-700"/>
    <n v="5"/>
    <s v=""/>
    <n v="9"/>
    <x v="2"/>
    <n v="0"/>
    <s v=""/>
    <n v="4"/>
    <s v="No"/>
    <s v="No"/>
    <s v="No"/>
    <n v="1"/>
    <s v="High"/>
    <n v="39436"/>
    <n v="0.1"/>
    <n v="43379.600000000006"/>
  </r>
  <r>
    <s v="EMP1005"/>
    <s v="EMEA"/>
    <s v="Germany"/>
    <x v="4"/>
    <s v="IC"/>
    <x v="150"/>
    <s v="FTE"/>
    <d v="2016-12-09T00:00:00"/>
    <s v="Inactive"/>
    <s v="People Operations"/>
    <s v="CC-HR-784"/>
    <n v="5"/>
    <d v="2019-06-19T00:00:00"/>
    <n v="2"/>
    <x v="0"/>
    <n v="1"/>
    <s v="Voluntary"/>
    <n v="2"/>
    <s v="Yes"/>
    <s v="No"/>
    <s v="No"/>
    <n v="1"/>
    <s v="High"/>
    <n v="41483"/>
    <n v="0.1"/>
    <n v="45631.3"/>
  </r>
  <r>
    <s v="EMP1006"/>
    <s v="EMEA"/>
    <s v="Germany"/>
    <x v="3"/>
    <s v="Director"/>
    <x v="168"/>
    <s v="FTE"/>
    <d v="2016-12-06T00:00:00"/>
    <s v="Active"/>
    <s v="Manufacturing"/>
    <s v="CC-Ope-441"/>
    <n v="3"/>
    <s v=""/>
    <n v="9"/>
    <x v="2"/>
    <n v="0"/>
    <s v=""/>
    <n v="4"/>
    <s v="No"/>
    <s v="No"/>
    <s v="No"/>
    <n v="3"/>
    <s v="Medium"/>
    <n v="99108"/>
    <n v="0.2"/>
    <n v="118929.59999999999"/>
  </r>
  <r>
    <s v="EMP1007"/>
    <s v="EMEA"/>
    <s v="Germany"/>
    <x v="4"/>
    <s v="IC"/>
    <x v="166"/>
    <s v="FTE"/>
    <d v="2016-12-03T00:00:00"/>
    <s v="Active"/>
    <s v="People Operations"/>
    <s v="CC-HR-236"/>
    <n v="5"/>
    <s v=""/>
    <n v="9"/>
    <x v="2"/>
    <n v="0"/>
    <s v=""/>
    <n v="3"/>
    <s v="No"/>
    <s v="No"/>
    <s v="No"/>
    <n v="3"/>
    <s v="Medium"/>
    <n v="39791"/>
    <n v="0.1"/>
    <n v="43770.100000000006"/>
  </r>
  <r>
    <s v="EMP1008"/>
    <s v="EMEA"/>
    <s v="Germany"/>
    <x v="1"/>
    <s v="IC"/>
    <x v="94"/>
    <s v="FTE"/>
    <d v="2016-11-19T00:00:00"/>
    <s v="Active"/>
    <s v="Controlling"/>
    <s v="CC-Fin-504"/>
    <n v="5"/>
    <s v=""/>
    <n v="9"/>
    <x v="2"/>
    <n v="0"/>
    <s v=""/>
    <n v="4"/>
    <s v="No"/>
    <s v="No"/>
    <s v="No"/>
    <n v="5"/>
    <s v="Low"/>
    <n v="46803"/>
    <n v="0.1"/>
    <n v="51483.3"/>
  </r>
  <r>
    <s v="EMP1009"/>
    <s v="EMEA"/>
    <s v="Germany"/>
    <x v="3"/>
    <s v="Manager"/>
    <x v="251"/>
    <s v="Contractor"/>
    <d v="2016-11-13T00:00:00"/>
    <s v="Active"/>
    <s v="Manufacturing"/>
    <s v="CC-Ope-290"/>
    <n v="4"/>
    <s v=""/>
    <n v="9"/>
    <x v="2"/>
    <n v="0"/>
    <s v=""/>
    <n v="3"/>
    <s v="No"/>
    <s v="Yes"/>
    <s v="No"/>
    <n v="2"/>
    <s v="High"/>
    <n v="82771"/>
    <n v="0.15"/>
    <n v="95186.65"/>
  </r>
  <r>
    <s v="EMP1010"/>
    <s v="EMEA"/>
    <s v="Germany"/>
    <x v="5"/>
    <s v="IC"/>
    <x v="254"/>
    <s v="FTE"/>
    <d v="2016-11-06T00:00:00"/>
    <s v="Active"/>
    <s v="Technology"/>
    <s v="CC-IT-800"/>
    <n v="5"/>
    <s v=""/>
    <n v="9"/>
    <x v="2"/>
    <n v="0"/>
    <s v=""/>
    <n v="4"/>
    <s v="No"/>
    <s v="No"/>
    <s v="No"/>
    <n v="1"/>
    <s v="High"/>
    <n v="40847"/>
    <n v="0.1"/>
    <n v="44931.700000000004"/>
  </r>
  <r>
    <s v="EMP1011"/>
    <s v="EMEA"/>
    <s v="Germany"/>
    <x v="3"/>
    <s v="IC"/>
    <x v="41"/>
    <s v="FTE"/>
    <d v="2016-11-05T00:00:00"/>
    <s v="Active"/>
    <s v="Manufacturing"/>
    <s v="CC-Ope-518"/>
    <n v="5"/>
    <s v=""/>
    <n v="9"/>
    <x v="2"/>
    <n v="0"/>
    <s v=""/>
    <n v="3"/>
    <s v="No"/>
    <s v="No"/>
    <s v="No"/>
    <n v="2"/>
    <s v="High"/>
    <n v="49154"/>
    <n v="0.1"/>
    <n v="54069.4"/>
  </r>
  <r>
    <s v="EMP1012"/>
    <s v="EMEA"/>
    <s v="Germany"/>
    <x v="0"/>
    <s v="IC"/>
    <x v="73"/>
    <s v="FTE"/>
    <d v="2016-11-01T00:00:00"/>
    <s v="Active"/>
    <s v="Logistics"/>
    <s v="CC-Sup-235"/>
    <n v="5"/>
    <s v=""/>
    <n v="9"/>
    <x v="2"/>
    <n v="0"/>
    <s v=""/>
    <n v="4"/>
    <s v="No"/>
    <s v="No"/>
    <s v="No"/>
    <n v="2"/>
    <s v="High"/>
    <n v="40910"/>
    <n v="0.1"/>
    <n v="45001"/>
  </r>
  <r>
    <s v="EMP1013"/>
    <s v="EMEA"/>
    <s v="Germany"/>
    <x v="0"/>
    <s v="IC"/>
    <x v="150"/>
    <s v="FTE"/>
    <d v="2016-10-26T00:00:00"/>
    <s v="Active"/>
    <s v="Logistics"/>
    <s v="CC-Sup-744"/>
    <n v="5"/>
    <s v=""/>
    <n v="9"/>
    <x v="2"/>
    <n v="0"/>
    <s v=""/>
    <n v="4"/>
    <s v="No"/>
    <s v="Yes"/>
    <s v="Yes"/>
    <n v="2"/>
    <s v="High"/>
    <n v="42574"/>
    <n v="0.1"/>
    <n v="46831.4"/>
  </r>
  <r>
    <s v="EMP1014"/>
    <s v="EMEA"/>
    <s v="Germany"/>
    <x v="1"/>
    <s v="IC"/>
    <x v="1"/>
    <s v="FTE"/>
    <d v="2016-10-24T00:00:00"/>
    <s v="Inactive"/>
    <s v="Controlling"/>
    <s v="CC-Fin-732"/>
    <n v="5"/>
    <d v="2020-01-26T00:00:00"/>
    <n v="3"/>
    <x v="1"/>
    <n v="0"/>
    <s v="Voluntary"/>
    <n v="3"/>
    <s v="Yes"/>
    <s v="No"/>
    <s v="No"/>
    <n v="4"/>
    <s v="Low"/>
    <n v="20894"/>
    <n v="0.1"/>
    <n v="22983.4"/>
  </r>
  <r>
    <s v="EMP1015"/>
    <s v="EMEA"/>
    <s v="Germany"/>
    <x v="2"/>
    <s v="Manager"/>
    <x v="65"/>
    <s v="FTE"/>
    <d v="2016-10-19T00:00:00"/>
    <s v="Active"/>
    <s v="Commercial"/>
    <s v="CC-Sal-719"/>
    <n v="4"/>
    <s v=""/>
    <n v="9"/>
    <x v="2"/>
    <n v="0"/>
    <s v=""/>
    <n v="3"/>
    <s v="No"/>
    <s v="No"/>
    <s v="No"/>
    <n v="3"/>
    <s v="Medium"/>
    <n v="70698"/>
    <n v="0.15"/>
    <n v="81302.7"/>
  </r>
  <r>
    <s v="EMP1016"/>
    <s v="EMEA"/>
    <s v="Germany"/>
    <x v="0"/>
    <s v="Director"/>
    <x v="5"/>
    <s v="FTE"/>
    <d v="2016-10-10T00:00:00"/>
    <s v="Inactive"/>
    <s v="Logistics"/>
    <s v="CC-Sup-684"/>
    <n v="3"/>
    <d v="2022-06-19T00:00:00"/>
    <n v="5"/>
    <x v="1"/>
    <n v="0"/>
    <s v="Voluntary"/>
    <n v="3"/>
    <s v="No"/>
    <s v="No"/>
    <s v="No"/>
    <n v="4"/>
    <s v="Low"/>
    <n v="128088"/>
    <n v="0.2"/>
    <n v="153705.60000000001"/>
  </r>
  <r>
    <s v="EMP1017"/>
    <s v="EMEA"/>
    <s v="Germany"/>
    <x v="3"/>
    <s v="IC"/>
    <x v="35"/>
    <s v="FTE"/>
    <d v="2016-10-06T00:00:00"/>
    <s v="Inactive"/>
    <s v="Manufacturing"/>
    <s v="CC-Ope-384"/>
    <n v="5"/>
    <d v="2018-09-24T00:00:00"/>
    <n v="1"/>
    <x v="0"/>
    <n v="1"/>
    <s v="Voluntary"/>
    <n v="3"/>
    <s v="Yes"/>
    <s v="Yes"/>
    <s v="No"/>
    <n v="2"/>
    <s v="High"/>
    <n v="29278"/>
    <n v="0.1"/>
    <n v="32205.800000000003"/>
  </r>
  <r>
    <s v="EMP1018"/>
    <s v="EMEA"/>
    <s v="Germany"/>
    <x v="2"/>
    <s v="IC"/>
    <x v="93"/>
    <s v="FTE"/>
    <d v="2016-10-01T00:00:00"/>
    <s v="Active"/>
    <s v="Commercial"/>
    <s v="CC-Sal-231"/>
    <n v="5"/>
    <s v=""/>
    <n v="9"/>
    <x v="2"/>
    <n v="0"/>
    <s v=""/>
    <n v="3"/>
    <s v="No"/>
    <s v="No"/>
    <s v="No"/>
    <n v="5"/>
    <s v="Low"/>
    <n v="47808"/>
    <n v="0.1"/>
    <n v="52588.800000000003"/>
  </r>
  <r>
    <s v="EMP1019"/>
    <s v="EMEA"/>
    <s v="Germany"/>
    <x v="1"/>
    <s v="Manager"/>
    <x v="251"/>
    <s v="Contractor"/>
    <d v="2016-09-27T00:00:00"/>
    <s v="Active"/>
    <s v="Controlling"/>
    <s v="CC-Fin-747"/>
    <n v="4"/>
    <s v=""/>
    <n v="9"/>
    <x v="2"/>
    <n v="0"/>
    <s v=""/>
    <n v="3"/>
    <s v="Yes"/>
    <s v="No"/>
    <s v="No"/>
    <n v="5"/>
    <s v="Low"/>
    <n v="67140"/>
    <n v="0.15"/>
    <n v="77211"/>
  </r>
  <r>
    <s v="EMP1020"/>
    <s v="EMEA"/>
    <s v="Germany"/>
    <x v="5"/>
    <s v="IC"/>
    <x v="61"/>
    <s v="FTE"/>
    <d v="2016-09-25T00:00:00"/>
    <s v="Active"/>
    <s v="Technology"/>
    <s v="CC-IT-156"/>
    <n v="5"/>
    <s v=""/>
    <n v="9"/>
    <x v="2"/>
    <n v="0"/>
    <s v=""/>
    <n v="4"/>
    <s v="No"/>
    <s v="Yes"/>
    <s v="No"/>
    <n v="2"/>
    <s v="High"/>
    <n v="40013"/>
    <n v="0.1"/>
    <n v="44014.3"/>
  </r>
  <r>
    <s v="EMP1021"/>
    <s v="APAC"/>
    <s v="Singapore"/>
    <x v="3"/>
    <s v="IC"/>
    <x v="155"/>
    <s v="FTE"/>
    <d v="2016-09-14T00:00:00"/>
    <s v="Active"/>
    <s v="Manufacturing"/>
    <s v="CC-Ope-585"/>
    <n v="5"/>
    <s v=""/>
    <n v="9"/>
    <x v="2"/>
    <n v="0"/>
    <s v=""/>
    <n v="3"/>
    <s v="No"/>
    <s v="Yes"/>
    <s v="No"/>
    <n v="2"/>
    <s v="High"/>
    <n v="30973"/>
    <n v="0.1"/>
    <n v="34070.300000000003"/>
  </r>
  <r>
    <s v="EMP1022"/>
    <s v="APAC"/>
    <s v="Singapore"/>
    <x v="2"/>
    <s v="IC"/>
    <x v="254"/>
    <s v="FTE"/>
    <d v="2016-09-09T00:00:00"/>
    <s v="Active"/>
    <s v="Commercial"/>
    <s v="CC-Sal-965"/>
    <n v="5"/>
    <s v=""/>
    <n v="9"/>
    <x v="2"/>
    <n v="0"/>
    <s v=""/>
    <n v="4"/>
    <s v="No"/>
    <s v="Yes"/>
    <s v="Yes"/>
    <n v="5"/>
    <s v="Low"/>
    <n v="21164"/>
    <n v="0.1"/>
    <n v="23280.400000000001"/>
  </r>
  <r>
    <s v="EMP1023"/>
    <s v="APAC"/>
    <s v="Singapore"/>
    <x v="0"/>
    <s v="IC"/>
    <x v="184"/>
    <s v="FTE"/>
    <d v="2016-09-08T00:00:00"/>
    <s v="Active"/>
    <s v="Logistics"/>
    <s v="CC-Sup-731"/>
    <n v="5"/>
    <s v=""/>
    <n v="9"/>
    <x v="2"/>
    <n v="0"/>
    <s v=""/>
    <n v="3"/>
    <s v="No"/>
    <s v="Yes"/>
    <s v="No"/>
    <n v="3"/>
    <s v="Medium"/>
    <n v="37844"/>
    <n v="0.1"/>
    <n v="41628.400000000001"/>
  </r>
  <r>
    <s v="EMP1024"/>
    <s v="APAC"/>
    <s v="Singapore"/>
    <x v="4"/>
    <s v="C"/>
    <x v="183"/>
    <s v="FTE"/>
    <d v="2016-08-27T00:00:00"/>
    <s v="Active"/>
    <s v="People Operations"/>
    <s v="CC-HR-368"/>
    <n v="1"/>
    <s v=""/>
    <n v="9"/>
    <x v="2"/>
    <n v="0"/>
    <s v=""/>
    <n v="3"/>
    <s v="No"/>
    <s v="Yes"/>
    <s v="No"/>
    <n v="1"/>
    <s v="High"/>
    <n v="235504"/>
    <n v="0.3"/>
    <n v="306155.2"/>
  </r>
  <r>
    <s v="EMP1025"/>
    <s v="APAC"/>
    <s v="Singapore"/>
    <x v="0"/>
    <s v="Manager"/>
    <x v="172"/>
    <s v="FTE"/>
    <d v="2016-08-22T00:00:00"/>
    <s v="Active"/>
    <s v="Logistics"/>
    <s v="CC-Sup-789"/>
    <n v="4"/>
    <s v=""/>
    <n v="9"/>
    <x v="2"/>
    <n v="0"/>
    <s v=""/>
    <n v="4"/>
    <s v="No"/>
    <s v="Yes"/>
    <s v="Yes"/>
    <n v="2"/>
    <s v="High"/>
    <n v="76920"/>
    <n v="0.15"/>
    <n v="88458"/>
  </r>
  <r>
    <s v="EMP1026"/>
    <s v="APAC"/>
    <s v="Singapore"/>
    <x v="3"/>
    <s v="Manager"/>
    <x v="100"/>
    <s v="FTE"/>
    <d v="2016-08-16T00:00:00"/>
    <s v="Inactive"/>
    <s v="Manufacturing"/>
    <s v="CC-Ope-198"/>
    <n v="4"/>
    <d v="2017-08-19T00:00:00"/>
    <n v="1"/>
    <x v="0"/>
    <n v="1"/>
    <s v="Voluntary"/>
    <n v="3"/>
    <s v="No"/>
    <s v="No"/>
    <s v="No"/>
    <n v="5"/>
    <s v="Low"/>
    <n v="85569"/>
    <n v="0.15"/>
    <n v="98404.349999999991"/>
  </r>
  <r>
    <s v="EMP1027"/>
    <s v="APAC"/>
    <s v="Singapore"/>
    <x v="1"/>
    <s v="IC"/>
    <x v="102"/>
    <s v="FTE"/>
    <d v="2016-08-12T00:00:00"/>
    <s v="Active"/>
    <s v="Controlling"/>
    <s v="CC-Fin-926"/>
    <n v="5"/>
    <s v=""/>
    <n v="9"/>
    <x v="2"/>
    <n v="0"/>
    <s v=""/>
    <n v="4"/>
    <s v="No"/>
    <s v="No"/>
    <s v="No"/>
    <n v="4"/>
    <s v="Low"/>
    <n v="30715"/>
    <n v="0.1"/>
    <n v="33786.5"/>
  </r>
  <r>
    <s v="EMP1028"/>
    <s v="APAC"/>
    <s v="Singapore"/>
    <x v="3"/>
    <s v="IC"/>
    <x v="254"/>
    <s v="FTE"/>
    <d v="2016-08-07T00:00:00"/>
    <s v="Active"/>
    <s v="Manufacturing"/>
    <s v="CC-Ope-434"/>
    <n v="5"/>
    <s v=""/>
    <n v="9"/>
    <x v="2"/>
    <n v="0"/>
    <s v=""/>
    <n v="5"/>
    <s v="No"/>
    <s v="No"/>
    <s v="No"/>
    <n v="2"/>
    <s v="High"/>
    <n v="33234"/>
    <n v="0.1"/>
    <n v="36557.4"/>
  </r>
  <r>
    <s v="EMP1029"/>
    <s v="APAC"/>
    <s v="Singapore"/>
    <x v="0"/>
    <s v="IC"/>
    <x v="88"/>
    <s v="FTE"/>
    <d v="2016-08-04T00:00:00"/>
    <s v="Active"/>
    <s v="Logistics"/>
    <s v="CC-Sup-436"/>
    <n v="5"/>
    <s v=""/>
    <n v="9"/>
    <x v="2"/>
    <n v="0"/>
    <s v=""/>
    <n v="4"/>
    <s v="No"/>
    <s v="No"/>
    <s v="No"/>
    <n v="1"/>
    <s v="High"/>
    <n v="35332"/>
    <n v="0.1"/>
    <n v="38865.200000000004"/>
  </r>
  <r>
    <s v="EMP1030"/>
    <s v="APAC"/>
    <s v="Singapore"/>
    <x v="0"/>
    <s v="Director"/>
    <x v="163"/>
    <s v="FTE"/>
    <d v="2016-08-03T00:00:00"/>
    <s v="Active"/>
    <s v="Logistics"/>
    <s v="CC-Sup-491"/>
    <n v="3"/>
    <s v=""/>
    <n v="9"/>
    <x v="2"/>
    <n v="0"/>
    <s v=""/>
    <n v="3"/>
    <s v="No"/>
    <s v="No"/>
    <s v="No"/>
    <n v="4"/>
    <s v="Low"/>
    <n v="118334"/>
    <n v="0.2"/>
    <n v="142000.79999999999"/>
  </r>
  <r>
    <s v="EMP1031"/>
    <s v="APAC"/>
    <s v="Singapore"/>
    <x v="5"/>
    <s v="IC"/>
    <x v="60"/>
    <s v="Contractor"/>
    <d v="2016-08-01T00:00:00"/>
    <s v="Active"/>
    <s v="Technology"/>
    <s v="CC-IT-336"/>
    <n v="5"/>
    <s v=""/>
    <n v="9"/>
    <x v="2"/>
    <n v="0"/>
    <s v=""/>
    <n v="4"/>
    <s v="No"/>
    <s v="No"/>
    <s v="No"/>
    <n v="4"/>
    <s v="Low"/>
    <n v="41860"/>
    <n v="0.1"/>
    <n v="46046.000000000007"/>
  </r>
  <r>
    <s v="EMP1032"/>
    <s v="APAC"/>
    <s v="Singapore"/>
    <x v="1"/>
    <s v="IC"/>
    <x v="29"/>
    <s v="Contractor"/>
    <d v="2016-07-28T00:00:00"/>
    <s v="Active"/>
    <s v="Controlling"/>
    <s v="CC-Fin-961"/>
    <n v="5"/>
    <s v=""/>
    <n v="9"/>
    <x v="2"/>
    <n v="0"/>
    <s v=""/>
    <n v="3"/>
    <s v="No"/>
    <s v="No"/>
    <s v="No"/>
    <n v="2"/>
    <s v="High"/>
    <n v="42221"/>
    <n v="0.1"/>
    <n v="46443.100000000006"/>
  </r>
  <r>
    <s v="EMP1033"/>
    <s v="APAC"/>
    <s v="Singapore"/>
    <x v="0"/>
    <s v="IC"/>
    <x v="64"/>
    <s v="FTE"/>
    <d v="2016-07-25T00:00:00"/>
    <s v="Active"/>
    <s v="Logistics"/>
    <s v="CC-Sup-158"/>
    <n v="5"/>
    <s v=""/>
    <n v="9"/>
    <x v="2"/>
    <n v="0"/>
    <s v=""/>
    <n v="3"/>
    <s v="Yes"/>
    <s v="No"/>
    <s v="No"/>
    <n v="1"/>
    <s v="High"/>
    <n v="45092"/>
    <n v="0.1"/>
    <n v="49601.200000000004"/>
  </r>
  <r>
    <s v="EMP1034"/>
    <s v="APAC"/>
    <s v="Singapore"/>
    <x v="4"/>
    <s v="IC"/>
    <x v="45"/>
    <s v="FTE"/>
    <d v="2016-07-24T00:00:00"/>
    <s v="Active"/>
    <s v="People Operations"/>
    <s v="CC-HR-263"/>
    <n v="5"/>
    <s v=""/>
    <n v="9"/>
    <x v="2"/>
    <n v="0"/>
    <s v=""/>
    <n v="5"/>
    <s v="No"/>
    <s v="No"/>
    <s v="No"/>
    <n v="5"/>
    <s v="Low"/>
    <n v="31074"/>
    <n v="0.1"/>
    <n v="34181.4"/>
  </r>
  <r>
    <s v="EMP1035"/>
    <s v="APAC"/>
    <s v="Singapore"/>
    <x v="2"/>
    <s v="IC"/>
    <x v="44"/>
    <s v="FTE"/>
    <d v="2016-07-21T00:00:00"/>
    <s v="Active"/>
    <s v="Commercial"/>
    <s v="CC-Sal-756"/>
    <n v="5"/>
    <s v=""/>
    <n v="9"/>
    <x v="2"/>
    <n v="0"/>
    <s v=""/>
    <n v="3"/>
    <s v="No"/>
    <s v="No"/>
    <s v="No"/>
    <n v="3"/>
    <s v="Medium"/>
    <n v="33491"/>
    <n v="0.1"/>
    <n v="36840.100000000006"/>
  </r>
  <r>
    <s v="EMP1036"/>
    <s v="APAC"/>
    <s v="Singapore"/>
    <x v="0"/>
    <s v="IC"/>
    <x v="13"/>
    <s v="FTE"/>
    <d v="2016-07-19T00:00:00"/>
    <s v="Active"/>
    <s v="Logistics"/>
    <s v="CC-Sup-370"/>
    <n v="5"/>
    <s v=""/>
    <n v="9"/>
    <x v="2"/>
    <n v="0"/>
    <s v=""/>
    <n v="4"/>
    <s v="No"/>
    <s v="No"/>
    <s v="No"/>
    <n v="1"/>
    <s v="High"/>
    <n v="21292"/>
    <n v="0.1"/>
    <n v="23421.200000000001"/>
  </r>
  <r>
    <s v="EMP1037"/>
    <s v="APAC"/>
    <s v="Singapore"/>
    <x v="4"/>
    <s v="Manager"/>
    <x v="208"/>
    <s v="FTE"/>
    <d v="2016-07-18T00:00:00"/>
    <s v="Active"/>
    <s v="People Operations"/>
    <s v="CC-HR-847"/>
    <n v="4"/>
    <s v=""/>
    <n v="9"/>
    <x v="2"/>
    <n v="0"/>
    <s v=""/>
    <n v="4"/>
    <s v="No"/>
    <s v="No"/>
    <s v="No"/>
    <n v="4"/>
    <s v="Low"/>
    <n v="74232"/>
    <n v="0.15"/>
    <n v="85366.799999999988"/>
  </r>
  <r>
    <s v="EMP1038"/>
    <s v="APAC"/>
    <s v="Singapore"/>
    <x v="2"/>
    <s v="IC"/>
    <x v="57"/>
    <s v="FTE"/>
    <d v="2016-07-11T00:00:00"/>
    <s v="Active"/>
    <s v="Commercial"/>
    <s v="CC-Sal-854"/>
    <n v="5"/>
    <s v=""/>
    <n v="9"/>
    <x v="2"/>
    <n v="0"/>
    <s v=""/>
    <n v="4"/>
    <s v="No"/>
    <s v="No"/>
    <s v="No"/>
    <n v="3"/>
    <s v="Medium"/>
    <n v="37984"/>
    <n v="0.1"/>
    <n v="41782.400000000001"/>
  </r>
  <r>
    <s v="EMP1039"/>
    <s v="APAC"/>
    <s v="Singapore"/>
    <x v="2"/>
    <s v="IC"/>
    <x v="67"/>
    <s v="FTE"/>
    <d v="2016-07-09T00:00:00"/>
    <s v="Active"/>
    <s v="Commercial"/>
    <s v="CC-Sal-326"/>
    <n v="5"/>
    <s v=""/>
    <n v="9"/>
    <x v="2"/>
    <n v="0"/>
    <s v=""/>
    <n v="3"/>
    <s v="No"/>
    <s v="Yes"/>
    <s v="No"/>
    <n v="1"/>
    <s v="High"/>
    <n v="43704"/>
    <n v="0.1"/>
    <n v="48074.400000000001"/>
  </r>
  <r>
    <s v="EMP1040"/>
    <s v="APAC"/>
    <s v="Singapore"/>
    <x v="0"/>
    <s v="IC"/>
    <x v="255"/>
    <s v="FTE"/>
    <d v="2016-07-08T00:00:00"/>
    <s v="Active"/>
    <s v="Logistics"/>
    <s v="CC-Sup-935"/>
    <n v="5"/>
    <s v=""/>
    <n v="9"/>
    <x v="2"/>
    <n v="0"/>
    <s v=""/>
    <n v="3"/>
    <s v="No"/>
    <s v="No"/>
    <s v="No"/>
    <n v="3"/>
    <s v="Medium"/>
    <n v="30940"/>
    <n v="0.1"/>
    <n v="34034"/>
  </r>
  <r>
    <s v="EMP1041"/>
    <s v="APAC"/>
    <s v="Singapore"/>
    <x v="0"/>
    <s v="IC"/>
    <x v="187"/>
    <s v="FTE"/>
    <d v="2016-07-08T00:00:00"/>
    <s v="Active"/>
    <s v="Logistics"/>
    <s v="CC-Sup-996"/>
    <n v="5"/>
    <s v=""/>
    <n v="9"/>
    <x v="2"/>
    <n v="0"/>
    <s v=""/>
    <n v="3"/>
    <s v="No"/>
    <s v="No"/>
    <s v="No"/>
    <n v="3"/>
    <s v="Medium"/>
    <n v="48460"/>
    <n v="0.1"/>
    <n v="53306.000000000007"/>
  </r>
  <r>
    <s v="EMP1042"/>
    <s v="APAC"/>
    <s v="Singapore"/>
    <x v="0"/>
    <s v="IC"/>
    <x v="256"/>
    <s v="FTE"/>
    <d v="2016-07-06T00:00:00"/>
    <s v="Active"/>
    <s v="Logistics"/>
    <s v="CC-Sup-485"/>
    <n v="5"/>
    <s v=""/>
    <n v="9"/>
    <x v="2"/>
    <n v="0"/>
    <s v=""/>
    <n v="2"/>
    <s v="No"/>
    <s v="No"/>
    <s v="No"/>
    <n v="3"/>
    <s v="Medium"/>
    <n v="32645"/>
    <n v="0.1"/>
    <n v="35909.5"/>
  </r>
  <r>
    <s v="EMP1043"/>
    <s v="APAC"/>
    <s v="Singapore"/>
    <x v="3"/>
    <s v="Manager"/>
    <x v="250"/>
    <s v="FTE"/>
    <d v="2016-06-28T00:00:00"/>
    <s v="Active"/>
    <s v="Manufacturing"/>
    <s v="CC-Ope-331"/>
    <n v="4"/>
    <s v=""/>
    <n v="9"/>
    <x v="2"/>
    <n v="0"/>
    <s v=""/>
    <n v="2"/>
    <s v="No"/>
    <s v="No"/>
    <s v="No"/>
    <n v="3"/>
    <s v="Medium"/>
    <n v="82133"/>
    <n v="0.15"/>
    <n v="94452.95"/>
  </r>
  <r>
    <s v="EMP1044"/>
    <s v="APAC"/>
    <s v="Singapore"/>
    <x v="4"/>
    <s v="Manager"/>
    <x v="226"/>
    <s v="FTE"/>
    <d v="2016-06-27T00:00:00"/>
    <s v="Inactive"/>
    <s v="People Operations"/>
    <s v="CC-HR-396"/>
    <n v="4"/>
    <d v="2020-07-24T00:00:00"/>
    <n v="4"/>
    <x v="1"/>
    <n v="0"/>
    <s v="Voluntary"/>
    <n v="3"/>
    <s v="No"/>
    <s v="No"/>
    <s v="No"/>
    <n v="4"/>
    <s v="Low"/>
    <n v="74797"/>
    <n v="0.15"/>
    <n v="86016.549999999988"/>
  </r>
  <r>
    <s v="EMP1045"/>
    <s v="APAC"/>
    <s v="Singapore"/>
    <x v="5"/>
    <s v="IC"/>
    <x v="184"/>
    <s v="FTE"/>
    <d v="2016-06-20T00:00:00"/>
    <s v="Active"/>
    <s v="Technology"/>
    <s v="CC-IT-686"/>
    <n v="5"/>
    <s v=""/>
    <n v="9"/>
    <x v="2"/>
    <n v="0"/>
    <s v=""/>
    <n v="3"/>
    <s v="No"/>
    <s v="No"/>
    <s v="No"/>
    <n v="5"/>
    <s v="Low"/>
    <n v="34374"/>
    <n v="0.1"/>
    <n v="37811.4"/>
  </r>
  <r>
    <s v="EMP1046"/>
    <s v="APAC"/>
    <s v="Singapore"/>
    <x v="1"/>
    <s v="IC"/>
    <x v="17"/>
    <s v="Contractor"/>
    <d v="2016-06-20T00:00:00"/>
    <s v="Active"/>
    <s v="Controlling"/>
    <s v="CC-Fin-360"/>
    <n v="5"/>
    <s v=""/>
    <n v="9"/>
    <x v="2"/>
    <n v="0"/>
    <s v=""/>
    <n v="2"/>
    <s v="No"/>
    <s v="No"/>
    <s v="No"/>
    <n v="5"/>
    <s v="Low"/>
    <n v="45657"/>
    <n v="0.1"/>
    <n v="50222.700000000004"/>
  </r>
  <r>
    <s v="EMP1047"/>
    <s v="APAC"/>
    <s v="Singapore"/>
    <x v="0"/>
    <s v="IC"/>
    <x v="169"/>
    <s v="FTE"/>
    <d v="2016-06-14T00:00:00"/>
    <s v="Active"/>
    <s v="Logistics"/>
    <s v="CC-Sup-922"/>
    <n v="5"/>
    <s v=""/>
    <n v="9"/>
    <x v="2"/>
    <n v="0"/>
    <s v=""/>
    <n v="4"/>
    <s v="No"/>
    <s v="No"/>
    <s v="No"/>
    <n v="2"/>
    <s v="High"/>
    <n v="40222"/>
    <n v="0.1"/>
    <n v="44244.200000000004"/>
  </r>
  <r>
    <s v="EMP1048"/>
    <s v="APAC"/>
    <s v="Singapore"/>
    <x v="3"/>
    <s v="IC"/>
    <x v="121"/>
    <s v="FTE"/>
    <d v="2016-06-11T00:00:00"/>
    <s v="Active"/>
    <s v="Manufacturing"/>
    <s v="CC-Ope-570"/>
    <n v="5"/>
    <s v=""/>
    <n v="9"/>
    <x v="2"/>
    <n v="0"/>
    <s v=""/>
    <n v="5"/>
    <s v="No"/>
    <s v="No"/>
    <s v="No"/>
    <n v="1"/>
    <s v="High"/>
    <n v="36754"/>
    <n v="0.1"/>
    <n v="40429.4"/>
  </r>
  <r>
    <s v="EMP1049"/>
    <s v="APAC"/>
    <s v="Singapore"/>
    <x v="3"/>
    <s v="IC"/>
    <x v="101"/>
    <s v="FTE"/>
    <d v="2016-06-10T00:00:00"/>
    <s v="Active"/>
    <s v="Manufacturing"/>
    <s v="CC-Ope-213"/>
    <n v="5"/>
    <s v=""/>
    <n v="9"/>
    <x v="2"/>
    <n v="0"/>
    <s v=""/>
    <n v="4"/>
    <s v="No"/>
    <s v="Yes"/>
    <s v="No"/>
    <n v="5"/>
    <s v="Low"/>
    <n v="26407"/>
    <n v="0.1"/>
    <n v="29047.7"/>
  </r>
  <r>
    <s v="EMP1050"/>
    <s v="APAC"/>
    <s v="Singapore"/>
    <x v="4"/>
    <s v="IC"/>
    <x v="29"/>
    <s v="FTE"/>
    <d v="2016-06-04T00:00:00"/>
    <s v="Active"/>
    <s v="People Operations"/>
    <s v="CC-HR-905"/>
    <n v="5"/>
    <s v=""/>
    <n v="9"/>
    <x v="2"/>
    <n v="0"/>
    <s v=""/>
    <n v="3"/>
    <s v="No"/>
    <s v="No"/>
    <s v="No"/>
    <n v="5"/>
    <s v="Low"/>
    <n v="20768"/>
    <n v="0.1"/>
    <n v="22844.800000000003"/>
  </r>
  <r>
    <s v="EMP1051"/>
    <s v="APAC"/>
    <s v="Singapore"/>
    <x v="4"/>
    <s v="IC"/>
    <x v="49"/>
    <s v="Contractor"/>
    <d v="2016-06-01T00:00:00"/>
    <s v="Active"/>
    <s v="People Operations"/>
    <s v="CC-HR-656"/>
    <n v="5"/>
    <s v=""/>
    <n v="9"/>
    <x v="2"/>
    <n v="0"/>
    <s v=""/>
    <n v="3"/>
    <s v="Yes"/>
    <s v="No"/>
    <s v="No"/>
    <n v="5"/>
    <s v="Low"/>
    <n v="28475"/>
    <n v="0.1"/>
    <n v="31322.500000000004"/>
  </r>
  <r>
    <s v="EMP1052"/>
    <s v="APAC"/>
    <s v="Singapore"/>
    <x v="4"/>
    <s v="Manager"/>
    <x v="16"/>
    <s v="FTE"/>
    <d v="2016-05-27T00:00:00"/>
    <s v="Active"/>
    <s v="People Operations"/>
    <s v="CC-HR-501"/>
    <n v="4"/>
    <s v=""/>
    <n v="9"/>
    <x v="2"/>
    <n v="0"/>
    <s v=""/>
    <n v="3"/>
    <s v="No"/>
    <s v="No"/>
    <s v="No"/>
    <n v="3"/>
    <s v="Medium"/>
    <n v="70577"/>
    <n v="0.15"/>
    <n v="81163.549999999988"/>
  </r>
  <r>
    <s v="EMP1053"/>
    <s v="APAC"/>
    <s v="Singapore"/>
    <x v="0"/>
    <s v="Manager"/>
    <x v="253"/>
    <s v="Contractor"/>
    <d v="2016-05-25T00:00:00"/>
    <s v="Active"/>
    <s v="Logistics"/>
    <s v="CC-Sup-548"/>
    <n v="4"/>
    <s v=""/>
    <n v="9"/>
    <x v="2"/>
    <n v="0"/>
    <s v=""/>
    <n v="4"/>
    <s v="No"/>
    <s v="No"/>
    <s v="No"/>
    <n v="2"/>
    <s v="High"/>
    <n v="62555"/>
    <n v="0.15"/>
    <n v="71938.25"/>
  </r>
  <r>
    <s v="EMP1054"/>
    <s v="APAC"/>
    <s v="Singapore"/>
    <x v="2"/>
    <s v="IC"/>
    <x v="88"/>
    <s v="FTE"/>
    <d v="2016-05-22T00:00:00"/>
    <s v="Active"/>
    <s v="Commercial"/>
    <s v="CC-Sal-751"/>
    <n v="5"/>
    <s v=""/>
    <n v="9"/>
    <x v="2"/>
    <n v="0"/>
    <s v=""/>
    <n v="3"/>
    <s v="No"/>
    <s v="No"/>
    <s v="No"/>
    <n v="1"/>
    <s v="High"/>
    <n v="34730"/>
    <n v="0.1"/>
    <n v="38203"/>
  </r>
  <r>
    <s v="EMP1055"/>
    <s v="APAC"/>
    <s v="Singapore"/>
    <x v="2"/>
    <s v="Manager"/>
    <x v="34"/>
    <s v="FTE"/>
    <d v="2016-05-20T00:00:00"/>
    <s v="Active"/>
    <s v="Commercial"/>
    <s v="CC-Sal-144"/>
    <n v="4"/>
    <s v=""/>
    <n v="9"/>
    <x v="2"/>
    <n v="0"/>
    <s v=""/>
    <n v="3"/>
    <s v="No"/>
    <s v="No"/>
    <s v="No"/>
    <n v="2"/>
    <s v="High"/>
    <n v="55963"/>
    <n v="0.15"/>
    <n v="64357.45"/>
  </r>
  <r>
    <s v="EMP1056"/>
    <s v="APAC"/>
    <s v="Singapore"/>
    <x v="1"/>
    <s v="IC"/>
    <x v="102"/>
    <s v="FTE"/>
    <d v="2016-05-15T00:00:00"/>
    <s v="Active"/>
    <s v="Controlling"/>
    <s v="CC-Fin-537"/>
    <n v="5"/>
    <s v=""/>
    <n v="9"/>
    <x v="2"/>
    <n v="0"/>
    <s v=""/>
    <n v="2"/>
    <s v="No"/>
    <s v="No"/>
    <s v="No"/>
    <n v="1"/>
    <s v="High"/>
    <n v="48269"/>
    <n v="0.1"/>
    <n v="53095.9"/>
  </r>
  <r>
    <s v="EMP1057"/>
    <s v="APAC"/>
    <s v="Singapore"/>
    <x v="2"/>
    <s v="IC"/>
    <x v="135"/>
    <s v="FTE"/>
    <d v="2016-05-15T00:00:00"/>
    <s v="Active"/>
    <s v="Commercial"/>
    <s v="CC-Sal-818"/>
    <n v="5"/>
    <s v=""/>
    <n v="9"/>
    <x v="2"/>
    <n v="0"/>
    <s v=""/>
    <n v="4"/>
    <s v="No"/>
    <s v="No"/>
    <s v="No"/>
    <n v="5"/>
    <s v="Low"/>
    <n v="26584"/>
    <n v="0.1"/>
    <n v="29242.400000000001"/>
  </r>
  <r>
    <s v="EMP1058"/>
    <s v="APAC"/>
    <s v="Singapore"/>
    <x v="0"/>
    <s v="IC"/>
    <x v="98"/>
    <s v="FTE"/>
    <d v="2016-05-13T00:00:00"/>
    <s v="Active"/>
    <s v="Logistics"/>
    <s v="CC-Sup-162"/>
    <n v="5"/>
    <s v=""/>
    <n v="9"/>
    <x v="2"/>
    <n v="0"/>
    <s v=""/>
    <n v="4"/>
    <s v="No"/>
    <s v="No"/>
    <s v="No"/>
    <n v="2"/>
    <s v="High"/>
    <n v="40644"/>
    <n v="0.1"/>
    <n v="44708.4"/>
  </r>
  <r>
    <s v="EMP1059"/>
    <s v="APAC"/>
    <s v="Singapore"/>
    <x v="0"/>
    <s v="IC"/>
    <x v="152"/>
    <s v="FTE"/>
    <d v="2016-05-13T00:00:00"/>
    <s v="Active"/>
    <s v="Logistics"/>
    <s v="CC-Sup-195"/>
    <n v="5"/>
    <s v=""/>
    <n v="9"/>
    <x v="2"/>
    <n v="0"/>
    <s v=""/>
    <n v="3"/>
    <s v="No"/>
    <s v="No"/>
    <s v="No"/>
    <n v="2"/>
    <s v="High"/>
    <n v="35981"/>
    <n v="0.1"/>
    <n v="39579.100000000006"/>
  </r>
  <r>
    <s v="EMP1060"/>
    <s v="APAC"/>
    <s v="Singapore"/>
    <x v="0"/>
    <s v="IC"/>
    <x v="87"/>
    <s v="FTE"/>
    <d v="2016-05-12T00:00:00"/>
    <s v="Active"/>
    <s v="Logistics"/>
    <s v="CC-Sup-279"/>
    <n v="5"/>
    <s v=""/>
    <n v="9"/>
    <x v="2"/>
    <n v="0"/>
    <s v=""/>
    <n v="5"/>
    <s v="No"/>
    <s v="No"/>
    <s v="No"/>
    <n v="5"/>
    <s v="Low"/>
    <n v="24843"/>
    <n v="0.1"/>
    <n v="27327.300000000003"/>
  </r>
  <r>
    <s v="EMP1061"/>
    <s v="APAC"/>
    <s v="Singapore"/>
    <x v="2"/>
    <s v="IC"/>
    <x v="61"/>
    <s v="FTE"/>
    <d v="2016-05-11T00:00:00"/>
    <s v="Active"/>
    <s v="Commercial"/>
    <s v="CC-Sal-426"/>
    <n v="5"/>
    <s v=""/>
    <n v="9"/>
    <x v="2"/>
    <n v="0"/>
    <s v=""/>
    <n v="4"/>
    <s v="No"/>
    <s v="No"/>
    <s v="No"/>
    <n v="1"/>
    <s v="High"/>
    <n v="48321"/>
    <n v="0.1"/>
    <n v="53153.100000000006"/>
  </r>
  <r>
    <s v="EMP1062"/>
    <s v="APAC"/>
    <s v="Singapore"/>
    <x v="4"/>
    <s v="Director"/>
    <x v="257"/>
    <s v="FTE"/>
    <d v="2016-05-09T00:00:00"/>
    <s v="Active"/>
    <s v="People Operations"/>
    <s v="CC-HR-630"/>
    <n v="3"/>
    <s v=""/>
    <n v="9"/>
    <x v="2"/>
    <n v="0"/>
    <s v=""/>
    <n v="3"/>
    <s v="No"/>
    <s v="No"/>
    <s v="No"/>
    <n v="2"/>
    <s v="High"/>
    <n v="120009"/>
    <n v="0.2"/>
    <n v="144010.79999999999"/>
  </r>
  <r>
    <s v="EMP1063"/>
    <s v="APAC"/>
    <s v="Singapore"/>
    <x v="0"/>
    <s v="IC"/>
    <x v="210"/>
    <s v="FTE"/>
    <d v="2016-05-08T00:00:00"/>
    <s v="Active"/>
    <s v="Logistics"/>
    <s v="CC-Sup-638"/>
    <n v="5"/>
    <s v=""/>
    <n v="9"/>
    <x v="2"/>
    <n v="0"/>
    <s v=""/>
    <n v="3"/>
    <s v="No"/>
    <s v="No"/>
    <s v="No"/>
    <n v="4"/>
    <s v="Low"/>
    <n v="20863"/>
    <n v="0.1"/>
    <n v="22949.300000000003"/>
  </r>
  <r>
    <s v="EMP1064"/>
    <s v="APAC"/>
    <s v="Singapore"/>
    <x v="0"/>
    <s v="Manager"/>
    <x v="207"/>
    <s v="FTE"/>
    <d v="2016-04-25T00:00:00"/>
    <s v="Active"/>
    <s v="Logistics"/>
    <s v="CC-Sup-796"/>
    <n v="4"/>
    <s v=""/>
    <n v="9"/>
    <x v="2"/>
    <n v="0"/>
    <s v=""/>
    <n v="4"/>
    <s v="No"/>
    <s v="No"/>
    <s v="No"/>
    <n v="2"/>
    <s v="High"/>
    <n v="77013"/>
    <n v="0.15"/>
    <n v="88564.95"/>
  </r>
  <r>
    <s v="EMP1065"/>
    <s v="APAC"/>
    <s v="Singapore"/>
    <x v="1"/>
    <s v="IC"/>
    <x v="123"/>
    <s v="FTE"/>
    <d v="2016-04-24T00:00:00"/>
    <s v="Active"/>
    <s v="Controlling"/>
    <s v="CC-Fin-675"/>
    <n v="5"/>
    <s v=""/>
    <n v="9"/>
    <x v="2"/>
    <n v="0"/>
    <s v=""/>
    <n v="4"/>
    <s v="Yes"/>
    <s v="No"/>
    <s v="No"/>
    <n v="3"/>
    <s v="Medium"/>
    <n v="31956"/>
    <n v="0.1"/>
    <n v="35151.600000000006"/>
  </r>
  <r>
    <s v="EMP1066"/>
    <s v="APAC"/>
    <s v="Singapore"/>
    <x v="1"/>
    <s v="IC"/>
    <x v="202"/>
    <s v="FTE"/>
    <d v="2016-04-14T00:00:00"/>
    <s v="Inactive"/>
    <s v="Controlling"/>
    <s v="CC-Fin-208"/>
    <n v="5"/>
    <d v="2018-05-08T00:00:00"/>
    <n v="2"/>
    <x v="0"/>
    <n v="1"/>
    <s v="Voluntary"/>
    <n v="3"/>
    <s v="No"/>
    <s v="Yes"/>
    <s v="No"/>
    <n v="4"/>
    <s v="Low"/>
    <n v="41192"/>
    <n v="0.1"/>
    <n v="45311.200000000004"/>
  </r>
  <r>
    <s v="EMP1067"/>
    <s v="APAC"/>
    <s v="Singapore"/>
    <x v="0"/>
    <s v="IC"/>
    <x v="20"/>
    <s v="FTE"/>
    <d v="2016-04-13T00:00:00"/>
    <s v="Active"/>
    <s v="Logistics"/>
    <s v="CC-Sup-162"/>
    <n v="5"/>
    <s v=""/>
    <n v="9"/>
    <x v="2"/>
    <n v="0"/>
    <s v=""/>
    <n v="2"/>
    <s v="No"/>
    <s v="No"/>
    <s v="No"/>
    <n v="2"/>
    <s v="High"/>
    <n v="27198"/>
    <n v="0.1"/>
    <n v="29917.800000000003"/>
  </r>
  <r>
    <s v="EMP1068"/>
    <s v="APAC"/>
    <s v="Singapore"/>
    <x v="0"/>
    <s v="IC"/>
    <x v="116"/>
    <s v="FTE"/>
    <d v="2016-04-12T00:00:00"/>
    <s v="Active"/>
    <s v="Logistics"/>
    <s v="CC-Sup-747"/>
    <n v="5"/>
    <s v=""/>
    <n v="9"/>
    <x v="2"/>
    <n v="0"/>
    <s v=""/>
    <n v="5"/>
    <s v="No"/>
    <s v="No"/>
    <s v="No"/>
    <n v="4"/>
    <s v="Low"/>
    <n v="32649"/>
    <n v="0.1"/>
    <n v="35913.9"/>
  </r>
  <r>
    <s v="EMP1069"/>
    <s v="APAC"/>
    <s v="Singapore"/>
    <x v="2"/>
    <s v="IC"/>
    <x v="197"/>
    <s v="FTE"/>
    <d v="2016-04-12T00:00:00"/>
    <s v="Active"/>
    <s v="Commercial"/>
    <s v="CC-Sal-461"/>
    <n v="5"/>
    <s v=""/>
    <n v="9"/>
    <x v="2"/>
    <n v="0"/>
    <s v=""/>
    <n v="3"/>
    <s v="No"/>
    <s v="No"/>
    <s v="No"/>
    <n v="2"/>
    <s v="High"/>
    <n v="31472"/>
    <n v="0.1"/>
    <n v="34619.200000000004"/>
  </r>
  <r>
    <s v="EMP1070"/>
    <s v="APAC"/>
    <s v="Singapore"/>
    <x v="3"/>
    <s v="IC"/>
    <x v="31"/>
    <s v="FTE"/>
    <d v="2016-04-12T00:00:00"/>
    <s v="Active"/>
    <s v="Manufacturing"/>
    <s v="CC-Ope-661"/>
    <n v="5"/>
    <s v=""/>
    <n v="9"/>
    <x v="2"/>
    <n v="0"/>
    <s v=""/>
    <n v="3"/>
    <s v="No"/>
    <s v="Yes"/>
    <s v="No"/>
    <n v="4"/>
    <s v="Low"/>
    <n v="32396"/>
    <n v="0.1"/>
    <n v="35635.600000000006"/>
  </r>
  <r>
    <s v="EMP1071"/>
    <s v="APAC"/>
    <s v="Singapore"/>
    <x v="5"/>
    <s v="IC"/>
    <x v="9"/>
    <s v="FTE"/>
    <d v="2016-04-08T00:00:00"/>
    <s v="Active"/>
    <s v="Technology"/>
    <s v="CC-IT-788"/>
    <n v="5"/>
    <s v=""/>
    <n v="9"/>
    <x v="2"/>
    <n v="0"/>
    <s v=""/>
    <n v="3"/>
    <s v="No"/>
    <s v="No"/>
    <s v="No"/>
    <n v="3"/>
    <s v="Medium"/>
    <n v="37960"/>
    <n v="0.1"/>
    <n v="41756"/>
  </r>
  <r>
    <s v="EMP1072"/>
    <s v="APAC"/>
    <s v="Singapore"/>
    <x v="1"/>
    <s v="IC"/>
    <x v="176"/>
    <s v="Contractor"/>
    <d v="2016-04-07T00:00:00"/>
    <s v="Active"/>
    <s v="Controlling"/>
    <s v="CC-Fin-148"/>
    <n v="5"/>
    <s v=""/>
    <n v="9"/>
    <x v="2"/>
    <n v="0"/>
    <s v=""/>
    <n v="4"/>
    <s v="No"/>
    <s v="No"/>
    <s v="No"/>
    <n v="2"/>
    <s v="High"/>
    <n v="38545"/>
    <n v="0.1"/>
    <n v="42399.5"/>
  </r>
  <r>
    <s v="EMP1073"/>
    <s v="APAC"/>
    <s v="Singapore"/>
    <x v="3"/>
    <s v="IC"/>
    <x v="101"/>
    <s v="FTE"/>
    <d v="2016-04-06T00:00:00"/>
    <s v="Active"/>
    <s v="Manufacturing"/>
    <s v="CC-Ope-127"/>
    <n v="5"/>
    <s v=""/>
    <n v="9"/>
    <x v="2"/>
    <n v="0"/>
    <s v=""/>
    <n v="3"/>
    <s v="No"/>
    <s v="No"/>
    <s v="No"/>
    <n v="2"/>
    <s v="High"/>
    <n v="45979"/>
    <n v="0.1"/>
    <n v="50576.9"/>
  </r>
  <r>
    <s v="EMP1074"/>
    <s v="APAC"/>
    <s v="Singapore"/>
    <x v="0"/>
    <s v="Director"/>
    <x v="223"/>
    <s v="FTE"/>
    <d v="2016-03-28T00:00:00"/>
    <s v="Active"/>
    <s v="Logistics"/>
    <s v="CC-Sup-958"/>
    <n v="3"/>
    <s v=""/>
    <n v="9"/>
    <x v="2"/>
    <n v="0"/>
    <s v=""/>
    <n v="4"/>
    <s v="Yes"/>
    <s v="No"/>
    <s v="No"/>
    <n v="2"/>
    <s v="High"/>
    <n v="106436"/>
    <n v="0.2"/>
    <n v="127723.2"/>
  </r>
  <r>
    <s v="EMP1075"/>
    <s v="APAC"/>
    <s v="Singapore"/>
    <x v="3"/>
    <s v="IC"/>
    <x v="82"/>
    <s v="FTE"/>
    <d v="2016-03-28T00:00:00"/>
    <s v="Active"/>
    <s v="Manufacturing"/>
    <s v="CC-Ope-197"/>
    <n v="5"/>
    <s v=""/>
    <n v="9"/>
    <x v="2"/>
    <n v="0"/>
    <s v=""/>
    <n v="4"/>
    <s v="No"/>
    <s v="No"/>
    <s v="No"/>
    <n v="4"/>
    <s v="Low"/>
    <n v="26926"/>
    <n v="0.1"/>
    <n v="29618.600000000002"/>
  </r>
  <r>
    <s v="EMP1076"/>
    <s v="APAC"/>
    <s v="Singapore"/>
    <x v="0"/>
    <s v="IC"/>
    <x v="25"/>
    <s v="FTE"/>
    <d v="2016-03-27T00:00:00"/>
    <s v="Active"/>
    <s v="Logistics"/>
    <s v="CC-Sup-160"/>
    <n v="5"/>
    <s v=""/>
    <n v="9"/>
    <x v="2"/>
    <n v="0"/>
    <s v=""/>
    <n v="3"/>
    <s v="No"/>
    <s v="No"/>
    <s v="No"/>
    <n v="2"/>
    <s v="High"/>
    <n v="23873"/>
    <n v="0.1"/>
    <n v="26260.300000000003"/>
  </r>
  <r>
    <s v="EMP1077"/>
    <s v="APAC"/>
    <s v="Singapore"/>
    <x v="2"/>
    <s v="Manager"/>
    <x v="216"/>
    <s v="FTE"/>
    <d v="2016-03-24T00:00:00"/>
    <s v="Active"/>
    <s v="Commercial"/>
    <s v="CC-Sal-867"/>
    <n v="4"/>
    <s v=""/>
    <n v="9"/>
    <x v="2"/>
    <n v="0"/>
    <s v=""/>
    <n v="3"/>
    <s v="No"/>
    <s v="Yes"/>
    <s v="Yes"/>
    <n v="4"/>
    <s v="Low"/>
    <n v="68959"/>
    <n v="0.15"/>
    <n v="79302.849999999991"/>
  </r>
  <r>
    <s v="EMP1078"/>
    <s v="APAC"/>
    <s v="Singapore"/>
    <x v="1"/>
    <s v="IC"/>
    <x v="236"/>
    <s v="FTE"/>
    <d v="2016-03-19T00:00:00"/>
    <s v="Active"/>
    <s v="Controlling"/>
    <s v="CC-Fin-857"/>
    <n v="5"/>
    <s v=""/>
    <n v="9"/>
    <x v="2"/>
    <n v="0"/>
    <s v=""/>
    <n v="4"/>
    <s v="No"/>
    <s v="No"/>
    <s v="No"/>
    <n v="1"/>
    <s v="High"/>
    <n v="31261"/>
    <n v="0.1"/>
    <n v="34387.100000000006"/>
  </r>
  <r>
    <s v="EMP1079"/>
    <s v="APAC"/>
    <s v="Singapore"/>
    <x v="4"/>
    <s v="IC"/>
    <x v="59"/>
    <s v="FTE"/>
    <d v="2016-03-14T00:00:00"/>
    <s v="Active"/>
    <s v="People Operations"/>
    <s v="CC-HR-194"/>
    <n v="5"/>
    <s v=""/>
    <n v="9"/>
    <x v="2"/>
    <n v="0"/>
    <s v=""/>
    <n v="3"/>
    <s v="No"/>
    <s v="No"/>
    <s v="No"/>
    <n v="3"/>
    <s v="Medium"/>
    <n v="32132"/>
    <n v="0.1"/>
    <n v="35345.200000000004"/>
  </r>
  <r>
    <s v="EMP1080"/>
    <s v="APAC"/>
    <s v="Singapore"/>
    <x v="3"/>
    <s v="IC"/>
    <x v="64"/>
    <s v="FTE"/>
    <d v="2016-03-13T00:00:00"/>
    <s v="Inactive"/>
    <s v="Manufacturing"/>
    <s v="CC-Ope-455"/>
    <n v="5"/>
    <d v="2017-08-02T00:00:00"/>
    <n v="1"/>
    <x v="0"/>
    <n v="1"/>
    <s v="Voluntary"/>
    <n v="4"/>
    <s v="No"/>
    <s v="No"/>
    <s v="No"/>
    <n v="4"/>
    <s v="Low"/>
    <n v="23459"/>
    <n v="0.1"/>
    <n v="25804.9"/>
  </r>
  <r>
    <s v="EMP1081"/>
    <s v="APAC"/>
    <s v="Singapore"/>
    <x v="5"/>
    <s v="IC"/>
    <x v="84"/>
    <s v="FTE"/>
    <d v="2016-03-11T00:00:00"/>
    <s v="Active"/>
    <s v="Technology"/>
    <s v="CC-IT-716"/>
    <n v="5"/>
    <s v=""/>
    <n v="9"/>
    <x v="2"/>
    <n v="0"/>
    <s v=""/>
    <n v="2"/>
    <s v="No"/>
    <s v="No"/>
    <s v="No"/>
    <n v="5"/>
    <s v="Low"/>
    <n v="26221"/>
    <n v="0.1"/>
    <n v="28843.100000000002"/>
  </r>
  <r>
    <s v="EMP1082"/>
    <s v="APAC"/>
    <s v="Singapore"/>
    <x v="0"/>
    <s v="IC"/>
    <x v="230"/>
    <s v="FTE"/>
    <d v="2016-03-08T00:00:00"/>
    <s v="Active"/>
    <s v="Logistics"/>
    <s v="CC-Sup-711"/>
    <n v="5"/>
    <s v=""/>
    <n v="9"/>
    <x v="2"/>
    <n v="0"/>
    <s v=""/>
    <n v="3"/>
    <s v="No"/>
    <s v="No"/>
    <s v="No"/>
    <n v="4"/>
    <s v="Low"/>
    <n v="26873"/>
    <n v="0.1"/>
    <n v="29560.300000000003"/>
  </r>
  <r>
    <s v="EMP1083"/>
    <s v="APAC"/>
    <s v="Singapore"/>
    <x v="1"/>
    <s v="IC"/>
    <x v="12"/>
    <s v="FTE"/>
    <d v="2016-03-04T00:00:00"/>
    <s v="Inactive"/>
    <s v="Controlling"/>
    <s v="CC-Fin-830"/>
    <n v="5"/>
    <d v="2019-05-27T00:00:00"/>
    <n v="3"/>
    <x v="1"/>
    <n v="0"/>
    <s v="Involuntary"/>
    <n v="4"/>
    <s v="No"/>
    <s v="No"/>
    <s v="No"/>
    <n v="3"/>
    <s v="Medium"/>
    <n v="32156"/>
    <n v="0.1"/>
    <n v="35371.600000000006"/>
  </r>
  <r>
    <s v="EMP1084"/>
    <s v="APAC"/>
    <s v="Singapore"/>
    <x v="4"/>
    <s v="IC"/>
    <x v="166"/>
    <s v="FTE"/>
    <d v="2016-02-28T00:00:00"/>
    <s v="Active"/>
    <s v="People Operations"/>
    <s v="CC-HR-691"/>
    <n v="5"/>
    <s v=""/>
    <n v="9"/>
    <x v="2"/>
    <n v="0"/>
    <s v=""/>
    <n v="3"/>
    <s v="No"/>
    <s v="No"/>
    <s v="No"/>
    <n v="1"/>
    <s v="High"/>
    <n v="44864"/>
    <n v="0.1"/>
    <n v="49350.400000000001"/>
  </r>
  <r>
    <s v="EMP1085"/>
    <s v="APAC"/>
    <s v="Singapore"/>
    <x v="4"/>
    <s v="IC"/>
    <x v="44"/>
    <s v="FTE"/>
    <d v="2016-02-26T00:00:00"/>
    <s v="Inactive"/>
    <s v="People Operations"/>
    <s v="CC-HR-714"/>
    <n v="5"/>
    <d v="2021-01-15T00:00:00"/>
    <n v="4"/>
    <x v="1"/>
    <n v="0"/>
    <s v="Voluntary"/>
    <n v="3"/>
    <s v="No"/>
    <s v="Yes"/>
    <s v="No"/>
    <n v="3"/>
    <s v="Medium"/>
    <n v="45991"/>
    <n v="0.1"/>
    <n v="50590.100000000006"/>
  </r>
  <r>
    <s v="EMP1086"/>
    <s v="APAC"/>
    <s v="Singapore"/>
    <x v="4"/>
    <s v="IC"/>
    <x v="40"/>
    <s v="FTE"/>
    <d v="2016-02-23T00:00:00"/>
    <s v="Active"/>
    <s v="People Operations"/>
    <s v="CC-HR-237"/>
    <n v="5"/>
    <s v=""/>
    <n v="9"/>
    <x v="2"/>
    <n v="0"/>
    <s v=""/>
    <n v="3"/>
    <s v="Yes"/>
    <s v="No"/>
    <s v="No"/>
    <n v="1"/>
    <s v="High"/>
    <n v="37452"/>
    <n v="0.1"/>
    <n v="41197.200000000004"/>
  </r>
  <r>
    <s v="EMP1087"/>
    <s v="APAC"/>
    <s v="Singapore"/>
    <x v="1"/>
    <s v="IC"/>
    <x v="176"/>
    <s v="FTE"/>
    <d v="2016-02-17T00:00:00"/>
    <s v="Active"/>
    <s v="Controlling"/>
    <s v="CC-Fin-878"/>
    <n v="5"/>
    <s v=""/>
    <n v="10"/>
    <x v="2"/>
    <n v="0"/>
    <s v=""/>
    <n v="4"/>
    <s v="Yes"/>
    <s v="No"/>
    <s v="No"/>
    <n v="4"/>
    <s v="Low"/>
    <n v="24211"/>
    <n v="0.1"/>
    <n v="26632.100000000002"/>
  </r>
  <r>
    <s v="EMP1088"/>
    <s v="APAC"/>
    <s v="Singapore"/>
    <x v="3"/>
    <s v="Manager"/>
    <x v="226"/>
    <s v="FTE"/>
    <d v="2016-02-13T00:00:00"/>
    <s v="Active"/>
    <s v="Manufacturing"/>
    <s v="CC-Ope-620"/>
    <n v="4"/>
    <s v=""/>
    <n v="10"/>
    <x v="2"/>
    <n v="0"/>
    <s v=""/>
    <n v="4"/>
    <s v="No"/>
    <s v="No"/>
    <s v="No"/>
    <n v="4"/>
    <s v="Low"/>
    <n v="54380"/>
    <n v="0.15"/>
    <n v="62536.999999999993"/>
  </r>
  <r>
    <s v="EMP1089"/>
    <s v="APAC"/>
    <s v="Singapore"/>
    <x v="2"/>
    <s v="Manager"/>
    <x v="221"/>
    <s v="FTE"/>
    <d v="2016-02-12T00:00:00"/>
    <s v="Active"/>
    <s v="Commercial"/>
    <s v="CC-Sal-328"/>
    <n v="4"/>
    <s v=""/>
    <n v="10"/>
    <x v="2"/>
    <n v="0"/>
    <s v=""/>
    <n v="4"/>
    <s v="No"/>
    <s v="No"/>
    <s v="No"/>
    <n v="5"/>
    <s v="Low"/>
    <n v="58627"/>
    <n v="0.15"/>
    <n v="67421.049999999988"/>
  </r>
  <r>
    <s v="EMP1090"/>
    <s v="APAC"/>
    <s v="Singapore"/>
    <x v="3"/>
    <s v="Manager"/>
    <x v="75"/>
    <s v="FTE"/>
    <d v="2016-02-09T00:00:00"/>
    <s v="Active"/>
    <s v="Manufacturing"/>
    <s v="CC-Ope-531"/>
    <n v="4"/>
    <s v=""/>
    <n v="10"/>
    <x v="2"/>
    <n v="0"/>
    <s v=""/>
    <n v="4"/>
    <s v="No"/>
    <s v="No"/>
    <s v="No"/>
    <n v="5"/>
    <s v="Low"/>
    <n v="70683"/>
    <n v="0.15"/>
    <n v="81285.45"/>
  </r>
  <r>
    <s v="EMP1091"/>
    <s v="APAC"/>
    <s v="Singapore"/>
    <x v="5"/>
    <s v="IC"/>
    <x v="161"/>
    <s v="FTE"/>
    <d v="2016-02-06T00:00:00"/>
    <s v="Active"/>
    <s v="Technology"/>
    <s v="CC-IT-536"/>
    <n v="5"/>
    <s v=""/>
    <n v="10"/>
    <x v="2"/>
    <n v="0"/>
    <s v=""/>
    <n v="4"/>
    <s v="No"/>
    <s v="No"/>
    <s v="No"/>
    <n v="3"/>
    <s v="Medium"/>
    <n v="40618"/>
    <n v="0.1"/>
    <n v="44679.8"/>
  </r>
  <r>
    <s v="EMP1092"/>
    <s v="APAC"/>
    <s v="Singapore"/>
    <x v="3"/>
    <s v="IC"/>
    <x v="186"/>
    <s v="FTE"/>
    <d v="2016-02-05T00:00:00"/>
    <s v="Active"/>
    <s v="Manufacturing"/>
    <s v="CC-Ope-676"/>
    <n v="5"/>
    <s v=""/>
    <n v="10"/>
    <x v="2"/>
    <n v="0"/>
    <s v=""/>
    <n v="5"/>
    <s v="No"/>
    <s v="Yes"/>
    <s v="No"/>
    <n v="2"/>
    <s v="High"/>
    <n v="48283"/>
    <n v="0.1"/>
    <n v="53111.3"/>
  </r>
  <r>
    <s v="EMP1093"/>
    <s v="APAC"/>
    <s v="Singapore"/>
    <x v="4"/>
    <s v="IC"/>
    <x v="41"/>
    <s v="Contractor"/>
    <d v="2016-02-04T00:00:00"/>
    <s v="Active"/>
    <s v="People Operations"/>
    <s v="CC-HR-100"/>
    <n v="5"/>
    <s v=""/>
    <n v="10"/>
    <x v="2"/>
    <n v="0"/>
    <s v=""/>
    <n v="3"/>
    <s v="Yes"/>
    <s v="No"/>
    <s v="No"/>
    <n v="1"/>
    <s v="High"/>
    <n v="41436"/>
    <n v="0.1"/>
    <n v="45579.600000000006"/>
  </r>
  <r>
    <s v="EMP1094"/>
    <s v="APAC"/>
    <s v="Singapore"/>
    <x v="2"/>
    <s v="IC"/>
    <x v="45"/>
    <s v="FTE"/>
    <d v="2016-02-04T00:00:00"/>
    <s v="Active"/>
    <s v="Commercial"/>
    <s v="CC-Sal-592"/>
    <n v="5"/>
    <s v=""/>
    <n v="10"/>
    <x v="2"/>
    <n v="0"/>
    <s v=""/>
    <n v="5"/>
    <s v="No"/>
    <s v="No"/>
    <s v="No"/>
    <n v="1"/>
    <s v="High"/>
    <n v="37717"/>
    <n v="0.1"/>
    <n v="41488.700000000004"/>
  </r>
  <r>
    <s v="EMP1095"/>
    <s v="APAC"/>
    <s v="Singapore"/>
    <x v="3"/>
    <s v="IC"/>
    <x v="91"/>
    <s v="FTE"/>
    <d v="2016-02-04T00:00:00"/>
    <s v="Active"/>
    <s v="Manufacturing"/>
    <s v="CC-Ope-918"/>
    <n v="5"/>
    <s v=""/>
    <n v="10"/>
    <x v="2"/>
    <n v="0"/>
    <s v=""/>
    <n v="4"/>
    <s v="No"/>
    <s v="No"/>
    <s v="No"/>
    <n v="3"/>
    <s v="Medium"/>
    <n v="25857"/>
    <n v="0.1"/>
    <n v="28442.7"/>
  </r>
  <r>
    <s v="EMP1096"/>
    <s v="APAC"/>
    <s v="Singapore"/>
    <x v="4"/>
    <s v="Manager"/>
    <x v="221"/>
    <s v="FTE"/>
    <d v="2016-02-02T00:00:00"/>
    <s v="Active"/>
    <s v="People Operations"/>
    <s v="CC-HR-635"/>
    <n v="4"/>
    <s v=""/>
    <n v="10"/>
    <x v="2"/>
    <n v="0"/>
    <s v=""/>
    <n v="5"/>
    <s v="No"/>
    <s v="No"/>
    <s v="No"/>
    <n v="1"/>
    <s v="High"/>
    <n v="53048"/>
    <n v="0.15"/>
    <n v="61005.2"/>
  </r>
  <r>
    <s v="EMP1097"/>
    <s v="APAC"/>
    <s v="Singapore"/>
    <x v="4"/>
    <s v="IC"/>
    <x v="20"/>
    <s v="FTE"/>
    <d v="2016-01-27T00:00:00"/>
    <s v="Active"/>
    <s v="People Operations"/>
    <s v="CC-HR-112"/>
    <n v="5"/>
    <s v=""/>
    <n v="10"/>
    <x v="2"/>
    <n v="0"/>
    <s v=""/>
    <n v="4"/>
    <s v="No"/>
    <s v="No"/>
    <s v="No"/>
    <n v="5"/>
    <s v="Low"/>
    <n v="29378"/>
    <n v="0.1"/>
    <n v="32315.800000000003"/>
  </r>
  <r>
    <s v="EMP1098"/>
    <s v="APAC"/>
    <s v="Singapore"/>
    <x v="4"/>
    <s v="IC"/>
    <x v="197"/>
    <s v="FTE"/>
    <d v="2016-01-26T00:00:00"/>
    <s v="Active"/>
    <s v="People Operations"/>
    <s v="CC-HR-730"/>
    <n v="5"/>
    <s v=""/>
    <n v="10"/>
    <x v="2"/>
    <n v="0"/>
    <s v=""/>
    <n v="2"/>
    <s v="No"/>
    <s v="No"/>
    <s v="No"/>
    <n v="4"/>
    <s v="Low"/>
    <n v="43852"/>
    <n v="0.1"/>
    <n v="48237.200000000004"/>
  </r>
  <r>
    <s v="EMP1099"/>
    <s v="APAC"/>
    <s v="Singapore"/>
    <x v="4"/>
    <s v="IC"/>
    <x v="129"/>
    <s v="FTE"/>
    <d v="2016-01-20T00:00:00"/>
    <s v="Active"/>
    <s v="People Operations"/>
    <s v="CC-HR-282"/>
    <n v="5"/>
    <s v=""/>
    <n v="10"/>
    <x v="2"/>
    <n v="0"/>
    <s v=""/>
    <n v="3"/>
    <s v="No"/>
    <s v="No"/>
    <s v="No"/>
    <n v="2"/>
    <s v="High"/>
    <n v="24478"/>
    <n v="0.1"/>
    <n v="26925.800000000003"/>
  </r>
  <r>
    <s v="EMP1100"/>
    <s v="APAC"/>
    <s v="Singapore"/>
    <x v="2"/>
    <s v="IC"/>
    <x v="230"/>
    <s v="FTE"/>
    <d v="2016-01-13T00:00:00"/>
    <s v="Active"/>
    <s v="Commercial"/>
    <s v="CC-Sal-391"/>
    <n v="5"/>
    <s v=""/>
    <n v="10"/>
    <x v="2"/>
    <n v="0"/>
    <s v=""/>
    <n v="3"/>
    <s v="Yes"/>
    <s v="No"/>
    <s v="No"/>
    <n v="5"/>
    <s v="Low"/>
    <n v="46331"/>
    <n v="0.1"/>
    <n v="50964.100000000006"/>
  </r>
  <r>
    <s v="EMP1101"/>
    <s v="APAC"/>
    <s v="Singapore"/>
    <x v="1"/>
    <s v="IC"/>
    <x v="138"/>
    <s v="FTE"/>
    <d v="2016-01-05T00:00:00"/>
    <s v="Active"/>
    <s v="Controlling"/>
    <s v="CC-Fin-689"/>
    <n v="5"/>
    <s v=""/>
    <n v="10"/>
    <x v="2"/>
    <n v="0"/>
    <s v=""/>
    <n v="2"/>
    <s v="No"/>
    <s v="No"/>
    <s v="No"/>
    <n v="5"/>
    <s v="Low"/>
    <n v="39466"/>
    <n v="0.1"/>
    <n v="43412.600000000006"/>
  </r>
  <r>
    <s v="EMP1102"/>
    <s v="APAC"/>
    <s v="Singapore"/>
    <x v="4"/>
    <s v="IC"/>
    <x v="12"/>
    <s v="FTE"/>
    <d v="2015-12-28T00:00:00"/>
    <s v="Active"/>
    <s v="People Operations"/>
    <s v="CC-HR-466"/>
    <n v="5"/>
    <s v=""/>
    <n v="10"/>
    <x v="2"/>
    <n v="0"/>
    <s v=""/>
    <n v="3"/>
    <s v="No"/>
    <s v="Yes"/>
    <s v="No"/>
    <n v="3"/>
    <s v="Medium"/>
    <n v="29483"/>
    <n v="0.1"/>
    <n v="32431.300000000003"/>
  </r>
  <r>
    <s v="EMP1103"/>
    <s v="APAC"/>
    <s v="Singapore"/>
    <x v="1"/>
    <s v="IC"/>
    <x v="36"/>
    <s v="FTE"/>
    <d v="2015-12-26T00:00:00"/>
    <s v="Active"/>
    <s v="Controlling"/>
    <s v="CC-Fin-572"/>
    <n v="5"/>
    <s v=""/>
    <n v="10"/>
    <x v="2"/>
    <n v="0"/>
    <s v=""/>
    <n v="4"/>
    <s v="No"/>
    <s v="No"/>
    <s v="No"/>
    <n v="4"/>
    <s v="Low"/>
    <n v="39597"/>
    <n v="0.1"/>
    <n v="43556.700000000004"/>
  </r>
  <r>
    <s v="EMP1104"/>
    <s v="APAC"/>
    <s v="Singapore"/>
    <x v="1"/>
    <s v="IC"/>
    <x v="116"/>
    <s v="FTE"/>
    <d v="2015-12-25T00:00:00"/>
    <s v="Inactive"/>
    <s v="Controlling"/>
    <s v="CC-Fin-282"/>
    <n v="5"/>
    <d v="2022-08-25T00:00:00"/>
    <n v="6"/>
    <x v="2"/>
    <n v="0"/>
    <s v="Voluntary"/>
    <n v="1"/>
    <s v="No"/>
    <s v="No"/>
    <s v="No"/>
    <n v="3"/>
    <s v="Medium"/>
    <n v="44121"/>
    <n v="0.1"/>
    <n v="48533.100000000006"/>
  </r>
  <r>
    <s v="EMP1105"/>
    <s v="APAC"/>
    <s v="Singapore"/>
    <x v="2"/>
    <s v="IC"/>
    <x v="39"/>
    <s v="FTE"/>
    <d v="2015-12-19T00:00:00"/>
    <s v="Active"/>
    <s v="Commercial"/>
    <s v="CC-Sal-641"/>
    <n v="5"/>
    <s v=""/>
    <n v="10"/>
    <x v="2"/>
    <n v="0"/>
    <s v=""/>
    <n v="4"/>
    <s v="Yes"/>
    <s v="No"/>
    <s v="No"/>
    <n v="2"/>
    <s v="High"/>
    <n v="25323"/>
    <n v="0.1"/>
    <n v="27855.300000000003"/>
  </r>
  <r>
    <s v="EMP1106"/>
    <s v="APAC"/>
    <s v="Singapore"/>
    <x v="5"/>
    <s v="IC"/>
    <x v="115"/>
    <s v="FTE"/>
    <d v="2015-12-17T00:00:00"/>
    <s v="Active"/>
    <s v="Technology"/>
    <s v="CC-IT-745"/>
    <n v="5"/>
    <s v=""/>
    <n v="10"/>
    <x v="2"/>
    <n v="0"/>
    <s v=""/>
    <n v="3"/>
    <s v="No"/>
    <s v="No"/>
    <s v="No"/>
    <n v="1"/>
    <s v="High"/>
    <n v="24737"/>
    <n v="0.1"/>
    <n v="27210.7"/>
  </r>
  <r>
    <s v="EMP1107"/>
    <s v="APAC"/>
    <s v="Singapore"/>
    <x v="3"/>
    <s v="IC"/>
    <x v="222"/>
    <s v="FTE"/>
    <d v="2015-12-16T00:00:00"/>
    <s v="Active"/>
    <s v="Manufacturing"/>
    <s v="CC-Ope-732"/>
    <n v="5"/>
    <s v=""/>
    <n v="10"/>
    <x v="2"/>
    <n v="0"/>
    <s v=""/>
    <n v="2"/>
    <s v="No"/>
    <s v="No"/>
    <s v="No"/>
    <n v="2"/>
    <s v="High"/>
    <n v="42467"/>
    <n v="0.1"/>
    <n v="46713.700000000004"/>
  </r>
  <r>
    <s v="EMP1108"/>
    <s v="APAC"/>
    <s v="Singapore"/>
    <x v="3"/>
    <s v="Manager"/>
    <x v="218"/>
    <s v="FTE"/>
    <d v="2015-12-15T00:00:00"/>
    <s v="Active"/>
    <s v="Manufacturing"/>
    <s v="CC-Ope-464"/>
    <n v="4"/>
    <s v=""/>
    <n v="10"/>
    <x v="2"/>
    <n v="0"/>
    <s v=""/>
    <n v="4"/>
    <s v="No"/>
    <s v="No"/>
    <s v="No"/>
    <n v="2"/>
    <s v="High"/>
    <n v="65542"/>
    <n v="0.15"/>
    <n v="75373.299999999988"/>
  </r>
  <r>
    <s v="EMP1109"/>
    <s v="APAC"/>
    <s v="Singapore"/>
    <x v="2"/>
    <s v="VP"/>
    <x v="249"/>
    <s v="FTE"/>
    <d v="2015-12-14T00:00:00"/>
    <s v="Active"/>
    <s v="Commercial"/>
    <s v="CC-Sal-664"/>
    <n v="2"/>
    <s v=""/>
    <n v="10"/>
    <x v="2"/>
    <n v="0"/>
    <s v=""/>
    <n v="3"/>
    <s v="No"/>
    <s v="No"/>
    <s v="No"/>
    <n v="2"/>
    <s v="High"/>
    <n v="156259"/>
    <n v="0.25"/>
    <n v="195323.75"/>
  </r>
  <r>
    <s v="EMP1110"/>
    <s v="APAC"/>
    <s v="Singapore"/>
    <x v="0"/>
    <s v="IC"/>
    <x v="152"/>
    <s v="FTE"/>
    <d v="2015-12-12T00:00:00"/>
    <s v="Active"/>
    <s v="Logistics"/>
    <s v="CC-Sup-621"/>
    <n v="5"/>
    <s v=""/>
    <n v="10"/>
    <x v="2"/>
    <n v="0"/>
    <s v=""/>
    <n v="5"/>
    <s v="Yes"/>
    <s v="No"/>
    <s v="No"/>
    <n v="3"/>
    <s v="Medium"/>
    <n v="30739"/>
    <n v="0.1"/>
    <n v="33812.9"/>
  </r>
  <r>
    <s v="EMP1111"/>
    <s v="APAC"/>
    <s v="Singapore"/>
    <x v="5"/>
    <s v="IC"/>
    <x v="152"/>
    <s v="FTE"/>
    <d v="2015-12-11T00:00:00"/>
    <s v="Active"/>
    <s v="Technology"/>
    <s v="CC-IT-340"/>
    <n v="5"/>
    <s v=""/>
    <n v="10"/>
    <x v="2"/>
    <n v="0"/>
    <s v=""/>
    <n v="3"/>
    <s v="No"/>
    <s v="No"/>
    <s v="No"/>
    <n v="2"/>
    <s v="High"/>
    <n v="31321"/>
    <n v="0.1"/>
    <n v="34453.100000000006"/>
  </r>
  <r>
    <s v="EMP1112"/>
    <s v="APAC"/>
    <s v="Singapore"/>
    <x v="3"/>
    <s v="Manager"/>
    <x v="16"/>
    <s v="FTE"/>
    <d v="2015-12-09T00:00:00"/>
    <s v="Active"/>
    <s v="Manufacturing"/>
    <s v="CC-Ope-238"/>
    <n v="4"/>
    <s v=""/>
    <n v="10"/>
    <x v="2"/>
    <n v="0"/>
    <s v=""/>
    <n v="3"/>
    <s v="No"/>
    <s v="No"/>
    <s v="No"/>
    <n v="1"/>
    <s v="High"/>
    <n v="53678"/>
    <n v="0.15"/>
    <n v="61729.7"/>
  </r>
  <r>
    <s v="EMP1113"/>
    <s v="APAC"/>
    <s v="Singapore"/>
    <x v="3"/>
    <s v="Director"/>
    <x v="11"/>
    <s v="FTE"/>
    <d v="2015-12-02T00:00:00"/>
    <s v="Active"/>
    <s v="Manufacturing"/>
    <s v="CC-Ope-829"/>
    <n v="3"/>
    <s v=""/>
    <n v="10"/>
    <x v="2"/>
    <n v="0"/>
    <s v=""/>
    <n v="4"/>
    <s v="No"/>
    <s v="No"/>
    <s v="No"/>
    <n v="1"/>
    <s v="High"/>
    <n v="100593"/>
    <n v="0.2"/>
    <n v="120711.59999999999"/>
  </r>
  <r>
    <s v="EMP1114"/>
    <s v="APAC"/>
    <s v="Singapore"/>
    <x v="4"/>
    <s v="Manager"/>
    <x v="258"/>
    <s v="FTE"/>
    <d v="2015-11-20T00:00:00"/>
    <s v="Active"/>
    <s v="People Operations"/>
    <s v="CC-HR-231"/>
    <n v="4"/>
    <s v=""/>
    <n v="10"/>
    <x v="2"/>
    <n v="0"/>
    <s v=""/>
    <n v="4"/>
    <s v="No"/>
    <s v="Yes"/>
    <s v="Yes"/>
    <n v="1"/>
    <s v="High"/>
    <n v="69194"/>
    <n v="0.15"/>
    <n v="79573.099999999991"/>
  </r>
  <r>
    <s v="EMP1115"/>
    <s v="APAC"/>
    <s v="Singapore"/>
    <x v="4"/>
    <s v="IC"/>
    <x v="68"/>
    <s v="FTE"/>
    <d v="2015-11-16T00:00:00"/>
    <s v="Active"/>
    <s v="People Operations"/>
    <s v="CC-HR-511"/>
    <n v="5"/>
    <s v=""/>
    <n v="10"/>
    <x v="2"/>
    <n v="0"/>
    <s v=""/>
    <n v="3"/>
    <s v="No"/>
    <s v="No"/>
    <s v="No"/>
    <n v="1"/>
    <s v="High"/>
    <n v="25021"/>
    <n v="0.1"/>
    <n v="27523.100000000002"/>
  </r>
  <r>
    <s v="EMP1116"/>
    <s v="APAC"/>
    <s v="Singapore"/>
    <x v="1"/>
    <s v="IC"/>
    <x v="78"/>
    <s v="FTE"/>
    <d v="2015-11-06T00:00:00"/>
    <s v="Inactive"/>
    <s v="Controlling"/>
    <s v="CC-Fin-732"/>
    <n v="5"/>
    <d v="2019-11-19T00:00:00"/>
    <n v="4"/>
    <x v="1"/>
    <n v="0"/>
    <s v="Voluntary"/>
    <n v="3"/>
    <s v="No"/>
    <s v="No"/>
    <s v="No"/>
    <n v="1"/>
    <s v="High"/>
    <n v="28908"/>
    <n v="0.1"/>
    <n v="31798.800000000003"/>
  </r>
  <r>
    <s v="EMP1117"/>
    <s v="APAC"/>
    <s v="Singapore"/>
    <x v="0"/>
    <s v="IC"/>
    <x v="19"/>
    <s v="FTE"/>
    <d v="2015-11-04T00:00:00"/>
    <s v="Active"/>
    <s v="Logistics"/>
    <s v="CC-Sup-104"/>
    <n v="5"/>
    <s v=""/>
    <n v="10"/>
    <x v="2"/>
    <n v="0"/>
    <s v=""/>
    <n v="3"/>
    <s v="No"/>
    <s v="No"/>
    <s v="No"/>
    <n v="4"/>
    <s v="Low"/>
    <n v="22551"/>
    <n v="0.1"/>
    <n v="24806.100000000002"/>
  </r>
  <r>
    <s v="EMP1118"/>
    <s v="APAC"/>
    <s v="Singapore"/>
    <x v="0"/>
    <s v="Director"/>
    <x v="43"/>
    <s v="FTE"/>
    <d v="2015-11-03T00:00:00"/>
    <s v="Active"/>
    <s v="Logistics"/>
    <s v="CC-Sup-520"/>
    <n v="3"/>
    <s v=""/>
    <n v="10"/>
    <x v="2"/>
    <n v="0"/>
    <s v=""/>
    <n v="3"/>
    <s v="No"/>
    <s v="No"/>
    <s v="No"/>
    <n v="2"/>
    <s v="High"/>
    <n v="105634"/>
    <n v="0.2"/>
    <n v="126760.79999999999"/>
  </r>
  <r>
    <s v="EMP1119"/>
    <s v="APAC"/>
    <s v="Singapore"/>
    <x v="1"/>
    <s v="IC"/>
    <x v="105"/>
    <s v="FTE"/>
    <d v="2015-11-03T00:00:00"/>
    <s v="Active"/>
    <s v="Controlling"/>
    <s v="CC-Fin-958"/>
    <n v="5"/>
    <s v=""/>
    <n v="10"/>
    <x v="2"/>
    <n v="0"/>
    <s v=""/>
    <n v="3"/>
    <s v="No"/>
    <s v="No"/>
    <s v="No"/>
    <n v="4"/>
    <s v="Low"/>
    <n v="34730"/>
    <n v="0.1"/>
    <n v="38203"/>
  </r>
  <r>
    <s v="EMP1120"/>
    <s v="APAC"/>
    <s v="Singapore"/>
    <x v="0"/>
    <s v="IC"/>
    <x v="236"/>
    <s v="FTE"/>
    <d v="2015-10-21T00:00:00"/>
    <s v="Active"/>
    <s v="Logistics"/>
    <s v="CC-Sup-897"/>
    <n v="5"/>
    <s v=""/>
    <n v="10"/>
    <x v="2"/>
    <n v="0"/>
    <s v=""/>
    <n v="4"/>
    <s v="No"/>
    <s v="No"/>
    <s v="No"/>
    <n v="2"/>
    <s v="High"/>
    <n v="39300"/>
    <n v="0.1"/>
    <n v="43230"/>
  </r>
  <r>
    <s v="EMP1121"/>
    <s v="APAC"/>
    <s v="Singapore"/>
    <x v="2"/>
    <s v="IC"/>
    <x v="116"/>
    <s v="FTE"/>
    <d v="2015-10-07T00:00:00"/>
    <s v="Active"/>
    <s v="Commercial"/>
    <s v="CC-Sal-955"/>
    <n v="5"/>
    <s v=""/>
    <n v="10"/>
    <x v="2"/>
    <n v="0"/>
    <s v=""/>
    <n v="3"/>
    <s v="No"/>
    <s v="No"/>
    <s v="No"/>
    <n v="2"/>
    <s v="High"/>
    <n v="35222"/>
    <n v="0.1"/>
    <n v="38744.200000000004"/>
  </r>
  <r>
    <s v="EMP1122"/>
    <s v="APAC"/>
    <s v="Singapore"/>
    <x v="2"/>
    <s v="Manager"/>
    <x v="196"/>
    <s v="FTE"/>
    <d v="2015-10-05T00:00:00"/>
    <s v="Active"/>
    <s v="Commercial"/>
    <s v="CC-Sal-111"/>
    <n v="4"/>
    <s v=""/>
    <n v="10"/>
    <x v="2"/>
    <n v="0"/>
    <s v=""/>
    <n v="2"/>
    <s v="No"/>
    <s v="No"/>
    <s v="No"/>
    <n v="3"/>
    <s v="Medium"/>
    <n v="69620"/>
    <n v="0.15"/>
    <n v="80063"/>
  </r>
  <r>
    <s v="EMP1123"/>
    <s v="APAC"/>
    <s v="Singapore"/>
    <x v="1"/>
    <s v="IC"/>
    <x v="155"/>
    <s v="FTE"/>
    <d v="2015-10-04T00:00:00"/>
    <s v="Active"/>
    <s v="Controlling"/>
    <s v="CC-Fin-399"/>
    <n v="5"/>
    <s v=""/>
    <n v="10"/>
    <x v="2"/>
    <n v="0"/>
    <s v=""/>
    <n v="4"/>
    <s v="No"/>
    <s v="No"/>
    <s v="No"/>
    <n v="2"/>
    <s v="High"/>
    <n v="40990"/>
    <n v="0.1"/>
    <n v="45089.000000000007"/>
  </r>
  <r>
    <s v="EMP1124"/>
    <s v="APAC"/>
    <s v="Singapore"/>
    <x v="2"/>
    <s v="IC"/>
    <x v="124"/>
    <s v="FTE"/>
    <d v="2015-10-02T00:00:00"/>
    <s v="Active"/>
    <s v="Commercial"/>
    <s v="CC-Sal-609"/>
    <n v="5"/>
    <s v=""/>
    <n v="10"/>
    <x v="2"/>
    <n v="0"/>
    <s v=""/>
    <n v="4"/>
    <s v="No"/>
    <s v="No"/>
    <s v="No"/>
    <n v="2"/>
    <s v="High"/>
    <n v="31371"/>
    <n v="0.1"/>
    <n v="34508.100000000006"/>
  </r>
  <r>
    <s v="EMP1125"/>
    <s v="APAC"/>
    <s v="Singapore"/>
    <x v="4"/>
    <s v="Manager"/>
    <x v="253"/>
    <s v="Contractor"/>
    <d v="2015-09-26T00:00:00"/>
    <s v="Active"/>
    <s v="People Operations"/>
    <s v="CC-HR-616"/>
    <n v="4"/>
    <s v=""/>
    <n v="10"/>
    <x v="2"/>
    <n v="0"/>
    <s v=""/>
    <n v="2"/>
    <s v="No"/>
    <s v="Yes"/>
    <s v="No"/>
    <n v="1"/>
    <s v="High"/>
    <n v="76305"/>
    <n v="0.15"/>
    <n v="87750.75"/>
  </r>
  <r>
    <s v="EMP1126"/>
    <s v="APAC"/>
    <s v="Singapore"/>
    <x v="1"/>
    <s v="IC"/>
    <x v="231"/>
    <s v="FTE"/>
    <d v="2015-09-25T00:00:00"/>
    <s v="Active"/>
    <s v="Controlling"/>
    <s v="CC-Fin-572"/>
    <n v="5"/>
    <s v=""/>
    <n v="10"/>
    <x v="2"/>
    <n v="0"/>
    <s v=""/>
    <n v="3"/>
    <s v="No"/>
    <s v="No"/>
    <s v="No"/>
    <n v="3"/>
    <s v="Medium"/>
    <n v="26531"/>
    <n v="0.1"/>
    <n v="29184.100000000002"/>
  </r>
  <r>
    <s v="EMP1127"/>
    <s v="APAC"/>
    <s v="Singapore"/>
    <x v="3"/>
    <s v="IC"/>
    <x v="77"/>
    <s v="FTE"/>
    <d v="2015-09-23T00:00:00"/>
    <s v="Active"/>
    <s v="Manufacturing"/>
    <s v="CC-Ope-273"/>
    <n v="5"/>
    <s v=""/>
    <n v="10"/>
    <x v="2"/>
    <n v="0"/>
    <s v=""/>
    <n v="5"/>
    <s v="No"/>
    <s v="No"/>
    <s v="No"/>
    <n v="3"/>
    <s v="Medium"/>
    <n v="48537"/>
    <n v="0.1"/>
    <n v="53390.700000000004"/>
  </r>
  <r>
    <s v="EMP1128"/>
    <s v="APAC"/>
    <s v="Singapore"/>
    <x v="2"/>
    <s v="IC"/>
    <x v="91"/>
    <s v="FTE"/>
    <d v="2015-09-21T00:00:00"/>
    <s v="Active"/>
    <s v="Commercial"/>
    <s v="CC-Sal-872"/>
    <n v="5"/>
    <s v=""/>
    <n v="10"/>
    <x v="2"/>
    <n v="0"/>
    <s v=""/>
    <n v="2"/>
    <s v="No"/>
    <s v="No"/>
    <s v="No"/>
    <n v="1"/>
    <s v="High"/>
    <n v="34650"/>
    <n v="0.1"/>
    <n v="38115"/>
  </r>
  <r>
    <s v="EMP1129"/>
    <s v="APAC"/>
    <s v="Singapore"/>
    <x v="3"/>
    <s v="IC"/>
    <x v="93"/>
    <s v="FTE"/>
    <d v="2015-09-20T00:00:00"/>
    <s v="Active"/>
    <s v="Manufacturing"/>
    <s v="CC-Ope-775"/>
    <n v="5"/>
    <s v=""/>
    <n v="10"/>
    <x v="2"/>
    <n v="0"/>
    <s v=""/>
    <n v="3"/>
    <s v="No"/>
    <s v="No"/>
    <s v="No"/>
    <n v="1"/>
    <s v="High"/>
    <n v="45521"/>
    <n v="0.1"/>
    <n v="50073.100000000006"/>
  </r>
  <r>
    <s v="EMP1130"/>
    <s v="APAC"/>
    <s v="Singapore"/>
    <x v="4"/>
    <s v="IC"/>
    <x v="224"/>
    <s v="FTE"/>
    <d v="2015-09-19T00:00:00"/>
    <s v="Active"/>
    <s v="People Operations"/>
    <s v="CC-HR-364"/>
    <n v="5"/>
    <s v=""/>
    <n v="10"/>
    <x v="2"/>
    <n v="0"/>
    <s v=""/>
    <n v="2"/>
    <s v="No"/>
    <s v="No"/>
    <s v="No"/>
    <n v="5"/>
    <s v="Low"/>
    <n v="34545"/>
    <n v="0.1"/>
    <n v="37999.5"/>
  </r>
  <r>
    <s v="EMP1131"/>
    <s v="APAC"/>
    <s v="Singapore"/>
    <x v="1"/>
    <s v="IC"/>
    <x v="247"/>
    <s v="FTE"/>
    <d v="2015-09-18T00:00:00"/>
    <s v="Active"/>
    <s v="Controlling"/>
    <s v="CC-Fin-228"/>
    <n v="5"/>
    <s v=""/>
    <n v="10"/>
    <x v="2"/>
    <n v="0"/>
    <s v=""/>
    <n v="5"/>
    <s v="No"/>
    <s v="No"/>
    <s v="No"/>
    <n v="2"/>
    <s v="High"/>
    <n v="40413"/>
    <n v="0.1"/>
    <n v="44454.3"/>
  </r>
  <r>
    <s v="EMP1132"/>
    <s v="APAC"/>
    <s v="Singapore"/>
    <x v="0"/>
    <s v="IC"/>
    <x v="254"/>
    <s v="FTE"/>
    <d v="2015-09-16T00:00:00"/>
    <s v="Active"/>
    <s v="Logistics"/>
    <s v="CC-Sup-238"/>
    <n v="5"/>
    <s v=""/>
    <n v="10"/>
    <x v="2"/>
    <n v="0"/>
    <s v=""/>
    <n v="5"/>
    <s v="No"/>
    <s v="No"/>
    <s v="No"/>
    <n v="5"/>
    <s v="Low"/>
    <n v="40125"/>
    <n v="0.1"/>
    <n v="44137.5"/>
  </r>
  <r>
    <s v="EMP1133"/>
    <s v="APAC"/>
    <s v="Singapore"/>
    <x v="1"/>
    <s v="IC"/>
    <x v="240"/>
    <s v="FTE"/>
    <d v="2015-09-16T00:00:00"/>
    <s v="Active"/>
    <s v="Controlling"/>
    <s v="CC-Fin-356"/>
    <n v="5"/>
    <s v=""/>
    <n v="10"/>
    <x v="2"/>
    <n v="0"/>
    <s v=""/>
    <n v="4"/>
    <s v="No"/>
    <s v="No"/>
    <s v="No"/>
    <n v="1"/>
    <s v="High"/>
    <n v="45916"/>
    <n v="0.1"/>
    <n v="50507.600000000006"/>
  </r>
  <r>
    <s v="EMP1134"/>
    <s v="APAC"/>
    <s v="Singapore"/>
    <x v="1"/>
    <s v="IC"/>
    <x v="148"/>
    <s v="FTE"/>
    <d v="2015-09-15T00:00:00"/>
    <s v="Active"/>
    <s v="Controlling"/>
    <s v="CC-Fin-628"/>
    <n v="5"/>
    <s v=""/>
    <n v="10"/>
    <x v="2"/>
    <n v="0"/>
    <s v=""/>
    <n v="2"/>
    <s v="Yes"/>
    <s v="No"/>
    <s v="No"/>
    <n v="4"/>
    <s v="Low"/>
    <n v="48745"/>
    <n v="0.1"/>
    <n v="53619.500000000007"/>
  </r>
  <r>
    <s v="EMP1135"/>
    <s v="APAC"/>
    <s v="Singapore"/>
    <x v="2"/>
    <s v="IC"/>
    <x v="28"/>
    <s v="FTE"/>
    <d v="2015-09-13T00:00:00"/>
    <s v="Active"/>
    <s v="Commercial"/>
    <s v="CC-Sal-712"/>
    <n v="5"/>
    <s v=""/>
    <n v="10"/>
    <x v="2"/>
    <n v="0"/>
    <s v=""/>
    <n v="4"/>
    <s v="No"/>
    <s v="Yes"/>
    <s v="No"/>
    <n v="2"/>
    <s v="High"/>
    <n v="28927"/>
    <n v="0.1"/>
    <n v="31819.700000000004"/>
  </r>
  <r>
    <s v="EMP1136"/>
    <s v="APAC"/>
    <s v="Singapore"/>
    <x v="4"/>
    <s v="Manager"/>
    <x v="250"/>
    <s v="FTE"/>
    <d v="2015-09-08T00:00:00"/>
    <s v="Active"/>
    <s v="People Operations"/>
    <s v="CC-HR-915"/>
    <n v="4"/>
    <s v=""/>
    <n v="10"/>
    <x v="2"/>
    <n v="0"/>
    <s v=""/>
    <n v="3"/>
    <s v="No"/>
    <s v="No"/>
    <s v="No"/>
    <n v="3"/>
    <s v="Medium"/>
    <n v="78355"/>
    <n v="0.15"/>
    <n v="90108.25"/>
  </r>
  <r>
    <s v="EMP1137"/>
    <s v="APAC"/>
    <s v="Singapore"/>
    <x v="0"/>
    <s v="IC"/>
    <x v="255"/>
    <s v="FTE"/>
    <d v="2015-09-06T00:00:00"/>
    <s v="Active"/>
    <s v="Logistics"/>
    <s v="CC-Sup-867"/>
    <n v="5"/>
    <s v=""/>
    <n v="10"/>
    <x v="2"/>
    <n v="0"/>
    <s v=""/>
    <n v="3"/>
    <s v="No"/>
    <s v="No"/>
    <s v="No"/>
    <n v="1"/>
    <s v="High"/>
    <n v="34249"/>
    <n v="0.1"/>
    <n v="37673.9"/>
  </r>
  <r>
    <s v="EMP1138"/>
    <s v="APAC"/>
    <s v="Singapore"/>
    <x v="1"/>
    <s v="IC"/>
    <x v="138"/>
    <s v="FTE"/>
    <d v="2015-09-05T00:00:00"/>
    <s v="Active"/>
    <s v="Controlling"/>
    <s v="CC-Fin-861"/>
    <n v="5"/>
    <s v=""/>
    <n v="10"/>
    <x v="2"/>
    <n v="0"/>
    <s v=""/>
    <n v="3"/>
    <s v="No"/>
    <s v="No"/>
    <s v="No"/>
    <n v="2"/>
    <s v="High"/>
    <n v="42863"/>
    <n v="0.1"/>
    <n v="47149.3"/>
  </r>
  <r>
    <s v="EMP1139"/>
    <s v="APAC"/>
    <s v="Singapore"/>
    <x v="0"/>
    <s v="IC"/>
    <x v="32"/>
    <s v="Contractor"/>
    <d v="2015-09-02T00:00:00"/>
    <s v="Active"/>
    <s v="Logistics"/>
    <s v="CC-Sup-597"/>
    <n v="5"/>
    <s v=""/>
    <n v="10"/>
    <x v="2"/>
    <n v="0"/>
    <s v=""/>
    <n v="3"/>
    <s v="No"/>
    <s v="No"/>
    <s v="No"/>
    <n v="4"/>
    <s v="Low"/>
    <n v="23910"/>
    <n v="0.1"/>
    <n v="26301.000000000004"/>
  </r>
  <r>
    <s v="EMP1140"/>
    <s v="APAC"/>
    <s v="Singapore"/>
    <x v="5"/>
    <s v="IC"/>
    <x v="57"/>
    <s v="FTE"/>
    <d v="2015-08-27T00:00:00"/>
    <s v="Active"/>
    <s v="Technology"/>
    <s v="CC-IT-840"/>
    <n v="5"/>
    <s v=""/>
    <n v="10"/>
    <x v="2"/>
    <n v="0"/>
    <s v=""/>
    <n v="3"/>
    <s v="Yes"/>
    <s v="No"/>
    <s v="No"/>
    <n v="5"/>
    <s v="Low"/>
    <n v="26335"/>
    <n v="0.1"/>
    <n v="28968.500000000004"/>
  </r>
  <r>
    <s v="EMP1141"/>
    <s v="APAC"/>
    <s v="Singapore"/>
    <x v="5"/>
    <s v="IC"/>
    <x v="210"/>
    <s v="FTE"/>
    <d v="2015-08-17T00:00:00"/>
    <s v="Active"/>
    <s v="Technology"/>
    <s v="CC-IT-743"/>
    <n v="5"/>
    <s v=""/>
    <n v="10"/>
    <x v="2"/>
    <n v="0"/>
    <s v=""/>
    <n v="4"/>
    <s v="No"/>
    <s v="No"/>
    <s v="No"/>
    <n v="4"/>
    <s v="Low"/>
    <n v="30880"/>
    <n v="0.1"/>
    <n v="33968"/>
  </r>
  <r>
    <s v="EMP1142"/>
    <s v="APAC"/>
    <s v="Singapore"/>
    <x v="1"/>
    <s v="IC"/>
    <x v="22"/>
    <s v="FTE"/>
    <d v="2015-08-16T00:00:00"/>
    <s v="Active"/>
    <s v="Controlling"/>
    <s v="CC-Fin-263"/>
    <n v="5"/>
    <s v=""/>
    <n v="10"/>
    <x v="2"/>
    <n v="0"/>
    <s v=""/>
    <n v="4"/>
    <s v="Yes"/>
    <s v="No"/>
    <s v="No"/>
    <n v="2"/>
    <s v="High"/>
    <n v="40878"/>
    <n v="0.1"/>
    <n v="44965.8"/>
  </r>
  <r>
    <s v="EMP1143"/>
    <s v="APAC"/>
    <s v="Singapore"/>
    <x v="5"/>
    <s v="IC"/>
    <x v="25"/>
    <s v="FTE"/>
    <d v="2015-08-14T00:00:00"/>
    <s v="Active"/>
    <s v="Technology"/>
    <s v="CC-IT-914"/>
    <n v="5"/>
    <s v=""/>
    <n v="10"/>
    <x v="2"/>
    <n v="0"/>
    <s v=""/>
    <n v="3"/>
    <s v="No"/>
    <s v="No"/>
    <s v="No"/>
    <n v="2"/>
    <s v="High"/>
    <n v="36163"/>
    <n v="0.1"/>
    <n v="39779.300000000003"/>
  </r>
  <r>
    <s v="EMP1144"/>
    <s v="APAC"/>
    <s v="Singapore"/>
    <x v="2"/>
    <s v="IC"/>
    <x v="37"/>
    <s v="Contractor"/>
    <d v="2015-08-11T00:00:00"/>
    <s v="Active"/>
    <s v="Commercial"/>
    <s v="CC-Sal-683"/>
    <n v="5"/>
    <s v=""/>
    <n v="10"/>
    <x v="2"/>
    <n v="0"/>
    <s v=""/>
    <n v="3"/>
    <s v="Yes"/>
    <s v="No"/>
    <s v="No"/>
    <n v="2"/>
    <s v="High"/>
    <n v="28532"/>
    <n v="0.1"/>
    <n v="31385.200000000001"/>
  </r>
  <r>
    <s v="EMP1145"/>
    <s v="APAC"/>
    <s v="Singapore"/>
    <x v="4"/>
    <s v="VP"/>
    <x v="38"/>
    <s v="Contractor"/>
    <d v="2015-08-08T00:00:00"/>
    <s v="Active"/>
    <s v="People Operations"/>
    <s v="CC-HR-611"/>
    <n v="2"/>
    <s v=""/>
    <n v="10"/>
    <x v="2"/>
    <n v="0"/>
    <s v=""/>
    <n v="3"/>
    <s v="No"/>
    <s v="No"/>
    <s v="No"/>
    <n v="1"/>
    <s v="High"/>
    <n v="196813"/>
    <n v="0.25"/>
    <n v="246016.25"/>
  </r>
  <r>
    <s v="EMP1146"/>
    <s v="APAC"/>
    <s v="Singapore"/>
    <x v="4"/>
    <s v="IC"/>
    <x v="159"/>
    <s v="FTE"/>
    <d v="2015-08-07T00:00:00"/>
    <s v="Inactive"/>
    <s v="People Operations"/>
    <s v="CC-HR-251"/>
    <n v="5"/>
    <d v="2017-05-30T00:00:00"/>
    <n v="1"/>
    <x v="0"/>
    <n v="1"/>
    <s v="Voluntary"/>
    <n v="3"/>
    <s v="No"/>
    <s v="No"/>
    <s v="No"/>
    <n v="4"/>
    <s v="Low"/>
    <n v="47254"/>
    <n v="0.1"/>
    <n v="51979.4"/>
  </r>
  <r>
    <s v="EMP1147"/>
    <s v="APAC"/>
    <s v="Singapore"/>
    <x v="0"/>
    <s v="Manager"/>
    <x v="242"/>
    <s v="FTE"/>
    <d v="2015-08-05T00:00:00"/>
    <s v="Inactive"/>
    <s v="Logistics"/>
    <s v="CC-Sup-622"/>
    <n v="4"/>
    <d v="2022-06-07T00:00:00"/>
    <n v="6"/>
    <x v="2"/>
    <n v="0"/>
    <s v="Voluntary"/>
    <n v="3"/>
    <s v="No"/>
    <s v="No"/>
    <s v="No"/>
    <n v="1"/>
    <s v="High"/>
    <n v="84210"/>
    <n v="0.15"/>
    <n v="96841.499999999985"/>
  </r>
  <r>
    <s v="EMP1148"/>
    <s v="APAC"/>
    <s v="Singapore"/>
    <x v="1"/>
    <s v="IC"/>
    <x v="237"/>
    <s v="FTE"/>
    <d v="2015-07-14T00:00:00"/>
    <s v="Active"/>
    <s v="Controlling"/>
    <s v="CC-Fin-961"/>
    <n v="5"/>
    <s v=""/>
    <n v="10"/>
    <x v="2"/>
    <n v="0"/>
    <s v=""/>
    <n v="3"/>
    <s v="No"/>
    <s v="No"/>
    <s v="No"/>
    <n v="2"/>
    <s v="High"/>
    <n v="38895"/>
    <n v="0.1"/>
    <n v="42784.5"/>
  </r>
  <r>
    <s v="EMP1149"/>
    <s v="APAC"/>
    <s v="Singapore"/>
    <x v="2"/>
    <s v="IC"/>
    <x v="86"/>
    <s v="FTE"/>
    <d v="2015-07-12T00:00:00"/>
    <s v="Active"/>
    <s v="Commercial"/>
    <s v="CC-Sal-160"/>
    <n v="5"/>
    <s v=""/>
    <n v="10"/>
    <x v="2"/>
    <n v="0"/>
    <s v=""/>
    <n v="3"/>
    <s v="No"/>
    <s v="Yes"/>
    <s v="No"/>
    <n v="5"/>
    <s v="Low"/>
    <n v="27619"/>
    <n v="0.1"/>
    <n v="30380.9"/>
  </r>
  <r>
    <s v="EMP1150"/>
    <s v="APAC"/>
    <s v="Singapore"/>
    <x v="2"/>
    <s v="IC"/>
    <x v="57"/>
    <s v="Contractor"/>
    <d v="2015-07-12T00:00:00"/>
    <s v="Active"/>
    <s v="Commercial"/>
    <s v="CC-Sal-109"/>
    <n v="5"/>
    <s v=""/>
    <n v="10"/>
    <x v="2"/>
    <n v="0"/>
    <s v=""/>
    <n v="3"/>
    <s v="No"/>
    <s v="No"/>
    <s v="No"/>
    <n v="5"/>
    <s v="Low"/>
    <n v="27802"/>
    <n v="0.1"/>
    <n v="30582.2"/>
  </r>
  <r>
    <s v="EMP1151"/>
    <s v="APAC"/>
    <s v="Singapore"/>
    <x v="5"/>
    <s v="IC"/>
    <x v="244"/>
    <s v="FTE"/>
    <d v="2015-07-12T00:00:00"/>
    <s v="Active"/>
    <s v="Technology"/>
    <s v="CC-IT-777"/>
    <n v="5"/>
    <s v=""/>
    <n v="10"/>
    <x v="2"/>
    <n v="0"/>
    <s v=""/>
    <n v="3"/>
    <s v="Yes"/>
    <s v="No"/>
    <s v="No"/>
    <n v="4"/>
    <s v="Low"/>
    <n v="44537"/>
    <n v="0.1"/>
    <n v="48990.700000000004"/>
  </r>
  <r>
    <s v="EMP1152"/>
    <s v="APAC"/>
    <s v="Singapore"/>
    <x v="1"/>
    <s v="IC"/>
    <x v="179"/>
    <s v="FTE"/>
    <d v="2015-07-05T00:00:00"/>
    <s v="Active"/>
    <s v="Controlling"/>
    <s v="CC-Fin-995"/>
    <n v="5"/>
    <s v=""/>
    <n v="10"/>
    <x v="2"/>
    <n v="0"/>
    <s v=""/>
    <n v="4"/>
    <s v="No"/>
    <s v="Yes"/>
    <s v="Yes"/>
    <n v="4"/>
    <s v="Low"/>
    <n v="20553"/>
    <n v="0.1"/>
    <n v="22608.300000000003"/>
  </r>
  <r>
    <s v="EMP1153"/>
    <s v="APAC"/>
    <s v="Singapore"/>
    <x v="2"/>
    <s v="IC"/>
    <x v="136"/>
    <s v="FTE"/>
    <d v="2015-07-03T00:00:00"/>
    <s v="Active"/>
    <s v="Commercial"/>
    <s v="CC-Sal-922"/>
    <n v="5"/>
    <s v=""/>
    <n v="10"/>
    <x v="2"/>
    <n v="0"/>
    <s v=""/>
    <n v="3"/>
    <s v="No"/>
    <s v="No"/>
    <s v="No"/>
    <n v="5"/>
    <s v="Low"/>
    <n v="34762"/>
    <n v="0.1"/>
    <n v="38238.200000000004"/>
  </r>
  <r>
    <s v="EMP1154"/>
    <s v="APAC"/>
    <s v="Singapore"/>
    <x v="3"/>
    <s v="IC"/>
    <x v="158"/>
    <s v="FTE"/>
    <d v="2015-07-01T00:00:00"/>
    <s v="Active"/>
    <s v="Manufacturing"/>
    <s v="CC-Ope-167"/>
    <n v="5"/>
    <s v=""/>
    <n v="10"/>
    <x v="2"/>
    <n v="0"/>
    <s v=""/>
    <n v="4"/>
    <s v="No"/>
    <s v="Yes"/>
    <s v="No"/>
    <n v="1"/>
    <s v="High"/>
    <n v="39673"/>
    <n v="0.1"/>
    <n v="43640.3"/>
  </r>
  <r>
    <s v="EMP1155"/>
    <s v="APAC"/>
    <s v="Singapore"/>
    <x v="2"/>
    <s v="IC"/>
    <x v="18"/>
    <s v="FTE"/>
    <d v="2015-07-01T00:00:00"/>
    <s v="Active"/>
    <s v="Commercial"/>
    <s v="CC-Sal-217"/>
    <n v="5"/>
    <s v=""/>
    <n v="10"/>
    <x v="2"/>
    <n v="0"/>
    <s v=""/>
    <n v="4"/>
    <s v="No"/>
    <s v="Yes"/>
    <s v="Yes"/>
    <n v="1"/>
    <s v="High"/>
    <n v="21655"/>
    <n v="0.1"/>
    <n v="23820.500000000004"/>
  </r>
  <r>
    <s v="EMP1156"/>
    <s v="APAC"/>
    <s v="Singapore"/>
    <x v="2"/>
    <s v="IC"/>
    <x v="175"/>
    <s v="FTE"/>
    <d v="2015-06-25T00:00:00"/>
    <s v="Active"/>
    <s v="Commercial"/>
    <s v="CC-Sal-177"/>
    <n v="5"/>
    <s v=""/>
    <n v="10"/>
    <x v="2"/>
    <n v="0"/>
    <s v=""/>
    <n v="3"/>
    <s v="No"/>
    <s v="Yes"/>
    <s v="No"/>
    <n v="4"/>
    <s v="Low"/>
    <n v="25002"/>
    <n v="0.1"/>
    <n v="27502.2"/>
  </r>
  <r>
    <s v="EMP1157"/>
    <s v="APAC"/>
    <s v="Singapore"/>
    <x v="1"/>
    <s v="IC"/>
    <x v="28"/>
    <s v="FTE"/>
    <d v="2015-06-20T00:00:00"/>
    <s v="Active"/>
    <s v="Controlling"/>
    <s v="CC-Fin-500"/>
    <n v="5"/>
    <s v=""/>
    <n v="10"/>
    <x v="2"/>
    <n v="0"/>
    <s v=""/>
    <n v="5"/>
    <s v="No"/>
    <s v="No"/>
    <s v="No"/>
    <n v="3"/>
    <s v="Medium"/>
    <n v="31594"/>
    <n v="0.1"/>
    <n v="34753.4"/>
  </r>
  <r>
    <s v="EMP1158"/>
    <s v="APAC"/>
    <s v="Singapore"/>
    <x v="4"/>
    <s v="IC"/>
    <x v="159"/>
    <s v="FTE"/>
    <d v="2015-06-16T00:00:00"/>
    <s v="Active"/>
    <s v="People Operations"/>
    <s v="CC-HR-269"/>
    <n v="5"/>
    <s v=""/>
    <n v="10"/>
    <x v="2"/>
    <n v="0"/>
    <s v=""/>
    <n v="4"/>
    <s v="No"/>
    <s v="No"/>
    <s v="No"/>
    <n v="4"/>
    <s v="Low"/>
    <n v="29606"/>
    <n v="0.1"/>
    <n v="32566.600000000002"/>
  </r>
  <r>
    <s v="EMP1159"/>
    <s v="APAC"/>
    <s v="Singapore"/>
    <x v="4"/>
    <s v="IC"/>
    <x v="179"/>
    <s v="FTE"/>
    <d v="2015-06-12T00:00:00"/>
    <s v="Inactive"/>
    <s v="People Operations"/>
    <s v="CC-HR-181"/>
    <n v="5"/>
    <d v="2021-01-31T00:00:00"/>
    <n v="5"/>
    <x v="1"/>
    <n v="0"/>
    <s v="Involuntary"/>
    <n v="5"/>
    <s v="No"/>
    <s v="No"/>
    <s v="No"/>
    <n v="3"/>
    <s v="Medium"/>
    <n v="28967"/>
    <n v="0.1"/>
    <n v="31863.700000000004"/>
  </r>
  <r>
    <s v="EMP1160"/>
    <s v="APAC"/>
    <s v="Singapore"/>
    <x v="1"/>
    <s v="IC"/>
    <x v="89"/>
    <s v="FTE"/>
    <d v="2015-06-11T00:00:00"/>
    <s v="Inactive"/>
    <s v="Controlling"/>
    <s v="CC-Fin-656"/>
    <n v="5"/>
    <d v="2018-05-31T00:00:00"/>
    <n v="2"/>
    <x v="0"/>
    <n v="1"/>
    <s v="Involuntary"/>
    <n v="4"/>
    <s v="No"/>
    <s v="Yes"/>
    <s v="No"/>
    <n v="4"/>
    <s v="Low"/>
    <n v="30964"/>
    <n v="0.1"/>
    <n v="34060.400000000001"/>
  </r>
  <r>
    <s v="EMP1161"/>
    <s v="APAC"/>
    <s v="Singapore"/>
    <x v="4"/>
    <s v="IC"/>
    <x v="118"/>
    <s v="FTE"/>
    <d v="2015-06-07T00:00:00"/>
    <s v="Inactive"/>
    <s v="People Operations"/>
    <s v="CC-HR-372"/>
    <n v="5"/>
    <d v="2017-07-20T00:00:00"/>
    <n v="2"/>
    <x v="0"/>
    <n v="1"/>
    <s v="Voluntary"/>
    <n v="3"/>
    <s v="No"/>
    <s v="No"/>
    <s v="No"/>
    <n v="4"/>
    <s v="Low"/>
    <n v="20549"/>
    <n v="0.1"/>
    <n v="22603.9"/>
  </r>
  <r>
    <s v="EMP1162"/>
    <s v="APAC"/>
    <s v="Singapore"/>
    <x v="2"/>
    <s v="IC"/>
    <x v="256"/>
    <s v="FTE"/>
    <d v="2015-06-05T00:00:00"/>
    <s v="Active"/>
    <s v="Commercial"/>
    <s v="CC-Sal-356"/>
    <n v="5"/>
    <s v=""/>
    <n v="10"/>
    <x v="2"/>
    <n v="0"/>
    <s v=""/>
    <n v="4"/>
    <s v="No"/>
    <s v="No"/>
    <s v="No"/>
    <n v="1"/>
    <s v="High"/>
    <n v="25750"/>
    <n v="0.1"/>
    <n v="28325.000000000004"/>
  </r>
  <r>
    <s v="EMP1163"/>
    <s v="APAC"/>
    <s v="Singapore"/>
    <x v="1"/>
    <s v="Manager"/>
    <x v="193"/>
    <s v="FTE"/>
    <d v="2015-06-03T00:00:00"/>
    <s v="Active"/>
    <s v="Controlling"/>
    <s v="CC-Fin-845"/>
    <n v="4"/>
    <s v=""/>
    <n v="10"/>
    <x v="2"/>
    <n v="0"/>
    <s v=""/>
    <n v="4"/>
    <s v="No"/>
    <s v="No"/>
    <s v="No"/>
    <n v="4"/>
    <s v="Low"/>
    <n v="55770"/>
    <n v="0.15"/>
    <n v="64135.499999999993"/>
  </r>
  <r>
    <s v="EMP1164"/>
    <s v="APAC"/>
    <s v="Singapore"/>
    <x v="5"/>
    <s v="IC"/>
    <x v="159"/>
    <s v="FTE"/>
    <d v="2015-05-28T00:00:00"/>
    <s v="Active"/>
    <s v="Technology"/>
    <s v="CC-IT-533"/>
    <n v="5"/>
    <s v=""/>
    <n v="10"/>
    <x v="2"/>
    <n v="0"/>
    <s v=""/>
    <n v="3"/>
    <s v="No"/>
    <s v="No"/>
    <s v="No"/>
    <n v="1"/>
    <s v="High"/>
    <n v="26388"/>
    <n v="0.1"/>
    <n v="29026.800000000003"/>
  </r>
  <r>
    <s v="EMP1165"/>
    <s v="APAC"/>
    <s v="Singapore"/>
    <x v="1"/>
    <s v="IC"/>
    <x v="202"/>
    <s v="FTE"/>
    <d v="2015-05-21T00:00:00"/>
    <s v="Inactive"/>
    <s v="Controlling"/>
    <s v="CC-Fin-426"/>
    <n v="5"/>
    <d v="2019-09-10T00:00:00"/>
    <n v="4"/>
    <x v="1"/>
    <n v="0"/>
    <s v="Voluntary"/>
    <n v="3"/>
    <s v="No"/>
    <s v="No"/>
    <s v="No"/>
    <n v="3"/>
    <s v="Medium"/>
    <n v="40397"/>
    <n v="0.1"/>
    <n v="44436.700000000004"/>
  </r>
  <r>
    <s v="EMP1166"/>
    <s v="APAC"/>
    <s v="Singapore"/>
    <x v="2"/>
    <s v="IC"/>
    <x v="176"/>
    <s v="FTE"/>
    <d v="2015-05-17T00:00:00"/>
    <s v="Active"/>
    <s v="Commercial"/>
    <s v="CC-Sal-232"/>
    <n v="5"/>
    <s v=""/>
    <n v="10"/>
    <x v="2"/>
    <n v="0"/>
    <s v=""/>
    <n v="3"/>
    <s v="No"/>
    <s v="No"/>
    <s v="No"/>
    <n v="1"/>
    <s v="High"/>
    <n v="23993"/>
    <n v="0.1"/>
    <n v="26392.300000000003"/>
  </r>
  <r>
    <s v="EMP1167"/>
    <s v="APAC"/>
    <s v="Singapore"/>
    <x v="5"/>
    <s v="IC"/>
    <x v="99"/>
    <s v="FTE"/>
    <d v="2015-05-16T00:00:00"/>
    <s v="Active"/>
    <s v="Technology"/>
    <s v="CC-IT-586"/>
    <n v="5"/>
    <s v=""/>
    <n v="10"/>
    <x v="2"/>
    <n v="0"/>
    <s v=""/>
    <n v="3"/>
    <s v="Yes"/>
    <s v="No"/>
    <s v="No"/>
    <n v="3"/>
    <s v="Medium"/>
    <n v="42787"/>
    <n v="0.1"/>
    <n v="47065.700000000004"/>
  </r>
  <r>
    <s v="EMP1168"/>
    <s v="APAC"/>
    <s v="Singapore"/>
    <x v="4"/>
    <s v="IC"/>
    <x v="101"/>
    <s v="FTE"/>
    <d v="2015-05-14T00:00:00"/>
    <s v="Active"/>
    <s v="People Operations"/>
    <s v="CC-HR-615"/>
    <n v="5"/>
    <s v=""/>
    <n v="10"/>
    <x v="2"/>
    <n v="0"/>
    <s v=""/>
    <n v="3"/>
    <s v="No"/>
    <s v="No"/>
    <s v="No"/>
    <n v="5"/>
    <s v="Low"/>
    <n v="38988"/>
    <n v="0.1"/>
    <n v="42886.8"/>
  </r>
  <r>
    <s v="EMP1169"/>
    <s v="APAC"/>
    <s v="Singapore"/>
    <x v="1"/>
    <s v="IC"/>
    <x v="155"/>
    <s v="FTE"/>
    <d v="2015-05-08T00:00:00"/>
    <s v="Active"/>
    <s v="Controlling"/>
    <s v="CC-Fin-567"/>
    <n v="5"/>
    <s v=""/>
    <n v="10"/>
    <x v="2"/>
    <n v="0"/>
    <s v=""/>
    <n v="3"/>
    <s v="No"/>
    <s v="No"/>
    <s v="No"/>
    <n v="4"/>
    <s v="Low"/>
    <n v="34616"/>
    <n v="0.1"/>
    <n v="38077.600000000006"/>
  </r>
  <r>
    <s v="EMP1170"/>
    <s v="APAC"/>
    <s v="Singapore"/>
    <x v="1"/>
    <s v="Manager"/>
    <x v="141"/>
    <s v="FTE"/>
    <d v="2015-05-07T00:00:00"/>
    <s v="Active"/>
    <s v="Controlling"/>
    <s v="CC-Fin-606"/>
    <n v="4"/>
    <s v=""/>
    <n v="10"/>
    <x v="2"/>
    <n v="0"/>
    <s v=""/>
    <n v="3"/>
    <s v="No"/>
    <s v="No"/>
    <s v="No"/>
    <n v="1"/>
    <s v="High"/>
    <n v="71304"/>
    <n v="0.15"/>
    <n v="81999.599999999991"/>
  </r>
  <r>
    <s v="EMP1171"/>
    <s v="APAC"/>
    <s v="Singapore"/>
    <x v="0"/>
    <s v="Manager"/>
    <x v="239"/>
    <s v="Contractor"/>
    <d v="2015-05-03T00:00:00"/>
    <s v="Active"/>
    <s v="Logistics"/>
    <s v="CC-Sup-819"/>
    <n v="4"/>
    <s v=""/>
    <n v="10"/>
    <x v="2"/>
    <n v="0"/>
    <s v=""/>
    <n v="4"/>
    <s v="No"/>
    <s v="No"/>
    <s v="No"/>
    <n v="2"/>
    <s v="High"/>
    <n v="63275"/>
    <n v="0.15"/>
    <n v="72766.25"/>
  </r>
  <r>
    <s v="EMP1172"/>
    <s v="APAC"/>
    <s v="Singapore"/>
    <x v="4"/>
    <s v="IC"/>
    <x v="99"/>
    <s v="Contractor"/>
    <d v="2015-04-28T00:00:00"/>
    <s v="Active"/>
    <s v="People Operations"/>
    <s v="CC-HR-782"/>
    <n v="5"/>
    <s v=""/>
    <n v="10"/>
    <x v="2"/>
    <n v="0"/>
    <s v=""/>
    <n v="3"/>
    <s v="No"/>
    <s v="No"/>
    <s v="No"/>
    <n v="3"/>
    <s v="Medium"/>
    <n v="37911"/>
    <n v="0.1"/>
    <n v="41702.100000000006"/>
  </r>
  <r>
    <s v="EMP1173"/>
    <s v="APAC"/>
    <s v="Singapore"/>
    <x v="4"/>
    <s v="Director"/>
    <x v="206"/>
    <s v="FTE"/>
    <d v="2015-04-22T00:00:00"/>
    <s v="Active"/>
    <s v="People Operations"/>
    <s v="CC-HR-484"/>
    <n v="3"/>
    <s v=""/>
    <n v="10"/>
    <x v="2"/>
    <n v="0"/>
    <s v=""/>
    <n v="3"/>
    <s v="No"/>
    <s v="No"/>
    <s v="No"/>
    <n v="3"/>
    <s v="Medium"/>
    <n v="120634"/>
    <n v="0.2"/>
    <n v="144760.79999999999"/>
  </r>
  <r>
    <s v="EMP1174"/>
    <s v="APAC"/>
    <s v="Singapore"/>
    <x v="5"/>
    <s v="Manager"/>
    <x v="251"/>
    <s v="Contractor"/>
    <d v="2015-04-21T00:00:00"/>
    <s v="Active"/>
    <s v="Technology"/>
    <s v="CC-IT-630"/>
    <n v="4"/>
    <s v=""/>
    <n v="10"/>
    <x v="2"/>
    <n v="0"/>
    <s v=""/>
    <n v="5"/>
    <s v="No"/>
    <s v="No"/>
    <s v="No"/>
    <n v="2"/>
    <s v="High"/>
    <n v="63376"/>
    <n v="0.15"/>
    <n v="72882.399999999994"/>
  </r>
  <r>
    <s v="EMP1175"/>
    <s v="APAC"/>
    <s v="Singapore"/>
    <x v="0"/>
    <s v="IC"/>
    <x v="71"/>
    <s v="FTE"/>
    <d v="2015-04-19T00:00:00"/>
    <s v="Active"/>
    <s v="Logistics"/>
    <s v="CC-Sup-629"/>
    <n v="5"/>
    <s v=""/>
    <n v="10"/>
    <x v="2"/>
    <n v="0"/>
    <s v=""/>
    <n v="3"/>
    <s v="No"/>
    <s v="No"/>
    <s v="No"/>
    <n v="2"/>
    <s v="High"/>
    <n v="33987"/>
    <n v="0.1"/>
    <n v="37385.700000000004"/>
  </r>
  <r>
    <s v="EMP1176"/>
    <s v="APAC"/>
    <s v="Singapore"/>
    <x v="5"/>
    <s v="IC"/>
    <x v="191"/>
    <s v="FTE"/>
    <d v="2015-04-06T00:00:00"/>
    <s v="Active"/>
    <s v="Technology"/>
    <s v="CC-IT-404"/>
    <n v="5"/>
    <s v=""/>
    <n v="10"/>
    <x v="2"/>
    <n v="0"/>
    <s v=""/>
    <n v="5"/>
    <s v="No"/>
    <s v="No"/>
    <s v="No"/>
    <n v="5"/>
    <s v="Low"/>
    <n v="39825"/>
    <n v="0.1"/>
    <n v="43807.5"/>
  </r>
  <r>
    <s v="EMP1177"/>
    <s v="APAC"/>
    <s v="Singapore"/>
    <x v="1"/>
    <s v="Manager"/>
    <x v="112"/>
    <s v="FTE"/>
    <d v="2015-03-22T00:00:00"/>
    <s v="Active"/>
    <s v="Controlling"/>
    <s v="CC-Fin-886"/>
    <n v="4"/>
    <s v=""/>
    <n v="10"/>
    <x v="2"/>
    <n v="0"/>
    <s v=""/>
    <n v="4"/>
    <s v="No"/>
    <s v="No"/>
    <s v="No"/>
    <n v="4"/>
    <s v="Low"/>
    <n v="60749"/>
    <n v="0.15"/>
    <n v="69861.349999999991"/>
  </r>
  <r>
    <s v="EMP1178"/>
    <s v="APAC"/>
    <s v="Singapore"/>
    <x v="5"/>
    <s v="Manager"/>
    <x v="200"/>
    <s v="FTE"/>
    <d v="2015-03-20T00:00:00"/>
    <s v="Inactive"/>
    <s v="Technology"/>
    <s v="CC-IT-271"/>
    <n v="4"/>
    <d v="2018-01-20T00:00:00"/>
    <n v="2"/>
    <x v="0"/>
    <n v="1"/>
    <s v="Involuntary"/>
    <n v="3"/>
    <s v="No"/>
    <s v="Yes"/>
    <s v="No"/>
    <n v="4"/>
    <s v="Low"/>
    <n v="78778"/>
    <n v="0.15"/>
    <n v="90594.7"/>
  </r>
  <r>
    <s v="EMP1179"/>
    <s v="APAC"/>
    <s v="Singapore"/>
    <x v="4"/>
    <s v="IC"/>
    <x v="113"/>
    <s v="FTE"/>
    <d v="2015-03-17T00:00:00"/>
    <s v="Active"/>
    <s v="People Operations"/>
    <s v="CC-HR-948"/>
    <n v="5"/>
    <s v=""/>
    <n v="10"/>
    <x v="2"/>
    <n v="0"/>
    <s v=""/>
    <n v="3"/>
    <s v="No"/>
    <s v="No"/>
    <s v="No"/>
    <n v="4"/>
    <s v="Low"/>
    <n v="26444"/>
    <n v="0.1"/>
    <n v="29088.400000000001"/>
  </r>
  <r>
    <s v="EMP1180"/>
    <s v="APAC"/>
    <s v="Singapore"/>
    <x v="3"/>
    <s v="IC"/>
    <x v="59"/>
    <s v="FTE"/>
    <d v="2015-03-15T00:00:00"/>
    <s v="Active"/>
    <s v="Manufacturing"/>
    <s v="CC-Ope-479"/>
    <n v="5"/>
    <s v=""/>
    <n v="10"/>
    <x v="2"/>
    <n v="0"/>
    <s v=""/>
    <n v="3"/>
    <s v="No"/>
    <s v="No"/>
    <s v="No"/>
    <n v="3"/>
    <s v="Medium"/>
    <n v="40999"/>
    <n v="0.1"/>
    <n v="45098.9"/>
  </r>
  <r>
    <s v="EMP1181"/>
    <s v="APAC"/>
    <s v="Singapore"/>
    <x v="0"/>
    <s v="IC"/>
    <x v="78"/>
    <s v="Contractor"/>
    <d v="2015-03-10T00:00:00"/>
    <s v="Active"/>
    <s v="Logistics"/>
    <s v="CC-Sup-987"/>
    <n v="5"/>
    <s v=""/>
    <n v="10"/>
    <x v="2"/>
    <n v="0"/>
    <s v=""/>
    <n v="4"/>
    <s v="Yes"/>
    <s v="Yes"/>
    <s v="Yes"/>
    <n v="3"/>
    <s v="Medium"/>
    <n v="27170"/>
    <n v="0.1"/>
    <n v="29887.000000000004"/>
  </r>
  <r>
    <s v="EMP1182"/>
    <s v="APAC"/>
    <s v="Singapore"/>
    <x v="5"/>
    <s v="IC"/>
    <x v="240"/>
    <s v="FTE"/>
    <d v="2015-03-09T00:00:00"/>
    <s v="Inactive"/>
    <s v="Technology"/>
    <s v="CC-IT-940"/>
    <n v="5"/>
    <d v="2021-05-06T00:00:00"/>
    <n v="6"/>
    <x v="2"/>
    <n v="0"/>
    <s v="Involuntary"/>
    <n v="3"/>
    <s v="No"/>
    <s v="No"/>
    <s v="No"/>
    <n v="4"/>
    <s v="Low"/>
    <n v="42575"/>
    <n v="0.1"/>
    <n v="46832.500000000007"/>
  </r>
  <r>
    <s v="EMP1183"/>
    <s v="APAC"/>
    <s v="Singapore"/>
    <x v="2"/>
    <s v="Manager"/>
    <x v="198"/>
    <s v="FTE"/>
    <d v="2015-03-05T00:00:00"/>
    <s v="Active"/>
    <s v="Commercial"/>
    <s v="CC-Sal-567"/>
    <n v="4"/>
    <s v=""/>
    <n v="10"/>
    <x v="2"/>
    <n v="0"/>
    <s v=""/>
    <n v="3"/>
    <s v="No"/>
    <s v="No"/>
    <s v="No"/>
    <n v="5"/>
    <s v="Low"/>
    <n v="77754"/>
    <n v="0.15"/>
    <n v="89417.099999999991"/>
  </r>
  <r>
    <s v="EMP1184"/>
    <s v="APAC"/>
    <s v="Singapore"/>
    <x v="5"/>
    <s v="IC"/>
    <x v="244"/>
    <s v="FTE"/>
    <d v="2015-03-05T00:00:00"/>
    <s v="Active"/>
    <s v="Technology"/>
    <s v="CC-IT-866"/>
    <n v="5"/>
    <s v=""/>
    <n v="10"/>
    <x v="2"/>
    <n v="0"/>
    <s v=""/>
    <n v="3"/>
    <s v="No"/>
    <s v="No"/>
    <s v="No"/>
    <n v="1"/>
    <s v="High"/>
    <n v="44419"/>
    <n v="0.1"/>
    <n v="48860.9"/>
  </r>
  <r>
    <s v="EMP1185"/>
    <s v="APAC"/>
    <s v="Singapore"/>
    <x v="3"/>
    <s v="Director"/>
    <x v="206"/>
    <s v="FTE"/>
    <d v="2015-03-04T00:00:00"/>
    <s v="Active"/>
    <s v="Manufacturing"/>
    <s v="CC-Ope-358"/>
    <n v="3"/>
    <s v=""/>
    <n v="10"/>
    <x v="2"/>
    <n v="0"/>
    <s v=""/>
    <n v="3"/>
    <s v="No"/>
    <s v="No"/>
    <s v="No"/>
    <n v="5"/>
    <s v="Low"/>
    <n v="119370"/>
    <n v="0.2"/>
    <n v="143244"/>
  </r>
  <r>
    <s v="EMP1186"/>
    <s v="APAC"/>
    <s v="Singapore"/>
    <x v="3"/>
    <s v="IC"/>
    <x v="70"/>
    <s v="FTE"/>
    <d v="2015-03-03T00:00:00"/>
    <s v="Active"/>
    <s v="Manufacturing"/>
    <s v="CC-Ope-379"/>
    <n v="5"/>
    <s v=""/>
    <n v="10"/>
    <x v="2"/>
    <n v="0"/>
    <s v=""/>
    <n v="3"/>
    <s v="No"/>
    <s v="No"/>
    <s v="No"/>
    <n v="4"/>
    <s v="Low"/>
    <n v="43169"/>
    <n v="0.1"/>
    <n v="47485.9"/>
  </r>
  <r>
    <s v="EMP1187"/>
    <s v="APAC"/>
    <s v="Singapore"/>
    <x v="1"/>
    <s v="IC"/>
    <x v="49"/>
    <s v="FTE"/>
    <d v="2015-03-01T00:00:00"/>
    <s v="Active"/>
    <s v="Controlling"/>
    <s v="CC-Fin-436"/>
    <n v="5"/>
    <s v=""/>
    <n v="10"/>
    <x v="2"/>
    <n v="0"/>
    <s v=""/>
    <n v="4"/>
    <s v="No"/>
    <s v="No"/>
    <s v="No"/>
    <n v="4"/>
    <s v="Low"/>
    <n v="33644"/>
    <n v="0.1"/>
    <n v="37008.400000000001"/>
  </r>
  <r>
    <s v="EMP1188"/>
    <s v="APAC"/>
    <s v="Singapore"/>
    <x v="2"/>
    <s v="IC"/>
    <x v="118"/>
    <s v="FTE"/>
    <d v="2015-02-28T00:00:00"/>
    <s v="Active"/>
    <s v="Commercial"/>
    <s v="CC-Sal-924"/>
    <n v="5"/>
    <s v=""/>
    <n v="10"/>
    <x v="2"/>
    <n v="0"/>
    <s v=""/>
    <n v="4"/>
    <s v="No"/>
    <s v="No"/>
    <s v="No"/>
    <n v="1"/>
    <s v="High"/>
    <n v="20809"/>
    <n v="0.1"/>
    <n v="22889.9"/>
  </r>
  <r>
    <s v="EMP1189"/>
    <s v="APAC"/>
    <s v="Singapore"/>
    <x v="1"/>
    <s v="Manager"/>
    <x v="90"/>
    <s v="FTE"/>
    <d v="2015-02-26T00:00:00"/>
    <s v="Active"/>
    <s v="Controlling"/>
    <s v="CC-Fin-154"/>
    <n v="4"/>
    <s v=""/>
    <n v="10"/>
    <x v="2"/>
    <n v="0"/>
    <s v=""/>
    <n v="2"/>
    <s v="No"/>
    <s v="No"/>
    <s v="No"/>
    <n v="4"/>
    <s v="Low"/>
    <n v="71211"/>
    <n v="0.15"/>
    <n v="81892.649999999994"/>
  </r>
  <r>
    <s v="EMP1190"/>
    <s v="APAC"/>
    <s v="Singapore"/>
    <x v="2"/>
    <s v="IC"/>
    <x v="213"/>
    <s v="FTE"/>
    <d v="2015-02-25T00:00:00"/>
    <s v="Active"/>
    <s v="Commercial"/>
    <s v="CC-Sal-988"/>
    <n v="5"/>
    <s v=""/>
    <n v="10"/>
    <x v="2"/>
    <n v="0"/>
    <s v=""/>
    <n v="4"/>
    <s v="Yes"/>
    <s v="No"/>
    <s v="No"/>
    <n v="4"/>
    <s v="Low"/>
    <n v="49840"/>
    <n v="0.1"/>
    <n v="54824.000000000007"/>
  </r>
  <r>
    <s v="EMP1191"/>
    <s v="APAC"/>
    <s v="Singapore"/>
    <x v="5"/>
    <s v="IC"/>
    <x v="74"/>
    <s v="FTE"/>
    <d v="2015-02-22T00:00:00"/>
    <s v="Active"/>
    <s v="Technology"/>
    <s v="CC-IT-372"/>
    <n v="5"/>
    <s v=""/>
    <n v="10"/>
    <x v="2"/>
    <n v="0"/>
    <s v=""/>
    <n v="4"/>
    <s v="Yes"/>
    <s v="No"/>
    <s v="No"/>
    <n v="3"/>
    <s v="Medium"/>
    <n v="39932"/>
    <n v="0.1"/>
    <n v="43925.200000000004"/>
  </r>
  <r>
    <s v="EMP1192"/>
    <s v="APAC"/>
    <s v="Singapore"/>
    <x v="3"/>
    <s v="IC"/>
    <x v="10"/>
    <s v="FTE"/>
    <d v="2015-02-22T00:00:00"/>
    <s v="Active"/>
    <s v="Manufacturing"/>
    <s v="CC-Ope-302"/>
    <n v="5"/>
    <s v=""/>
    <n v="10"/>
    <x v="2"/>
    <n v="0"/>
    <s v=""/>
    <n v="2"/>
    <s v="No"/>
    <s v="No"/>
    <s v="No"/>
    <n v="4"/>
    <s v="Low"/>
    <n v="23764"/>
    <n v="0.1"/>
    <n v="26140.400000000001"/>
  </r>
  <r>
    <s v="EMP1193"/>
    <s v="APAC"/>
    <s v="Singapore"/>
    <x v="2"/>
    <s v="IC"/>
    <x v="80"/>
    <s v="FTE"/>
    <d v="2015-02-21T00:00:00"/>
    <s v="Active"/>
    <s v="Commercial"/>
    <s v="CC-Sal-812"/>
    <n v="5"/>
    <s v=""/>
    <n v="11"/>
    <x v="3"/>
    <n v="0"/>
    <s v=""/>
    <n v="2"/>
    <s v="No"/>
    <s v="No"/>
    <s v="No"/>
    <n v="2"/>
    <s v="High"/>
    <n v="24841"/>
    <n v="0.1"/>
    <n v="27325.100000000002"/>
  </r>
  <r>
    <s v="EMP1194"/>
    <s v="APAC"/>
    <s v="Singapore"/>
    <x v="5"/>
    <s v="IC"/>
    <x v="117"/>
    <s v="FTE"/>
    <d v="2015-02-17T00:00:00"/>
    <s v="Inactive"/>
    <s v="Technology"/>
    <s v="CC-IT-969"/>
    <n v="5"/>
    <d v="2020-12-22T00:00:00"/>
    <n v="5"/>
    <x v="1"/>
    <n v="0"/>
    <s v="Voluntary"/>
    <n v="5"/>
    <s v="No"/>
    <s v="No"/>
    <s v="No"/>
    <n v="3"/>
    <s v="Medium"/>
    <n v="32888"/>
    <n v="0.1"/>
    <n v="36176.800000000003"/>
  </r>
  <r>
    <s v="EMP1195"/>
    <s v="APAC"/>
    <s v="Singapore"/>
    <x v="2"/>
    <s v="IC"/>
    <x v="82"/>
    <s v="FTE"/>
    <d v="2015-02-16T00:00:00"/>
    <s v="Active"/>
    <s v="Commercial"/>
    <s v="CC-Sal-348"/>
    <n v="5"/>
    <s v=""/>
    <n v="11"/>
    <x v="3"/>
    <n v="0"/>
    <s v=""/>
    <n v="4"/>
    <s v="No"/>
    <s v="No"/>
    <s v="No"/>
    <n v="5"/>
    <s v="Low"/>
    <n v="45332"/>
    <n v="0.1"/>
    <n v="49865.200000000004"/>
  </r>
  <r>
    <s v="EMP1196"/>
    <s v="APAC"/>
    <s v="Singapore"/>
    <x v="0"/>
    <s v="IC"/>
    <x v="228"/>
    <s v="FTE"/>
    <d v="2015-02-15T00:00:00"/>
    <s v="Active"/>
    <s v="Logistics"/>
    <s v="CC-Sup-327"/>
    <n v="5"/>
    <s v=""/>
    <n v="11"/>
    <x v="3"/>
    <n v="0"/>
    <s v=""/>
    <n v="3"/>
    <s v="No"/>
    <s v="No"/>
    <s v="No"/>
    <n v="5"/>
    <s v="Low"/>
    <n v="47299"/>
    <n v="0.1"/>
    <n v="52028.9"/>
  </r>
  <r>
    <s v="EMP1197"/>
    <s v="APAC"/>
    <s v="Singapore"/>
    <x v="0"/>
    <s v="IC"/>
    <x v="120"/>
    <s v="FTE"/>
    <d v="2015-02-10T00:00:00"/>
    <s v="Active"/>
    <s v="Logistics"/>
    <s v="CC-Sup-579"/>
    <n v="5"/>
    <s v=""/>
    <n v="11"/>
    <x v="3"/>
    <n v="0"/>
    <s v=""/>
    <n v="4"/>
    <s v="No"/>
    <s v="No"/>
    <s v="No"/>
    <n v="2"/>
    <s v="High"/>
    <n v="43692"/>
    <n v="0.1"/>
    <n v="48061.200000000004"/>
  </r>
  <r>
    <s v="EMP1198"/>
    <s v="APAC"/>
    <s v="Singapore"/>
    <x v="5"/>
    <s v="Manager"/>
    <x v="208"/>
    <s v="FTE"/>
    <d v="2015-02-08T00:00:00"/>
    <s v="Active"/>
    <s v="Technology"/>
    <s v="CC-IT-345"/>
    <n v="4"/>
    <s v=""/>
    <n v="11"/>
    <x v="3"/>
    <n v="0"/>
    <s v=""/>
    <n v="2"/>
    <s v="No"/>
    <s v="No"/>
    <s v="No"/>
    <n v="4"/>
    <s v="Low"/>
    <n v="66825"/>
    <n v="0.15"/>
    <n v="76848.75"/>
  </r>
  <r>
    <s v="EMP1199"/>
    <s v="APAC"/>
    <s v="Singapore"/>
    <x v="4"/>
    <s v="IC"/>
    <x v="17"/>
    <s v="Contractor"/>
    <d v="2015-01-11T00:00:00"/>
    <s v="Inactive"/>
    <s v="People Operations"/>
    <s v="CC-HR-306"/>
    <n v="5"/>
    <d v="2016-10-19T00:00:00"/>
    <n v="1"/>
    <x v="0"/>
    <n v="1"/>
    <s v="Voluntary"/>
    <n v="4"/>
    <s v="No"/>
    <s v="No"/>
    <s v="No"/>
    <n v="5"/>
    <s v="Low"/>
    <n v="20423"/>
    <n v="0.1"/>
    <n v="22465.300000000003"/>
  </r>
  <r>
    <s v="EMP1200"/>
    <s v="APAC"/>
    <s v="Singapore"/>
    <x v="4"/>
    <s v="Director"/>
    <x v="154"/>
    <s v="FTE"/>
    <d v="2015-01-03T00:00:00"/>
    <s v="Active"/>
    <s v="People Operations"/>
    <s v="CC-HR-744"/>
    <n v="3"/>
    <s v=""/>
    <n v="11"/>
    <x v="3"/>
    <n v="0"/>
    <s v=""/>
    <n v="5"/>
    <s v="No"/>
    <s v="No"/>
    <s v="No"/>
    <n v="1"/>
    <s v="High"/>
    <n v="126166"/>
    <n v="0.2"/>
    <n v="151399.1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FFE47-AF36-46FD-B088-5F1D7898534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5:K10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2"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showDataAs="percentOfTotal" baseField="14" baseItem="0" numFmtId="10"/>
  </dataFields>
  <formats count="19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4" type="button" dataOnly="0" labelOnly="1" outline="0" axis="axisRow" fieldPosition="0"/>
    </format>
    <format dxfId="17">
      <pivotArea dataOnly="0" labelOnly="1" fieldPosition="0">
        <references count="1">
          <reference field="14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4" type="button" dataOnly="0" labelOnly="1" outline="0" axis="axisRow" fieldPosition="0"/>
    </format>
    <format dxfId="11">
      <pivotArea dataOnly="0" labelOnly="1" fieldPosition="0">
        <references count="1">
          <reference field="14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4" type="button" dataOnly="0" labelOnly="1" outline="0" axis="axisRow" fieldPosition="0"/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fieldPosition="0">
        <references count="1">
          <reference field="14" count="0"/>
        </references>
      </pivotArea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9EF0A-0944-4A73-8C07-E686AF861A0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H7" firstHeaderRow="1" firstDataRow="2" firstDataCol="1"/>
  <pivotFields count="26">
    <pivotField dataField="1" showAll="0"/>
    <pivotField showAll="0"/>
    <pivotField showAll="0"/>
    <pivotField axis="axisCol" showAll="0">
      <items count="7">
        <item x="1"/>
        <item x="4"/>
        <item x="5"/>
        <item x="3"/>
        <item x="2"/>
        <item x="0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Workforce structure by business unit" fld="0" subtotal="count" baseField="3" baseItem="0"/>
  </dataFields>
  <formats count="15"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Col="1" outline="0" fieldPosition="0"/>
    </format>
    <format dxfId="33">
      <pivotArea dataOnly="0" labelOnly="1" outline="0" axis="axisValues" fieldPosition="0"/>
    </format>
    <format dxfId="32">
      <pivotArea dataOnly="0" labelOnly="1" outline="0" axis="axisValues" fieldPosition="0"/>
    </format>
    <format dxfId="31">
      <pivotArea field="3" dataOnly="0" grandCol="1" outline="0" axis="axisCol" fieldPosition="0">
        <references count="1">
          <reference field="3" count="0"/>
        </references>
      </pivotArea>
    </format>
    <format dxfId="30">
      <pivotArea outline="0" collapsedLevelsAreSubtotals="1" fieldPosition="0"/>
    </format>
    <format dxfId="29">
      <pivotArea dataOnly="0" labelOnly="1" fieldPosition="0">
        <references count="1">
          <reference field="3" count="0"/>
        </references>
      </pivotArea>
    </format>
    <format dxfId="28">
      <pivotArea dataOnly="0" labelOnly="1" grandCol="1" outline="0" fieldPosition="0"/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Col="1" outline="0" fieldPosition="0"/>
    </format>
    <format dxfId="24">
      <pivotArea field="3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3" type="button" dataOnly="0" labelOnly="1" outline="0" axis="axisCol" fieldPosition="0"/>
    </format>
    <format dxfId="21">
      <pivotArea type="topRight" dataOnly="0" labelOnly="1" outline="0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9BBFBE-CA99-44DA-BFEA-B78A2BD1C69A}" name="PivotTable9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F10:G17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arly_Tenure_Flag" fld="1" subtotal="average" baseField="0" baseItem="0"/>
  </dataFields>
  <formats count="20">
    <format dxfId="55">
      <pivotArea collapsedLevelsAreSubtotals="1" fieldPosition="0">
        <references count="1">
          <reference field="0" count="0"/>
        </references>
      </pivotArea>
    </format>
    <format dxfId="54">
      <pivotArea grandRow="1"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Early_Tenure_Flag"/>
  </pivotHierarchies>
  <pivotTableStyleInfo name="PivotStyleLight20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mployee_Master!$A$1:$Z$12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14AF38-792E-483C-B952-1EFB4C6A9DA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H11" firstHeaderRow="1" firstDataRow="2" firstDataCol="1"/>
  <pivotFields count="26">
    <pivotField dataField="1" showAll="0"/>
    <pivotField showAll="0"/>
    <pivotField showAll="0"/>
    <pivotField axis="axisCol" showAll="0">
      <items count="7">
        <item x="1"/>
        <item x="4"/>
        <item x="5"/>
        <item x="3"/>
        <item x="2"/>
        <item x="0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Workforce structure by business unit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DFF6C7-2DE0-4D12-8E88-BC792858A11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6">
    <pivotField dataField="1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numFmtId="2"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Employee_ID" fld="0" subtotal="count" showDataAs="percentOfTotal" baseField="1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16065-E6C4-4A40-AB7D-CD6678466F2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arly_Tenure_Flag" fld="1" subtotal="average" baseField="0" baseItem="0"/>
  </dataFields>
  <formats count="2">
    <format dxfId="1">
      <pivotArea collapsedLevelsAreSubtotals="1" fieldPosition="0">
        <references count="1">
          <reference field="0" count="0"/>
        </references>
      </pivotArea>
    </format>
    <format dxfId="0">
      <pivotArea grandRow="1" outline="0" collapsedLevelsAreSubtotals="1" fieldPosition="0"/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Early_Tenure_Flag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mployee_Master!$A$1:$Z$12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D5C3F-8AE2-40E5-8E38-400BC0CA387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3" firstHeaderRow="1" firstDataRow="1" firstDataCol="1"/>
  <pivotFields count="26">
    <pivotField dataField="1" showAll="0"/>
    <pivotField showAll="0"/>
    <pivotField showAll="0"/>
    <pivotField showAll="0"/>
    <pivotField showAll="0"/>
    <pivotField axis="axisRow" showAll="0">
      <items count="260">
        <item x="183"/>
        <item x="249"/>
        <item x="114"/>
        <item x="38"/>
        <item x="140"/>
        <item x="225"/>
        <item x="0"/>
        <item x="154"/>
        <item x="110"/>
        <item x="206"/>
        <item x="43"/>
        <item x="11"/>
        <item x="53"/>
        <item x="223"/>
        <item x="142"/>
        <item x="257"/>
        <item x="149"/>
        <item x="163"/>
        <item x="5"/>
        <item x="168"/>
        <item x="166"/>
        <item x="213"/>
        <item x="86"/>
        <item x="4"/>
        <item x="51"/>
        <item x="63"/>
        <item x="237"/>
        <item x="10"/>
        <item x="31"/>
        <item x="189"/>
        <item x="191"/>
        <item x="135"/>
        <item x="157"/>
        <item x="19"/>
        <item x="85"/>
        <item x="83"/>
        <item x="169"/>
        <item x="199"/>
        <item x="62"/>
        <item x="24"/>
        <item x="12"/>
        <item x="165"/>
        <item x="256"/>
        <item x="107"/>
        <item x="22"/>
        <item x="84"/>
        <item x="20"/>
        <item x="27"/>
        <item x="66"/>
        <item x="64"/>
        <item x="170"/>
        <item x="164"/>
        <item x="187"/>
        <item x="231"/>
        <item x="236"/>
        <item x="87"/>
        <item x="195"/>
        <item x="186"/>
        <item x="42"/>
        <item x="74"/>
        <item x="21"/>
        <item x="61"/>
        <item x="71"/>
        <item x="118"/>
        <item x="9"/>
        <item x="146"/>
        <item x="41"/>
        <item x="202"/>
        <item x="95"/>
        <item x="124"/>
        <item x="203"/>
        <item x="49"/>
        <item x="17"/>
        <item x="78"/>
        <item x="6"/>
        <item x="229"/>
        <item x="3"/>
        <item x="102"/>
        <item x="230"/>
        <item x="28"/>
        <item x="241"/>
        <item x="255"/>
        <item x="151"/>
        <item x="99"/>
        <item x="30"/>
        <item x="233"/>
        <item x="143"/>
        <item x="18"/>
        <item x="243"/>
        <item x="109"/>
        <item x="210"/>
        <item x="104"/>
        <item x="32"/>
        <item x="2"/>
        <item x="67"/>
        <item x="94"/>
        <item x="36"/>
        <item x="129"/>
        <item x="116"/>
        <item x="60"/>
        <item x="212"/>
        <item x="69"/>
        <item x="159"/>
        <item x="214"/>
        <item x="134"/>
        <item x="175"/>
        <item x="68"/>
        <item x="127"/>
        <item x="37"/>
        <item x="40"/>
        <item x="217"/>
        <item x="122"/>
        <item x="173"/>
        <item x="144"/>
        <item x="46"/>
        <item x="47"/>
        <item x="201"/>
        <item x="52"/>
        <item x="156"/>
        <item x="121"/>
        <item x="23"/>
        <item x="197"/>
        <item x="115"/>
        <item x="150"/>
        <item x="25"/>
        <item x="113"/>
        <item x="204"/>
        <item x="152"/>
        <item x="91"/>
        <item x="211"/>
        <item x="26"/>
        <item x="39"/>
        <item x="105"/>
        <item x="97"/>
        <item x="171"/>
        <item x="57"/>
        <item x="73"/>
        <item x="254"/>
        <item x="45"/>
        <item x="59"/>
        <item x="158"/>
        <item x="179"/>
        <item x="145"/>
        <item x="14"/>
        <item x="180"/>
        <item x="161"/>
        <item x="119"/>
        <item x="48"/>
        <item x="224"/>
        <item x="192"/>
        <item x="16"/>
        <item x="162"/>
        <item x="182"/>
        <item x="35"/>
        <item x="82"/>
        <item x="240"/>
        <item x="89"/>
        <item x="130"/>
        <item x="123"/>
        <item x="7"/>
        <item x="125"/>
        <item x="136"/>
        <item x="190"/>
        <item x="138"/>
        <item x="44"/>
        <item x="70"/>
        <item x="247"/>
        <item x="148"/>
        <item x="188"/>
        <item x="1"/>
        <item x="15"/>
        <item x="54"/>
        <item x="80"/>
        <item x="101"/>
        <item x="77"/>
        <item x="176"/>
        <item x="153"/>
        <item x="120"/>
        <item x="29"/>
        <item x="13"/>
        <item x="126"/>
        <item x="88"/>
        <item x="232"/>
        <item x="238"/>
        <item x="108"/>
        <item x="117"/>
        <item x="228"/>
        <item x="167"/>
        <item x="8"/>
        <item x="244"/>
        <item x="222"/>
        <item x="185"/>
        <item x="131"/>
        <item x="174"/>
        <item x="98"/>
        <item x="178"/>
        <item x="93"/>
        <item x="181"/>
        <item x="155"/>
        <item x="111"/>
        <item x="55"/>
        <item x="177"/>
        <item x="184"/>
        <item x="58"/>
        <item x="234"/>
        <item x="147"/>
        <item x="209"/>
        <item x="141"/>
        <item x="200"/>
        <item x="215"/>
        <item x="196"/>
        <item x="194"/>
        <item x="258"/>
        <item x="81"/>
        <item x="235"/>
        <item x="207"/>
        <item x="219"/>
        <item x="76"/>
        <item x="227"/>
        <item x="79"/>
        <item x="250"/>
        <item x="56"/>
        <item x="132"/>
        <item x="72"/>
        <item x="242"/>
        <item x="253"/>
        <item x="245"/>
        <item x="246"/>
        <item x="50"/>
        <item x="220"/>
        <item x="139"/>
        <item x="208"/>
        <item x="172"/>
        <item x="75"/>
        <item x="251"/>
        <item x="160"/>
        <item x="248"/>
        <item x="198"/>
        <item x="90"/>
        <item x="226"/>
        <item x="65"/>
        <item x="137"/>
        <item x="103"/>
        <item x="33"/>
        <item x="34"/>
        <item x="96"/>
        <item x="205"/>
        <item x="100"/>
        <item x="239"/>
        <item x="252"/>
        <item x="92"/>
        <item x="193"/>
        <item x="128"/>
        <item x="133"/>
        <item x="218"/>
        <item x="106"/>
        <item x="221"/>
        <item x="216"/>
        <item x="112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 t="grand">
      <x/>
    </i>
  </rowItems>
  <colItems count="1">
    <i/>
  </colItems>
  <dataFields count="1">
    <dataField name="Count of Employ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CD9A-FBFD-4D37-A393-AFD50906951B}">
  <dimension ref="A5:K17"/>
  <sheetViews>
    <sheetView workbookViewId="0">
      <selection activeCell="I17" sqref="I17"/>
    </sheetView>
  </sheetViews>
  <sheetFormatPr defaultRowHeight="14.5" x14ac:dyDescent="0.35"/>
  <cols>
    <col min="1" max="1" width="18.81640625" customWidth="1"/>
    <col min="2" max="2" width="12.81640625" customWidth="1"/>
    <col min="3" max="4" width="3.81640625" bestFit="1" customWidth="1"/>
    <col min="5" max="5" width="10" bestFit="1" customWidth="1"/>
    <col min="6" max="6" width="11.36328125" customWidth="1"/>
    <col min="7" max="7" width="16.36328125" customWidth="1"/>
    <col min="8" max="8" width="10.36328125" bestFit="1" customWidth="1"/>
    <col min="10" max="10" width="9.7265625" customWidth="1"/>
    <col min="11" max="11" width="15.54296875" customWidth="1"/>
    <col min="12" max="12" width="19.26953125" bestFit="1" customWidth="1"/>
  </cols>
  <sheetData>
    <row r="5" spans="1:11" ht="29" x14ac:dyDescent="0.35">
      <c r="B5" s="11" t="s">
        <v>1402</v>
      </c>
      <c r="C5" s="11"/>
      <c r="D5" s="11"/>
      <c r="E5" s="11"/>
      <c r="F5" s="11"/>
      <c r="G5" s="11"/>
      <c r="H5" s="11"/>
      <c r="J5" s="14" t="s">
        <v>1409</v>
      </c>
      <c r="K5" s="15" t="s">
        <v>1401</v>
      </c>
    </row>
    <row r="6" spans="1:11" x14ac:dyDescent="0.35">
      <c r="B6" s="10" t="s">
        <v>32</v>
      </c>
      <c r="C6" s="10" t="s">
        <v>35</v>
      </c>
      <c r="D6" s="10" t="s">
        <v>26</v>
      </c>
      <c r="E6" s="10" t="s">
        <v>41</v>
      </c>
      <c r="F6" s="10" t="s">
        <v>44</v>
      </c>
      <c r="G6" s="10" t="s">
        <v>38</v>
      </c>
      <c r="H6" s="10" t="s">
        <v>1400</v>
      </c>
      <c r="J6" s="10" t="s">
        <v>1403</v>
      </c>
      <c r="K6" s="13">
        <v>0.33250000000000002</v>
      </c>
    </row>
    <row r="7" spans="1:11" ht="29" x14ac:dyDescent="0.35">
      <c r="A7" s="9" t="s">
        <v>1407</v>
      </c>
      <c r="B7" s="11">
        <v>200</v>
      </c>
      <c r="C7" s="11">
        <v>200</v>
      </c>
      <c r="D7" s="11">
        <v>200</v>
      </c>
      <c r="E7" s="11">
        <v>200</v>
      </c>
      <c r="F7" s="11">
        <v>200</v>
      </c>
      <c r="G7" s="11">
        <v>200</v>
      </c>
      <c r="H7" s="11">
        <v>1200</v>
      </c>
      <c r="J7" s="10" t="s">
        <v>1404</v>
      </c>
      <c r="K7" s="13">
        <v>5.0000000000000001E-3</v>
      </c>
    </row>
    <row r="8" spans="1:11" x14ac:dyDescent="0.35">
      <c r="J8" s="10" t="s">
        <v>1405</v>
      </c>
      <c r="K8" s="13">
        <v>0.27416666666666667</v>
      </c>
    </row>
    <row r="9" spans="1:11" x14ac:dyDescent="0.35">
      <c r="J9" s="10" t="s">
        <v>1406</v>
      </c>
      <c r="K9" s="13">
        <v>0.38833333333333331</v>
      </c>
    </row>
    <row r="10" spans="1:11" ht="29" x14ac:dyDescent="0.35">
      <c r="F10" s="12" t="s">
        <v>1409</v>
      </c>
      <c r="G10" s="10" t="s">
        <v>1410</v>
      </c>
      <c r="J10" s="15" t="s">
        <v>1400</v>
      </c>
      <c r="K10" s="13">
        <v>1</v>
      </c>
    </row>
    <row r="11" spans="1:11" x14ac:dyDescent="0.35">
      <c r="F11" s="10" t="s">
        <v>32</v>
      </c>
      <c r="G11" s="16">
        <v>0.32500000000000001</v>
      </c>
    </row>
    <row r="12" spans="1:11" x14ac:dyDescent="0.35">
      <c r="F12" s="10" t="s">
        <v>35</v>
      </c>
      <c r="G12" s="16">
        <v>0.32500000000000001</v>
      </c>
    </row>
    <row r="13" spans="1:11" x14ac:dyDescent="0.35">
      <c r="F13" s="10" t="s">
        <v>26</v>
      </c>
      <c r="G13" s="16">
        <v>0.34</v>
      </c>
    </row>
    <row r="14" spans="1:11" x14ac:dyDescent="0.35">
      <c r="F14" s="10" t="s">
        <v>41</v>
      </c>
      <c r="G14" s="16">
        <v>0.34</v>
      </c>
    </row>
    <row r="15" spans="1:11" x14ac:dyDescent="0.35">
      <c r="F15" s="10" t="s">
        <v>44</v>
      </c>
      <c r="G15" s="16">
        <v>0.31</v>
      </c>
    </row>
    <row r="16" spans="1:11" x14ac:dyDescent="0.35">
      <c r="F16" s="10" t="s">
        <v>38</v>
      </c>
      <c r="G16" s="16">
        <v>0.35499999999999998</v>
      </c>
    </row>
    <row r="17" spans="6:7" x14ac:dyDescent="0.35">
      <c r="F17" s="10" t="s">
        <v>1400</v>
      </c>
      <c r="G17" s="16">
        <v>0.33250000000000002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C3BD-0360-4041-A780-F87F00C95528}">
  <dimension ref="A9:H11"/>
  <sheetViews>
    <sheetView workbookViewId="0">
      <selection activeCell="J18" sqref="J18"/>
    </sheetView>
  </sheetViews>
  <sheetFormatPr defaultRowHeight="14.5" x14ac:dyDescent="0.35"/>
  <cols>
    <col min="1" max="1" width="31.81640625" bestFit="1" customWidth="1"/>
    <col min="2" max="2" width="15.6328125" bestFit="1" customWidth="1"/>
    <col min="3" max="4" width="3.81640625" bestFit="1" customWidth="1"/>
    <col min="5" max="5" width="10" bestFit="1" customWidth="1"/>
    <col min="6" max="6" width="5.36328125" bestFit="1" customWidth="1"/>
    <col min="7" max="7" width="12" bestFit="1" customWidth="1"/>
    <col min="8" max="8" width="10.36328125" bestFit="1" customWidth="1"/>
    <col min="10" max="10" width="12.453125" bestFit="1" customWidth="1"/>
    <col min="11" max="11" width="19.26953125" bestFit="1" customWidth="1"/>
  </cols>
  <sheetData>
    <row r="9" spans="1:8" x14ac:dyDescent="0.35">
      <c r="B9" s="5" t="s">
        <v>1402</v>
      </c>
    </row>
    <row r="10" spans="1:8" x14ac:dyDescent="0.35">
      <c r="B10" t="s">
        <v>32</v>
      </c>
      <c r="C10" t="s">
        <v>35</v>
      </c>
      <c r="D10" t="s">
        <v>26</v>
      </c>
      <c r="E10" t="s">
        <v>41</v>
      </c>
      <c r="F10" t="s">
        <v>44</v>
      </c>
      <c r="G10" t="s">
        <v>38</v>
      </c>
      <c r="H10" t="s">
        <v>1400</v>
      </c>
    </row>
    <row r="11" spans="1:8" x14ac:dyDescent="0.35">
      <c r="A11" t="s">
        <v>1407</v>
      </c>
      <c r="B11">
        <v>200</v>
      </c>
      <c r="C11">
        <v>200</v>
      </c>
      <c r="D11">
        <v>200</v>
      </c>
      <c r="E11">
        <v>200</v>
      </c>
      <c r="F11">
        <v>200</v>
      </c>
      <c r="G11">
        <v>200</v>
      </c>
      <c r="H11">
        <v>1200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F14D-5887-46C7-839A-66E8D89C24C1}">
  <dimension ref="A3:B8"/>
  <sheetViews>
    <sheetView workbookViewId="0">
      <selection activeCell="B9" sqref="A2:B9"/>
    </sheetView>
  </sheetViews>
  <sheetFormatPr defaultRowHeight="14.5" x14ac:dyDescent="0.35"/>
  <cols>
    <col min="1" max="1" width="12.453125" bestFit="1" customWidth="1"/>
    <col min="2" max="2" width="19.26953125" bestFit="1" customWidth="1"/>
  </cols>
  <sheetData>
    <row r="3" spans="1:2" x14ac:dyDescent="0.35">
      <c r="A3" s="5" t="s">
        <v>1409</v>
      </c>
      <c r="B3" t="s">
        <v>1401</v>
      </c>
    </row>
    <row r="4" spans="1:2" x14ac:dyDescent="0.35">
      <c r="A4" s="7" t="s">
        <v>1403</v>
      </c>
      <c r="B4" s="6">
        <v>0.33250000000000002</v>
      </c>
    </row>
    <row r="5" spans="1:2" x14ac:dyDescent="0.35">
      <c r="A5" s="7" t="s">
        <v>1404</v>
      </c>
      <c r="B5" s="6">
        <v>5.0000000000000001E-3</v>
      </c>
    </row>
    <row r="6" spans="1:2" x14ac:dyDescent="0.35">
      <c r="A6" s="7" t="s">
        <v>1405</v>
      </c>
      <c r="B6" s="6">
        <v>0.27416666666666667</v>
      </c>
    </row>
    <row r="7" spans="1:2" x14ac:dyDescent="0.35">
      <c r="A7" s="7" t="s">
        <v>1406</v>
      </c>
      <c r="B7" s="6">
        <v>0.38833333333333331</v>
      </c>
    </row>
    <row r="8" spans="1:2" x14ac:dyDescent="0.35">
      <c r="A8" s="7" t="s">
        <v>1400</v>
      </c>
      <c r="B8" s="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B3A0-5D7A-4F24-BEDF-A508CFA32121}">
  <dimension ref="A3:B10"/>
  <sheetViews>
    <sheetView workbookViewId="0">
      <selection activeCell="C11" sqref="A3:C11"/>
    </sheetView>
  </sheetViews>
  <sheetFormatPr defaultRowHeight="14.5" x14ac:dyDescent="0.35"/>
  <cols>
    <col min="1" max="1" width="12.453125" bestFit="1" customWidth="1"/>
    <col min="2" max="2" width="24.90625" bestFit="1" customWidth="1"/>
  </cols>
  <sheetData>
    <row r="3" spans="1:2" x14ac:dyDescent="0.35">
      <c r="A3" s="5" t="s">
        <v>1409</v>
      </c>
      <c r="B3" t="s">
        <v>1410</v>
      </c>
    </row>
    <row r="4" spans="1:2" x14ac:dyDescent="0.35">
      <c r="A4" s="7" t="s">
        <v>32</v>
      </c>
      <c r="B4" s="8">
        <v>0.32500000000000001</v>
      </c>
    </row>
    <row r="5" spans="1:2" x14ac:dyDescent="0.35">
      <c r="A5" s="7" t="s">
        <v>35</v>
      </c>
      <c r="B5" s="8">
        <v>0.32500000000000001</v>
      </c>
    </row>
    <row r="6" spans="1:2" x14ac:dyDescent="0.35">
      <c r="A6" s="7" t="s">
        <v>26</v>
      </c>
      <c r="B6" s="8">
        <v>0.34</v>
      </c>
    </row>
    <row r="7" spans="1:2" x14ac:dyDescent="0.35">
      <c r="A7" s="7" t="s">
        <v>41</v>
      </c>
      <c r="B7" s="8">
        <v>0.34</v>
      </c>
    </row>
    <row r="8" spans="1:2" x14ac:dyDescent="0.35">
      <c r="A8" s="7" t="s">
        <v>44</v>
      </c>
      <c r="B8" s="8">
        <v>0.31</v>
      </c>
    </row>
    <row r="9" spans="1:2" x14ac:dyDescent="0.35">
      <c r="A9" s="7" t="s">
        <v>38</v>
      </c>
      <c r="B9" s="8">
        <v>0.35499999999999998</v>
      </c>
    </row>
    <row r="10" spans="1:2" x14ac:dyDescent="0.35">
      <c r="A10" s="7" t="s">
        <v>1400</v>
      </c>
      <c r="B10" s="8">
        <v>0.33250000000000002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F302-0BAE-45C9-8BEE-384556980BAD}">
  <dimension ref="A3:B263"/>
  <sheetViews>
    <sheetView workbookViewId="0">
      <selection activeCell="J1" sqref="J1"/>
    </sheetView>
  </sheetViews>
  <sheetFormatPr defaultRowHeight="14.5" x14ac:dyDescent="0.35"/>
  <cols>
    <col min="1" max="1" width="12.453125" bestFit="1" customWidth="1"/>
    <col min="2" max="2" width="19.26953125" bestFit="1" customWidth="1"/>
  </cols>
  <sheetData>
    <row r="3" spans="1:2" x14ac:dyDescent="0.35">
      <c r="A3" s="5" t="s">
        <v>1409</v>
      </c>
      <c r="B3" t="s">
        <v>1401</v>
      </c>
    </row>
    <row r="4" spans="1:2" x14ac:dyDescent="0.35">
      <c r="A4" s="7"/>
      <c r="B4">
        <v>5</v>
      </c>
    </row>
    <row r="5" spans="1:2" x14ac:dyDescent="0.35">
      <c r="A5" s="7" t="s">
        <v>60</v>
      </c>
      <c r="B5">
        <v>2</v>
      </c>
    </row>
    <row r="6" spans="1:2" x14ac:dyDescent="0.35">
      <c r="A6" s="7" t="s">
        <v>46</v>
      </c>
      <c r="B6">
        <v>3</v>
      </c>
    </row>
    <row r="7" spans="1:2" x14ac:dyDescent="0.35">
      <c r="A7" s="7" t="s">
        <v>52</v>
      </c>
      <c r="B7">
        <v>3</v>
      </c>
    </row>
    <row r="8" spans="1:2" x14ac:dyDescent="0.35">
      <c r="A8" s="7" t="s">
        <v>56</v>
      </c>
      <c r="B8">
        <v>4</v>
      </c>
    </row>
    <row r="9" spans="1:2" x14ac:dyDescent="0.35">
      <c r="A9" s="7" t="s">
        <v>49</v>
      </c>
      <c r="B9">
        <v>3</v>
      </c>
    </row>
    <row r="10" spans="1:2" x14ac:dyDescent="0.35">
      <c r="A10" s="7" t="s">
        <v>88</v>
      </c>
      <c r="B10">
        <v>4</v>
      </c>
    </row>
    <row r="11" spans="1:2" x14ac:dyDescent="0.35">
      <c r="A11" s="7" t="s">
        <v>94</v>
      </c>
      <c r="B11">
        <v>5</v>
      </c>
    </row>
    <row r="12" spans="1:2" x14ac:dyDescent="0.35">
      <c r="A12" s="7" t="s">
        <v>81</v>
      </c>
      <c r="B12">
        <v>3</v>
      </c>
    </row>
    <row r="13" spans="1:2" x14ac:dyDescent="0.35">
      <c r="A13" s="7" t="s">
        <v>74</v>
      </c>
      <c r="B13">
        <v>4</v>
      </c>
    </row>
    <row r="14" spans="1:2" x14ac:dyDescent="0.35">
      <c r="A14" s="7" t="s">
        <v>79</v>
      </c>
      <c r="B14">
        <v>9</v>
      </c>
    </row>
    <row r="15" spans="1:2" x14ac:dyDescent="0.35">
      <c r="A15" s="7" t="s">
        <v>98</v>
      </c>
      <c r="B15">
        <v>5</v>
      </c>
    </row>
    <row r="16" spans="1:2" x14ac:dyDescent="0.35">
      <c r="A16" s="7" t="s">
        <v>86</v>
      </c>
      <c r="B16">
        <v>6</v>
      </c>
    </row>
    <row r="17" spans="1:2" x14ac:dyDescent="0.35">
      <c r="A17" s="7" t="s">
        <v>101</v>
      </c>
      <c r="B17">
        <v>3</v>
      </c>
    </row>
    <row r="18" spans="1:2" x14ac:dyDescent="0.35">
      <c r="A18" s="7" t="s">
        <v>76</v>
      </c>
      <c r="B18">
        <v>4</v>
      </c>
    </row>
    <row r="19" spans="1:2" x14ac:dyDescent="0.35">
      <c r="A19" s="7" t="s">
        <v>126</v>
      </c>
      <c r="B19">
        <v>1</v>
      </c>
    </row>
    <row r="20" spans="1:2" x14ac:dyDescent="0.35">
      <c r="A20" s="7" t="s">
        <v>91</v>
      </c>
      <c r="B20">
        <v>3</v>
      </c>
    </row>
    <row r="21" spans="1:2" x14ac:dyDescent="0.35">
      <c r="A21" s="7" t="s">
        <v>118</v>
      </c>
      <c r="B21">
        <v>2</v>
      </c>
    </row>
    <row r="22" spans="1:2" x14ac:dyDescent="0.35">
      <c r="A22" s="7" t="s">
        <v>72</v>
      </c>
      <c r="B22">
        <v>5</v>
      </c>
    </row>
    <row r="23" spans="1:2" x14ac:dyDescent="0.35">
      <c r="A23" s="7" t="s">
        <v>84</v>
      </c>
      <c r="B23">
        <v>3</v>
      </c>
    </row>
    <row r="24" spans="1:2" x14ac:dyDescent="0.35">
      <c r="A24" s="7" t="s">
        <v>408</v>
      </c>
      <c r="B24">
        <v>6</v>
      </c>
    </row>
    <row r="25" spans="1:2" x14ac:dyDescent="0.35">
      <c r="A25" s="7" t="s">
        <v>968</v>
      </c>
      <c r="B25">
        <v>5</v>
      </c>
    </row>
    <row r="26" spans="1:2" x14ac:dyDescent="0.35">
      <c r="A26" s="7" t="s">
        <v>514</v>
      </c>
      <c r="B26">
        <v>6</v>
      </c>
    </row>
    <row r="27" spans="1:2" x14ac:dyDescent="0.35">
      <c r="A27" s="7" t="s">
        <v>980</v>
      </c>
      <c r="B27">
        <v>1</v>
      </c>
    </row>
    <row r="28" spans="1:2" x14ac:dyDescent="0.35">
      <c r="A28" s="7" t="s">
        <v>611</v>
      </c>
      <c r="B28">
        <v>8</v>
      </c>
    </row>
    <row r="29" spans="1:2" x14ac:dyDescent="0.35">
      <c r="A29" s="7" t="s">
        <v>1136</v>
      </c>
      <c r="B29">
        <v>3</v>
      </c>
    </row>
    <row r="30" spans="1:2" x14ac:dyDescent="0.35">
      <c r="A30" s="7" t="s">
        <v>387</v>
      </c>
      <c r="B30">
        <v>4</v>
      </c>
    </row>
    <row r="31" spans="1:2" x14ac:dyDescent="0.35">
      <c r="A31" s="7" t="s">
        <v>971</v>
      </c>
      <c r="B31">
        <v>3</v>
      </c>
    </row>
    <row r="32" spans="1:2" x14ac:dyDescent="0.35">
      <c r="A32" s="7" t="s">
        <v>442</v>
      </c>
      <c r="B32">
        <v>7</v>
      </c>
    </row>
    <row r="33" spans="1:2" x14ac:dyDescent="0.35">
      <c r="A33" s="7" t="s">
        <v>70</v>
      </c>
      <c r="B33">
        <v>3</v>
      </c>
    </row>
    <row r="34" spans="1:2" x14ac:dyDescent="0.35">
      <c r="A34" s="7" t="s">
        <v>691</v>
      </c>
      <c r="B34">
        <v>4</v>
      </c>
    </row>
    <row r="35" spans="1:2" x14ac:dyDescent="0.35">
      <c r="A35" s="7" t="s">
        <v>628</v>
      </c>
      <c r="B35">
        <v>4</v>
      </c>
    </row>
    <row r="36" spans="1:2" x14ac:dyDescent="0.35">
      <c r="A36" s="7" t="s">
        <v>777</v>
      </c>
      <c r="B36">
        <v>3</v>
      </c>
    </row>
    <row r="37" spans="1:2" x14ac:dyDescent="0.35">
      <c r="A37" s="7" t="s">
        <v>658</v>
      </c>
      <c r="B37">
        <v>3</v>
      </c>
    </row>
    <row r="38" spans="1:2" x14ac:dyDescent="0.35">
      <c r="A38" s="7" t="s">
        <v>479</v>
      </c>
      <c r="B38">
        <v>10</v>
      </c>
    </row>
    <row r="39" spans="1:2" x14ac:dyDescent="0.35">
      <c r="A39" s="7" t="s">
        <v>531</v>
      </c>
      <c r="B39">
        <v>5</v>
      </c>
    </row>
    <row r="40" spans="1:2" x14ac:dyDescent="0.35">
      <c r="A40" s="7" t="s">
        <v>431</v>
      </c>
      <c r="B40">
        <v>7</v>
      </c>
    </row>
    <row r="41" spans="1:2" x14ac:dyDescent="0.35">
      <c r="A41" s="7" t="s">
        <v>501</v>
      </c>
      <c r="B41">
        <v>4</v>
      </c>
    </row>
    <row r="42" spans="1:2" x14ac:dyDescent="0.35">
      <c r="A42" s="7" t="s">
        <v>621</v>
      </c>
      <c r="B42">
        <v>4</v>
      </c>
    </row>
    <row r="43" spans="1:2" x14ac:dyDescent="0.35">
      <c r="A43" s="7" t="s">
        <v>913</v>
      </c>
      <c r="B43">
        <v>3</v>
      </c>
    </row>
    <row r="44" spans="1:2" x14ac:dyDescent="0.35">
      <c r="A44" s="7" t="s">
        <v>460</v>
      </c>
      <c r="B44">
        <v>11</v>
      </c>
    </row>
    <row r="45" spans="1:2" x14ac:dyDescent="0.35">
      <c r="A45" s="7" t="s">
        <v>754</v>
      </c>
      <c r="B45">
        <v>3</v>
      </c>
    </row>
    <row r="46" spans="1:2" x14ac:dyDescent="0.35">
      <c r="A46" s="7" t="s">
        <v>899</v>
      </c>
      <c r="B46">
        <v>2</v>
      </c>
    </row>
    <row r="47" spans="1:2" x14ac:dyDescent="0.35">
      <c r="A47" s="7" t="s">
        <v>566</v>
      </c>
      <c r="B47">
        <v>8</v>
      </c>
    </row>
    <row r="48" spans="1:2" x14ac:dyDescent="0.35">
      <c r="A48" s="7" t="s">
        <v>595</v>
      </c>
      <c r="B48">
        <v>7</v>
      </c>
    </row>
    <row r="49" spans="1:2" x14ac:dyDescent="0.35">
      <c r="A49" s="7" t="s">
        <v>482</v>
      </c>
      <c r="B49">
        <v>3</v>
      </c>
    </row>
    <row r="50" spans="1:2" x14ac:dyDescent="0.35">
      <c r="A50" s="7" t="s">
        <v>450</v>
      </c>
      <c r="B50">
        <v>6</v>
      </c>
    </row>
    <row r="51" spans="1:2" x14ac:dyDescent="0.35">
      <c r="A51" s="7" t="s">
        <v>669</v>
      </c>
      <c r="B51">
        <v>7</v>
      </c>
    </row>
    <row r="52" spans="1:2" x14ac:dyDescent="0.35">
      <c r="A52" s="7" t="s">
        <v>1341</v>
      </c>
      <c r="B52">
        <v>2</v>
      </c>
    </row>
    <row r="53" spans="1:2" x14ac:dyDescent="0.35">
      <c r="A53" s="7" t="s">
        <v>623</v>
      </c>
      <c r="B53">
        <v>7</v>
      </c>
    </row>
    <row r="54" spans="1:2" x14ac:dyDescent="0.35">
      <c r="A54" s="7" t="s">
        <v>512</v>
      </c>
      <c r="B54">
        <v>8</v>
      </c>
    </row>
    <row r="55" spans="1:2" x14ac:dyDescent="0.35">
      <c r="A55" s="7" t="s">
        <v>426</v>
      </c>
      <c r="B55">
        <v>4</v>
      </c>
    </row>
    <row r="56" spans="1:2" x14ac:dyDescent="0.35">
      <c r="A56" s="7" t="s">
        <v>964</v>
      </c>
      <c r="B56">
        <v>3</v>
      </c>
    </row>
    <row r="57" spans="1:2" x14ac:dyDescent="0.35">
      <c r="A57" s="7" t="s">
        <v>823</v>
      </c>
      <c r="B57">
        <v>5</v>
      </c>
    </row>
    <row r="58" spans="1:2" x14ac:dyDescent="0.35">
      <c r="A58" s="7" t="s">
        <v>381</v>
      </c>
      <c r="B58">
        <v>7</v>
      </c>
    </row>
    <row r="59" spans="1:2" x14ac:dyDescent="0.35">
      <c r="A59" s="7" t="s">
        <v>412</v>
      </c>
      <c r="B59">
        <v>7</v>
      </c>
    </row>
    <row r="60" spans="1:2" x14ac:dyDescent="0.35">
      <c r="A60" s="7" t="s">
        <v>713</v>
      </c>
      <c r="B60">
        <v>3</v>
      </c>
    </row>
    <row r="61" spans="1:2" x14ac:dyDescent="0.35">
      <c r="A61" s="7" t="s">
        <v>541</v>
      </c>
      <c r="B61">
        <v>6</v>
      </c>
    </row>
    <row r="62" spans="1:2" x14ac:dyDescent="0.35">
      <c r="A62" s="7" t="s">
        <v>420</v>
      </c>
      <c r="B62">
        <v>5</v>
      </c>
    </row>
    <row r="63" spans="1:2" x14ac:dyDescent="0.35">
      <c r="A63" s="7" t="s">
        <v>402</v>
      </c>
      <c r="B63">
        <v>8</v>
      </c>
    </row>
    <row r="64" spans="1:2" x14ac:dyDescent="0.35">
      <c r="A64" s="7" t="s">
        <v>591</v>
      </c>
      <c r="B64">
        <v>6</v>
      </c>
    </row>
    <row r="65" spans="1:2" x14ac:dyDescent="0.35">
      <c r="A65" s="7" t="s">
        <v>395</v>
      </c>
      <c r="B65">
        <v>5</v>
      </c>
    </row>
    <row r="66" spans="1:2" x14ac:dyDescent="0.35">
      <c r="A66" s="7" t="s">
        <v>506</v>
      </c>
      <c r="B66">
        <v>6</v>
      </c>
    </row>
    <row r="67" spans="1:2" x14ac:dyDescent="0.35">
      <c r="A67" s="7" t="s">
        <v>584</v>
      </c>
      <c r="B67">
        <v>10</v>
      </c>
    </row>
    <row r="68" spans="1:2" x14ac:dyDescent="0.35">
      <c r="A68" s="7" t="s">
        <v>772</v>
      </c>
      <c r="B68">
        <v>6</v>
      </c>
    </row>
    <row r="69" spans="1:2" x14ac:dyDescent="0.35">
      <c r="A69" s="7" t="s">
        <v>1228</v>
      </c>
      <c r="B69">
        <v>2</v>
      </c>
    </row>
    <row r="70" spans="1:2" x14ac:dyDescent="0.35">
      <c r="A70" s="7" t="s">
        <v>490</v>
      </c>
      <c r="B70">
        <v>8</v>
      </c>
    </row>
    <row r="71" spans="1:2" x14ac:dyDescent="0.35">
      <c r="A71" s="7" t="s">
        <v>564</v>
      </c>
      <c r="B71">
        <v>5</v>
      </c>
    </row>
    <row r="72" spans="1:2" x14ac:dyDescent="0.35">
      <c r="A72" s="7" t="s">
        <v>418</v>
      </c>
      <c r="B72">
        <v>9</v>
      </c>
    </row>
    <row r="73" spans="1:2" x14ac:dyDescent="0.35">
      <c r="A73" s="7" t="s">
        <v>736</v>
      </c>
      <c r="B73">
        <v>5</v>
      </c>
    </row>
    <row r="74" spans="1:2" x14ac:dyDescent="0.35">
      <c r="A74" s="7" t="s">
        <v>663</v>
      </c>
      <c r="B74">
        <v>7</v>
      </c>
    </row>
    <row r="75" spans="1:2" x14ac:dyDescent="0.35">
      <c r="A75" s="7" t="s">
        <v>444</v>
      </c>
      <c r="B75">
        <v>6</v>
      </c>
    </row>
    <row r="76" spans="1:2" x14ac:dyDescent="0.35">
      <c r="A76" s="7" t="s">
        <v>429</v>
      </c>
      <c r="B76">
        <v>10</v>
      </c>
    </row>
    <row r="77" spans="1:2" x14ac:dyDescent="0.35">
      <c r="A77" s="7" t="s">
        <v>1106</v>
      </c>
      <c r="B77">
        <v>4</v>
      </c>
    </row>
    <row r="78" spans="1:2" x14ac:dyDescent="0.35">
      <c r="A78" s="7" t="s">
        <v>931</v>
      </c>
      <c r="B78">
        <v>3</v>
      </c>
    </row>
    <row r="79" spans="1:2" x14ac:dyDescent="0.35">
      <c r="A79" s="7" t="s">
        <v>807</v>
      </c>
      <c r="B79">
        <v>3</v>
      </c>
    </row>
    <row r="80" spans="1:2" x14ac:dyDescent="0.35">
      <c r="A80" s="7" t="s">
        <v>495</v>
      </c>
      <c r="B80">
        <v>6</v>
      </c>
    </row>
    <row r="81" spans="1:2" x14ac:dyDescent="0.35">
      <c r="A81" s="7" t="s">
        <v>784</v>
      </c>
      <c r="B81">
        <v>6</v>
      </c>
    </row>
    <row r="82" spans="1:2" x14ac:dyDescent="0.35">
      <c r="A82" s="7" t="s">
        <v>983</v>
      </c>
      <c r="B82">
        <v>6</v>
      </c>
    </row>
    <row r="83" spans="1:2" x14ac:dyDescent="0.35">
      <c r="A83" s="7" t="s">
        <v>505</v>
      </c>
      <c r="B83">
        <v>7</v>
      </c>
    </row>
    <row r="84" spans="1:2" x14ac:dyDescent="0.35">
      <c r="A84" s="7" t="s">
        <v>504</v>
      </c>
      <c r="B84">
        <v>2</v>
      </c>
    </row>
    <row r="85" spans="1:2" x14ac:dyDescent="0.35">
      <c r="A85" s="7" t="s">
        <v>820</v>
      </c>
      <c r="B85">
        <v>2</v>
      </c>
    </row>
    <row r="86" spans="1:2" x14ac:dyDescent="0.35">
      <c r="A86" s="7" t="s">
        <v>389</v>
      </c>
      <c r="B86">
        <v>3</v>
      </c>
    </row>
    <row r="87" spans="1:2" x14ac:dyDescent="0.35">
      <c r="A87" s="7" t="s">
        <v>600</v>
      </c>
      <c r="B87">
        <v>6</v>
      </c>
    </row>
    <row r="88" spans="1:2" x14ac:dyDescent="0.35">
      <c r="A88" s="7" t="s">
        <v>722</v>
      </c>
      <c r="B88">
        <v>10</v>
      </c>
    </row>
    <row r="89" spans="1:2" x14ac:dyDescent="0.35">
      <c r="A89" s="7" t="s">
        <v>990</v>
      </c>
      <c r="B89">
        <v>2</v>
      </c>
    </row>
    <row r="90" spans="1:2" x14ac:dyDescent="0.35">
      <c r="A90" s="7" t="s">
        <v>828</v>
      </c>
      <c r="B90">
        <v>3</v>
      </c>
    </row>
    <row r="91" spans="1:2" x14ac:dyDescent="0.35">
      <c r="A91" s="7" t="s">
        <v>458</v>
      </c>
      <c r="B91">
        <v>6</v>
      </c>
    </row>
    <row r="92" spans="1:2" x14ac:dyDescent="0.35">
      <c r="A92" s="7" t="s">
        <v>436</v>
      </c>
      <c r="B92">
        <v>3</v>
      </c>
    </row>
    <row r="93" spans="1:2" x14ac:dyDescent="0.35">
      <c r="A93" s="7" t="s">
        <v>410</v>
      </c>
      <c r="B93">
        <v>4</v>
      </c>
    </row>
    <row r="94" spans="1:2" x14ac:dyDescent="0.35">
      <c r="A94" s="7" t="s">
        <v>522</v>
      </c>
      <c r="B94">
        <v>5</v>
      </c>
    </row>
    <row r="95" spans="1:2" x14ac:dyDescent="0.35">
      <c r="A95" s="7" t="s">
        <v>790</v>
      </c>
      <c r="B95">
        <v>6</v>
      </c>
    </row>
    <row r="96" spans="1:2" x14ac:dyDescent="0.35">
      <c r="A96" s="7" t="s">
        <v>740</v>
      </c>
      <c r="B96">
        <v>6</v>
      </c>
    </row>
    <row r="97" spans="1:2" x14ac:dyDescent="0.35">
      <c r="A97" s="7" t="s">
        <v>598</v>
      </c>
      <c r="B97">
        <v>5</v>
      </c>
    </row>
    <row r="98" spans="1:2" x14ac:dyDescent="0.35">
      <c r="A98" s="7" t="s">
        <v>811</v>
      </c>
      <c r="B98">
        <v>6</v>
      </c>
    </row>
    <row r="99" spans="1:2" x14ac:dyDescent="0.35">
      <c r="A99" s="7" t="s">
        <v>1185</v>
      </c>
      <c r="B99">
        <v>2</v>
      </c>
    </row>
    <row r="100" spans="1:2" x14ac:dyDescent="0.35">
      <c r="A100" s="7" t="s">
        <v>672</v>
      </c>
      <c r="B100">
        <v>4</v>
      </c>
    </row>
    <row r="101" spans="1:2" x14ac:dyDescent="0.35">
      <c r="A101" s="7" t="s">
        <v>702</v>
      </c>
      <c r="B101">
        <v>7</v>
      </c>
    </row>
    <row r="102" spans="1:2" x14ac:dyDescent="0.35">
      <c r="A102" s="7" t="s">
        <v>933</v>
      </c>
      <c r="B102">
        <v>8</v>
      </c>
    </row>
    <row r="103" spans="1:2" x14ac:dyDescent="0.35">
      <c r="A103" s="7" t="s">
        <v>508</v>
      </c>
      <c r="B103">
        <v>6</v>
      </c>
    </row>
    <row r="104" spans="1:2" x14ac:dyDescent="0.35">
      <c r="A104" s="7" t="s">
        <v>803</v>
      </c>
      <c r="B104">
        <v>3</v>
      </c>
    </row>
    <row r="105" spans="1:2" x14ac:dyDescent="0.35">
      <c r="A105" s="7" t="s">
        <v>404</v>
      </c>
      <c r="B105">
        <v>3</v>
      </c>
    </row>
    <row r="106" spans="1:2" x14ac:dyDescent="0.35">
      <c r="A106" s="7" t="s">
        <v>917</v>
      </c>
      <c r="B106">
        <v>6</v>
      </c>
    </row>
    <row r="107" spans="1:2" x14ac:dyDescent="0.35">
      <c r="A107" s="7" t="s">
        <v>958</v>
      </c>
      <c r="B107">
        <v>4</v>
      </c>
    </row>
    <row r="108" spans="1:2" x14ac:dyDescent="0.35">
      <c r="A108" s="7" t="s">
        <v>476</v>
      </c>
      <c r="B108">
        <v>8</v>
      </c>
    </row>
    <row r="109" spans="1:2" x14ac:dyDescent="0.35">
      <c r="A109" s="7" t="s">
        <v>422</v>
      </c>
      <c r="B109">
        <v>7</v>
      </c>
    </row>
    <row r="110" spans="1:2" x14ac:dyDescent="0.35">
      <c r="A110" s="7" t="s">
        <v>424</v>
      </c>
      <c r="B110">
        <v>9</v>
      </c>
    </row>
    <row r="111" spans="1:2" x14ac:dyDescent="0.35">
      <c r="A111" s="7" t="s">
        <v>589</v>
      </c>
      <c r="B111">
        <v>5</v>
      </c>
    </row>
    <row r="112" spans="1:2" x14ac:dyDescent="0.35">
      <c r="A112" s="7" t="s">
        <v>393</v>
      </c>
      <c r="B112">
        <v>6</v>
      </c>
    </row>
    <row r="113" spans="1:2" x14ac:dyDescent="0.35">
      <c r="A113" s="7" t="s">
        <v>502</v>
      </c>
      <c r="B113">
        <v>5</v>
      </c>
    </row>
    <row r="114" spans="1:2" x14ac:dyDescent="0.35">
      <c r="A114" s="7" t="s">
        <v>782</v>
      </c>
      <c r="B114">
        <v>2</v>
      </c>
    </row>
    <row r="115" spans="1:2" x14ac:dyDescent="0.35">
      <c r="A115" s="7" t="s">
        <v>567</v>
      </c>
      <c r="B115">
        <v>4</v>
      </c>
    </row>
    <row r="116" spans="1:2" x14ac:dyDescent="0.35">
      <c r="A116" s="7" t="s">
        <v>391</v>
      </c>
      <c r="B116">
        <v>5</v>
      </c>
    </row>
    <row r="117" spans="1:2" x14ac:dyDescent="0.35">
      <c r="A117" s="7" t="s">
        <v>383</v>
      </c>
      <c r="B117">
        <v>4</v>
      </c>
    </row>
    <row r="118" spans="1:2" x14ac:dyDescent="0.35">
      <c r="A118" s="7" t="s">
        <v>851</v>
      </c>
      <c r="B118">
        <v>5</v>
      </c>
    </row>
    <row r="119" spans="1:2" x14ac:dyDescent="0.35">
      <c r="A119" s="7" t="s">
        <v>575</v>
      </c>
      <c r="B119">
        <v>5</v>
      </c>
    </row>
    <row r="120" spans="1:2" x14ac:dyDescent="0.35">
      <c r="A120" s="7" t="s">
        <v>471</v>
      </c>
      <c r="B120">
        <v>4</v>
      </c>
    </row>
    <row r="121" spans="1:2" x14ac:dyDescent="0.35">
      <c r="A121" s="7" t="s">
        <v>603</v>
      </c>
      <c r="B121">
        <v>3</v>
      </c>
    </row>
    <row r="122" spans="1:2" x14ac:dyDescent="0.35">
      <c r="A122" s="7" t="s">
        <v>414</v>
      </c>
      <c r="B122">
        <v>3</v>
      </c>
    </row>
    <row r="123" spans="1:2" x14ac:dyDescent="0.35">
      <c r="A123" s="7" t="s">
        <v>715</v>
      </c>
      <c r="B123">
        <v>3</v>
      </c>
    </row>
    <row r="124" spans="1:2" x14ac:dyDescent="0.35">
      <c r="A124" s="7" t="s">
        <v>562</v>
      </c>
      <c r="B124">
        <v>5</v>
      </c>
    </row>
    <row r="125" spans="1:2" x14ac:dyDescent="0.35">
      <c r="A125" s="7" t="s">
        <v>786</v>
      </c>
      <c r="B125">
        <v>5</v>
      </c>
    </row>
    <row r="126" spans="1:2" x14ac:dyDescent="0.35">
      <c r="A126" s="7" t="s">
        <v>486</v>
      </c>
      <c r="B126">
        <v>7</v>
      </c>
    </row>
    <row r="127" spans="1:2" x14ac:dyDescent="0.35">
      <c r="A127" s="7" t="s">
        <v>761</v>
      </c>
      <c r="B127">
        <v>5</v>
      </c>
    </row>
    <row r="128" spans="1:2" x14ac:dyDescent="0.35">
      <c r="A128" s="7" t="s">
        <v>510</v>
      </c>
      <c r="B128">
        <v>5</v>
      </c>
    </row>
    <row r="129" spans="1:2" x14ac:dyDescent="0.35">
      <c r="A129" s="7" t="s">
        <v>397</v>
      </c>
      <c r="B129">
        <v>4</v>
      </c>
    </row>
    <row r="130" spans="1:2" x14ac:dyDescent="0.35">
      <c r="A130" s="7" t="s">
        <v>709</v>
      </c>
      <c r="B130">
        <v>6</v>
      </c>
    </row>
    <row r="131" spans="1:2" x14ac:dyDescent="0.35">
      <c r="A131" s="7" t="s">
        <v>675</v>
      </c>
      <c r="B131">
        <v>6</v>
      </c>
    </row>
    <row r="132" spans="1:2" x14ac:dyDescent="0.35">
      <c r="A132" s="7" t="s">
        <v>579</v>
      </c>
      <c r="B132">
        <v>9</v>
      </c>
    </row>
    <row r="133" spans="1:2" x14ac:dyDescent="0.35">
      <c r="A133" s="7" t="s">
        <v>557</v>
      </c>
      <c r="B133">
        <v>4</v>
      </c>
    </row>
    <row r="134" spans="1:2" x14ac:dyDescent="0.35">
      <c r="A134" s="7" t="s">
        <v>636</v>
      </c>
      <c r="B134">
        <v>6</v>
      </c>
    </row>
    <row r="135" spans="1:2" x14ac:dyDescent="0.35">
      <c r="A135" s="7" t="s">
        <v>693</v>
      </c>
      <c r="B135">
        <v>5</v>
      </c>
    </row>
    <row r="136" spans="1:2" x14ac:dyDescent="0.35">
      <c r="A136" s="7" t="s">
        <v>698</v>
      </c>
      <c r="B136">
        <v>3</v>
      </c>
    </row>
    <row r="137" spans="1:2" x14ac:dyDescent="0.35">
      <c r="A137" s="7" t="s">
        <v>399</v>
      </c>
      <c r="B137">
        <v>9</v>
      </c>
    </row>
    <row r="138" spans="1:2" x14ac:dyDescent="0.35">
      <c r="A138" s="7" t="s">
        <v>1065</v>
      </c>
      <c r="B138">
        <v>3</v>
      </c>
    </row>
    <row r="139" spans="1:2" x14ac:dyDescent="0.35">
      <c r="A139" s="7" t="s">
        <v>524</v>
      </c>
      <c r="B139">
        <v>8</v>
      </c>
    </row>
    <row r="140" spans="1:2" x14ac:dyDescent="0.35">
      <c r="A140" s="7" t="s">
        <v>661</v>
      </c>
      <c r="B140">
        <v>4</v>
      </c>
    </row>
    <row r="141" spans="1:2" x14ac:dyDescent="0.35">
      <c r="A141" s="7" t="s">
        <v>440</v>
      </c>
      <c r="B141">
        <v>4</v>
      </c>
    </row>
    <row r="142" spans="1:2" x14ac:dyDescent="0.35">
      <c r="A142" s="7" t="s">
        <v>466</v>
      </c>
      <c r="B142">
        <v>6</v>
      </c>
    </row>
    <row r="143" spans="1:2" x14ac:dyDescent="0.35">
      <c r="A143" s="7" t="s">
        <v>385</v>
      </c>
      <c r="B143">
        <v>5</v>
      </c>
    </row>
    <row r="144" spans="1:2" x14ac:dyDescent="0.35">
      <c r="A144" s="7" t="s">
        <v>577</v>
      </c>
      <c r="B144">
        <v>5</v>
      </c>
    </row>
    <row r="145" spans="1:2" x14ac:dyDescent="0.35">
      <c r="A145" s="7" t="s">
        <v>904</v>
      </c>
      <c r="B145">
        <v>8</v>
      </c>
    </row>
    <row r="146" spans="1:2" x14ac:dyDescent="0.35">
      <c r="A146" s="7" t="s">
        <v>464</v>
      </c>
      <c r="B146">
        <v>9</v>
      </c>
    </row>
    <row r="147" spans="1:2" x14ac:dyDescent="0.35">
      <c r="A147" s="7" t="s">
        <v>573</v>
      </c>
      <c r="B147">
        <v>8</v>
      </c>
    </row>
    <row r="148" spans="1:2" x14ac:dyDescent="0.35">
      <c r="A148" s="7" t="s">
        <v>655</v>
      </c>
      <c r="B148">
        <v>3</v>
      </c>
    </row>
    <row r="149" spans="1:2" x14ac:dyDescent="0.35">
      <c r="A149" s="7" t="s">
        <v>609</v>
      </c>
      <c r="B149">
        <v>4</v>
      </c>
    </row>
    <row r="150" spans="1:2" x14ac:dyDescent="0.35">
      <c r="A150" s="7" t="s">
        <v>434</v>
      </c>
      <c r="B150">
        <v>4</v>
      </c>
    </row>
    <row r="151" spans="1:2" x14ac:dyDescent="0.35">
      <c r="A151" s="7" t="s">
        <v>839</v>
      </c>
      <c r="B151">
        <v>1</v>
      </c>
    </row>
    <row r="152" spans="1:2" x14ac:dyDescent="0.35">
      <c r="A152" s="7" t="s">
        <v>518</v>
      </c>
      <c r="B152">
        <v>8</v>
      </c>
    </row>
    <row r="153" spans="1:2" x14ac:dyDescent="0.35">
      <c r="A153" s="7" t="s">
        <v>752</v>
      </c>
      <c r="B153">
        <v>3</v>
      </c>
    </row>
    <row r="154" spans="1:2" x14ac:dyDescent="0.35">
      <c r="A154" s="7" t="s">
        <v>182</v>
      </c>
      <c r="B154">
        <v>5</v>
      </c>
    </row>
    <row r="155" spans="1:2" x14ac:dyDescent="0.35">
      <c r="A155" s="7" t="s">
        <v>499</v>
      </c>
      <c r="B155">
        <v>4</v>
      </c>
    </row>
    <row r="156" spans="1:2" x14ac:dyDescent="0.35">
      <c r="A156" s="7" t="s">
        <v>468</v>
      </c>
      <c r="B156">
        <v>7</v>
      </c>
    </row>
    <row r="157" spans="1:2" x14ac:dyDescent="0.35">
      <c r="A157" s="7" t="s">
        <v>946</v>
      </c>
      <c r="B157">
        <v>4</v>
      </c>
    </row>
    <row r="158" spans="1:2" x14ac:dyDescent="0.35">
      <c r="A158" s="7" t="s">
        <v>545</v>
      </c>
      <c r="B158">
        <v>7</v>
      </c>
    </row>
    <row r="159" spans="1:2" x14ac:dyDescent="0.35">
      <c r="A159" s="7" t="s">
        <v>631</v>
      </c>
      <c r="B159">
        <v>5</v>
      </c>
    </row>
    <row r="160" spans="1:2" x14ac:dyDescent="0.35">
      <c r="A160" s="7" t="s">
        <v>845</v>
      </c>
      <c r="B160">
        <v>2</v>
      </c>
    </row>
    <row r="161" spans="1:2" x14ac:dyDescent="0.35">
      <c r="A161" s="7" t="s">
        <v>582</v>
      </c>
      <c r="B161">
        <v>6</v>
      </c>
    </row>
    <row r="162" spans="1:2" x14ac:dyDescent="0.35">
      <c r="A162" s="7" t="s">
        <v>454</v>
      </c>
      <c r="B162">
        <v>4</v>
      </c>
    </row>
    <row r="163" spans="1:2" x14ac:dyDescent="0.35">
      <c r="A163" s="7" t="s">
        <v>684</v>
      </c>
      <c r="B163">
        <v>5</v>
      </c>
    </row>
    <row r="164" spans="1:2" x14ac:dyDescent="0.35">
      <c r="A164" s="7" t="s">
        <v>263</v>
      </c>
      <c r="B164">
        <v>1</v>
      </c>
    </row>
    <row r="165" spans="1:2" x14ac:dyDescent="0.35">
      <c r="A165" s="7" t="s">
        <v>474</v>
      </c>
      <c r="B165">
        <v>7</v>
      </c>
    </row>
    <row r="166" spans="1:2" x14ac:dyDescent="0.35">
      <c r="A166" s="7" t="s">
        <v>895</v>
      </c>
      <c r="B166">
        <v>6</v>
      </c>
    </row>
    <row r="167" spans="1:2" x14ac:dyDescent="0.35">
      <c r="A167" s="7" t="s">
        <v>613</v>
      </c>
      <c r="B167">
        <v>5</v>
      </c>
    </row>
    <row r="168" spans="1:2" x14ac:dyDescent="0.35">
      <c r="A168" s="7" t="s">
        <v>618</v>
      </c>
      <c r="B168">
        <v>5</v>
      </c>
    </row>
    <row r="169" spans="1:2" x14ac:dyDescent="0.35">
      <c r="A169" s="7" t="s">
        <v>452</v>
      </c>
      <c r="B169">
        <v>6</v>
      </c>
    </row>
    <row r="170" spans="1:2" x14ac:dyDescent="0.35">
      <c r="A170" s="7" t="s">
        <v>749</v>
      </c>
      <c r="B170">
        <v>3</v>
      </c>
    </row>
    <row r="171" spans="1:2" x14ac:dyDescent="0.35">
      <c r="A171" s="7" t="s">
        <v>680</v>
      </c>
      <c r="B171">
        <v>3</v>
      </c>
    </row>
    <row r="172" spans="1:2" x14ac:dyDescent="0.35">
      <c r="A172" s="7" t="s">
        <v>646</v>
      </c>
      <c r="B172">
        <v>3</v>
      </c>
    </row>
    <row r="173" spans="1:2" x14ac:dyDescent="0.35">
      <c r="A173" s="7" t="s">
        <v>648</v>
      </c>
      <c r="B173">
        <v>10</v>
      </c>
    </row>
    <row r="174" spans="1:2" x14ac:dyDescent="0.35">
      <c r="A174" s="7" t="s">
        <v>416</v>
      </c>
      <c r="B174">
        <v>3</v>
      </c>
    </row>
    <row r="175" spans="1:2" x14ac:dyDescent="0.35">
      <c r="A175" s="7" t="s">
        <v>194</v>
      </c>
      <c r="B175">
        <v>2</v>
      </c>
    </row>
    <row r="176" spans="1:2" x14ac:dyDescent="0.35">
      <c r="A176" s="7" t="s">
        <v>570</v>
      </c>
      <c r="B176">
        <v>6</v>
      </c>
    </row>
    <row r="177" spans="1:2" x14ac:dyDescent="0.35">
      <c r="A177" s="7" t="s">
        <v>553</v>
      </c>
      <c r="B177">
        <v>7</v>
      </c>
    </row>
    <row r="178" spans="1:2" x14ac:dyDescent="0.35">
      <c r="A178" s="7" t="s">
        <v>492</v>
      </c>
      <c r="B178">
        <v>6</v>
      </c>
    </row>
    <row r="179" spans="1:2" x14ac:dyDescent="0.35">
      <c r="A179" s="7" t="s">
        <v>484</v>
      </c>
      <c r="B179">
        <v>5</v>
      </c>
    </row>
    <row r="180" spans="1:2" x14ac:dyDescent="0.35">
      <c r="A180" s="7" t="s">
        <v>865</v>
      </c>
      <c r="B180">
        <v>3</v>
      </c>
    </row>
    <row r="181" spans="1:2" x14ac:dyDescent="0.35">
      <c r="A181" s="7" t="s">
        <v>706</v>
      </c>
      <c r="B181">
        <v>9</v>
      </c>
    </row>
    <row r="182" spans="1:2" x14ac:dyDescent="0.35">
      <c r="A182" s="7" t="s">
        <v>438</v>
      </c>
      <c r="B182">
        <v>10</v>
      </c>
    </row>
    <row r="183" spans="1:2" x14ac:dyDescent="0.35">
      <c r="A183" s="7" t="s">
        <v>759</v>
      </c>
      <c r="B183">
        <v>7</v>
      </c>
    </row>
    <row r="184" spans="1:2" x14ac:dyDescent="0.35">
      <c r="A184" s="7" t="s">
        <v>638</v>
      </c>
      <c r="B184">
        <v>6</v>
      </c>
    </row>
    <row r="185" spans="1:2" x14ac:dyDescent="0.35">
      <c r="A185" s="7" t="s">
        <v>488</v>
      </c>
      <c r="B185">
        <v>8</v>
      </c>
    </row>
    <row r="186" spans="1:2" x14ac:dyDescent="0.35">
      <c r="A186" s="7" t="s">
        <v>244</v>
      </c>
      <c r="B186">
        <v>1</v>
      </c>
    </row>
    <row r="187" spans="1:2" x14ac:dyDescent="0.35">
      <c r="A187" s="7" t="s">
        <v>987</v>
      </c>
      <c r="B187">
        <v>2</v>
      </c>
    </row>
    <row r="188" spans="1:2" x14ac:dyDescent="0.35">
      <c r="A188" s="7" t="s">
        <v>666</v>
      </c>
      <c r="B188">
        <v>8</v>
      </c>
    </row>
    <row r="189" spans="1:2" x14ac:dyDescent="0.35">
      <c r="A189" s="7" t="s">
        <v>794</v>
      </c>
      <c r="B189">
        <v>6</v>
      </c>
    </row>
    <row r="190" spans="1:2" x14ac:dyDescent="0.35">
      <c r="A190" s="7" t="s">
        <v>535</v>
      </c>
      <c r="B190">
        <v>3</v>
      </c>
    </row>
    <row r="191" spans="1:2" x14ac:dyDescent="0.35">
      <c r="A191" s="7" t="s">
        <v>1012</v>
      </c>
      <c r="B191">
        <v>1</v>
      </c>
    </row>
    <row r="192" spans="1:2" x14ac:dyDescent="0.35">
      <c r="A192" s="7" t="s">
        <v>798</v>
      </c>
      <c r="B192">
        <v>3</v>
      </c>
    </row>
    <row r="193" spans="1:2" x14ac:dyDescent="0.35">
      <c r="A193" s="7" t="s">
        <v>625</v>
      </c>
      <c r="B193">
        <v>5</v>
      </c>
    </row>
    <row r="194" spans="1:2" x14ac:dyDescent="0.35">
      <c r="A194" s="7" t="s">
        <v>719</v>
      </c>
      <c r="B194">
        <v>2</v>
      </c>
    </row>
    <row r="195" spans="1:2" x14ac:dyDescent="0.35">
      <c r="A195" s="7" t="s">
        <v>948</v>
      </c>
      <c r="B195">
        <v>4</v>
      </c>
    </row>
    <row r="196" spans="1:2" x14ac:dyDescent="0.35">
      <c r="A196" s="7" t="s">
        <v>642</v>
      </c>
      <c r="B196">
        <v>5</v>
      </c>
    </row>
    <row r="197" spans="1:2" x14ac:dyDescent="0.35">
      <c r="A197" s="7" t="s">
        <v>174</v>
      </c>
      <c r="B197">
        <v>2</v>
      </c>
    </row>
    <row r="198" spans="1:2" x14ac:dyDescent="0.35">
      <c r="A198" s="7" t="s">
        <v>543</v>
      </c>
      <c r="B198">
        <v>7</v>
      </c>
    </row>
    <row r="199" spans="1:2" x14ac:dyDescent="0.35">
      <c r="A199" s="7" t="s">
        <v>770</v>
      </c>
      <c r="B199">
        <v>4</v>
      </c>
    </row>
    <row r="200" spans="1:2" x14ac:dyDescent="0.35">
      <c r="A200" s="7" t="s">
        <v>695</v>
      </c>
      <c r="B200">
        <v>7</v>
      </c>
    </row>
    <row r="201" spans="1:2" x14ac:dyDescent="0.35">
      <c r="A201" s="7" t="s">
        <v>456</v>
      </c>
      <c r="B201">
        <v>6</v>
      </c>
    </row>
    <row r="202" spans="1:2" x14ac:dyDescent="0.35">
      <c r="A202" s="7" t="s">
        <v>521</v>
      </c>
      <c r="B202">
        <v>6</v>
      </c>
    </row>
    <row r="203" spans="1:2" x14ac:dyDescent="0.35">
      <c r="A203" s="7" t="s">
        <v>497</v>
      </c>
      <c r="B203">
        <v>2</v>
      </c>
    </row>
    <row r="204" spans="1:2" x14ac:dyDescent="0.35">
      <c r="A204" s="7" t="s">
        <v>861</v>
      </c>
      <c r="B204">
        <v>2</v>
      </c>
    </row>
    <row r="205" spans="1:2" x14ac:dyDescent="0.35">
      <c r="A205" s="7" t="s">
        <v>650</v>
      </c>
      <c r="B205">
        <v>6</v>
      </c>
    </row>
    <row r="206" spans="1:2" x14ac:dyDescent="0.35">
      <c r="A206" s="7" t="s">
        <v>406</v>
      </c>
      <c r="B206">
        <v>8</v>
      </c>
    </row>
    <row r="207" spans="1:2" x14ac:dyDescent="0.35">
      <c r="A207" s="7" t="s">
        <v>447</v>
      </c>
      <c r="B207">
        <v>8</v>
      </c>
    </row>
    <row r="208" spans="1:2" x14ac:dyDescent="0.35">
      <c r="A208" s="7" t="s">
        <v>146</v>
      </c>
      <c r="B208">
        <v>2</v>
      </c>
    </row>
    <row r="209" spans="1:2" x14ac:dyDescent="0.35">
      <c r="A209" s="7" t="s">
        <v>854</v>
      </c>
      <c r="B209">
        <v>9</v>
      </c>
    </row>
    <row r="210" spans="1:2" x14ac:dyDescent="0.35">
      <c r="A210" s="7" t="s">
        <v>168</v>
      </c>
      <c r="B210">
        <v>2</v>
      </c>
    </row>
    <row r="211" spans="1:2" x14ac:dyDescent="0.35">
      <c r="A211" s="7" t="s">
        <v>216</v>
      </c>
      <c r="B211">
        <v>4</v>
      </c>
    </row>
    <row r="212" spans="1:2" x14ac:dyDescent="0.35">
      <c r="A212" s="7" t="s">
        <v>228</v>
      </c>
      <c r="B212">
        <v>5</v>
      </c>
    </row>
    <row r="213" spans="1:2" x14ac:dyDescent="0.35">
      <c r="A213" s="7" t="s">
        <v>261</v>
      </c>
      <c r="B213">
        <v>3</v>
      </c>
    </row>
    <row r="214" spans="1:2" x14ac:dyDescent="0.35">
      <c r="A214" s="7" t="s">
        <v>150</v>
      </c>
      <c r="B214">
        <v>4</v>
      </c>
    </row>
    <row r="215" spans="1:2" x14ac:dyDescent="0.35">
      <c r="A215" s="7" t="s">
        <v>196</v>
      </c>
      <c r="B215">
        <v>3</v>
      </c>
    </row>
    <row r="216" spans="1:2" x14ac:dyDescent="0.35">
      <c r="A216" s="7" t="s">
        <v>361</v>
      </c>
      <c r="B216">
        <v>1</v>
      </c>
    </row>
    <row r="217" spans="1:2" x14ac:dyDescent="0.35">
      <c r="A217" s="7" t="s">
        <v>247</v>
      </c>
      <c r="B217">
        <v>3</v>
      </c>
    </row>
    <row r="218" spans="1:2" x14ac:dyDescent="0.35">
      <c r="A218" s="7" t="s">
        <v>208</v>
      </c>
      <c r="B218">
        <v>1</v>
      </c>
    </row>
    <row r="219" spans="1:2" x14ac:dyDescent="0.35">
      <c r="A219" s="7" t="s">
        <v>219</v>
      </c>
      <c r="B219">
        <v>5</v>
      </c>
    </row>
    <row r="220" spans="1:2" x14ac:dyDescent="0.35">
      <c r="A220" s="7" t="s">
        <v>347</v>
      </c>
      <c r="B220">
        <v>1</v>
      </c>
    </row>
    <row r="221" spans="1:2" x14ac:dyDescent="0.35">
      <c r="A221" s="7" t="s">
        <v>158</v>
      </c>
      <c r="B221">
        <v>3</v>
      </c>
    </row>
    <row r="222" spans="1:2" x14ac:dyDescent="0.35">
      <c r="A222" s="7" t="s">
        <v>306</v>
      </c>
      <c r="B222">
        <v>2</v>
      </c>
    </row>
    <row r="223" spans="1:2" x14ac:dyDescent="0.35">
      <c r="A223" s="7" t="s">
        <v>192</v>
      </c>
      <c r="B223">
        <v>4</v>
      </c>
    </row>
    <row r="224" spans="1:2" x14ac:dyDescent="0.35">
      <c r="A224" s="7" t="s">
        <v>162</v>
      </c>
      <c r="B224">
        <v>3</v>
      </c>
    </row>
    <row r="225" spans="1:2" x14ac:dyDescent="0.35">
      <c r="A225" s="7" t="s">
        <v>255</v>
      </c>
      <c r="B225">
        <v>3</v>
      </c>
    </row>
    <row r="226" spans="1:2" x14ac:dyDescent="0.35">
      <c r="A226" s="7" t="s">
        <v>172</v>
      </c>
      <c r="B226">
        <v>4</v>
      </c>
    </row>
    <row r="227" spans="1:2" x14ac:dyDescent="0.35">
      <c r="A227" s="7" t="s">
        <v>309</v>
      </c>
      <c r="B227">
        <v>1</v>
      </c>
    </row>
    <row r="228" spans="1:2" x14ac:dyDescent="0.35">
      <c r="A228" s="7" t="s">
        <v>312</v>
      </c>
      <c r="B228">
        <v>3</v>
      </c>
    </row>
    <row r="229" spans="1:2" x14ac:dyDescent="0.35">
      <c r="A229" s="7" t="s">
        <v>271</v>
      </c>
      <c r="B229">
        <v>3</v>
      </c>
    </row>
    <row r="230" spans="1:2" x14ac:dyDescent="0.35">
      <c r="A230" s="7" t="s">
        <v>303</v>
      </c>
      <c r="B230">
        <v>2</v>
      </c>
    </row>
    <row r="231" spans="1:2" x14ac:dyDescent="0.35">
      <c r="A231" s="7" t="s">
        <v>371</v>
      </c>
      <c r="B231">
        <v>1</v>
      </c>
    </row>
    <row r="232" spans="1:2" x14ac:dyDescent="0.35">
      <c r="A232" s="7" t="s">
        <v>282</v>
      </c>
      <c r="B232">
        <v>3</v>
      </c>
    </row>
    <row r="233" spans="1:2" x14ac:dyDescent="0.35">
      <c r="A233" s="7" t="s">
        <v>296</v>
      </c>
      <c r="B233">
        <v>2</v>
      </c>
    </row>
    <row r="234" spans="1:2" x14ac:dyDescent="0.35">
      <c r="A234" s="7" t="s">
        <v>181</v>
      </c>
      <c r="B234">
        <v>5</v>
      </c>
    </row>
    <row r="235" spans="1:2" x14ac:dyDescent="0.35">
      <c r="A235" s="7" t="s">
        <v>201</v>
      </c>
      <c r="B235">
        <v>4</v>
      </c>
    </row>
    <row r="236" spans="1:2" x14ac:dyDescent="0.35">
      <c r="A236" s="7" t="s">
        <v>148</v>
      </c>
      <c r="B236">
        <v>4</v>
      </c>
    </row>
    <row r="237" spans="1:2" x14ac:dyDescent="0.35">
      <c r="A237" s="7" t="s">
        <v>190</v>
      </c>
      <c r="B237">
        <v>3</v>
      </c>
    </row>
    <row r="238" spans="1:2" x14ac:dyDescent="0.35">
      <c r="A238" s="7" t="s">
        <v>203</v>
      </c>
      <c r="B238">
        <v>4</v>
      </c>
    </row>
    <row r="239" spans="1:2" x14ac:dyDescent="0.35">
      <c r="A239" s="7" t="s">
        <v>170</v>
      </c>
      <c r="B239">
        <v>3</v>
      </c>
    </row>
    <row r="240" spans="1:2" x14ac:dyDescent="0.35">
      <c r="A240" s="7" t="s">
        <v>275</v>
      </c>
      <c r="B240">
        <v>1</v>
      </c>
    </row>
    <row r="241" spans="1:2" x14ac:dyDescent="0.35">
      <c r="A241" s="7" t="s">
        <v>324</v>
      </c>
      <c r="B241">
        <v>2</v>
      </c>
    </row>
    <row r="242" spans="1:2" x14ac:dyDescent="0.35">
      <c r="A242" s="7" t="s">
        <v>156</v>
      </c>
      <c r="B242">
        <v>9</v>
      </c>
    </row>
    <row r="243" spans="1:2" x14ac:dyDescent="0.35">
      <c r="A243" s="7" t="s">
        <v>188</v>
      </c>
      <c r="B243">
        <v>4</v>
      </c>
    </row>
    <row r="244" spans="1:2" x14ac:dyDescent="0.35">
      <c r="A244" s="7" t="s">
        <v>152</v>
      </c>
      <c r="B244">
        <v>4</v>
      </c>
    </row>
    <row r="245" spans="1:2" x14ac:dyDescent="0.35">
      <c r="A245" s="7" t="s">
        <v>160</v>
      </c>
      <c r="B245">
        <v>4</v>
      </c>
    </row>
    <row r="246" spans="1:2" x14ac:dyDescent="0.35">
      <c r="A246" s="7" t="s">
        <v>205</v>
      </c>
      <c r="B246">
        <v>3</v>
      </c>
    </row>
    <row r="247" spans="1:2" x14ac:dyDescent="0.35">
      <c r="A247" s="7" t="s">
        <v>278</v>
      </c>
      <c r="B247">
        <v>3</v>
      </c>
    </row>
    <row r="248" spans="1:2" x14ac:dyDescent="0.35">
      <c r="A248" s="7" t="s">
        <v>178</v>
      </c>
      <c r="B248">
        <v>5</v>
      </c>
    </row>
    <row r="249" spans="1:2" x14ac:dyDescent="0.35">
      <c r="A249" s="7" t="s">
        <v>236</v>
      </c>
      <c r="B249">
        <v>2</v>
      </c>
    </row>
    <row r="250" spans="1:2" x14ac:dyDescent="0.35">
      <c r="A250" s="7" t="s">
        <v>249</v>
      </c>
      <c r="B250">
        <v>5</v>
      </c>
    </row>
    <row r="251" spans="1:2" x14ac:dyDescent="0.35">
      <c r="A251" s="7" t="s">
        <v>212</v>
      </c>
      <c r="B251">
        <v>4</v>
      </c>
    </row>
    <row r="252" spans="1:2" x14ac:dyDescent="0.35">
      <c r="A252" s="7" t="s">
        <v>332</v>
      </c>
      <c r="B252">
        <v>2</v>
      </c>
    </row>
    <row r="253" spans="1:2" x14ac:dyDescent="0.35">
      <c r="A253" s="7" t="s">
        <v>225</v>
      </c>
      <c r="B253">
        <v>1</v>
      </c>
    </row>
    <row r="254" spans="1:2" x14ac:dyDescent="0.35">
      <c r="A254" s="7" t="s">
        <v>198</v>
      </c>
      <c r="B254">
        <v>2</v>
      </c>
    </row>
    <row r="255" spans="1:2" x14ac:dyDescent="0.35">
      <c r="A255" s="7" t="s">
        <v>232</v>
      </c>
      <c r="B255">
        <v>2</v>
      </c>
    </row>
    <row r="256" spans="1:2" x14ac:dyDescent="0.35">
      <c r="A256" s="7" t="s">
        <v>176</v>
      </c>
      <c r="B256">
        <v>1</v>
      </c>
    </row>
    <row r="257" spans="1:2" x14ac:dyDescent="0.35">
      <c r="A257" s="7" t="s">
        <v>318</v>
      </c>
      <c r="B257">
        <v>3</v>
      </c>
    </row>
    <row r="258" spans="1:2" x14ac:dyDescent="0.35">
      <c r="A258" s="7" t="s">
        <v>273</v>
      </c>
      <c r="B258">
        <v>3</v>
      </c>
    </row>
    <row r="259" spans="1:2" x14ac:dyDescent="0.35">
      <c r="A259" s="7" t="s">
        <v>166</v>
      </c>
      <c r="B259">
        <v>7</v>
      </c>
    </row>
    <row r="260" spans="1:2" x14ac:dyDescent="0.35">
      <c r="A260" s="7" t="s">
        <v>154</v>
      </c>
      <c r="B260">
        <v>4</v>
      </c>
    </row>
    <row r="261" spans="1:2" x14ac:dyDescent="0.35">
      <c r="A261" s="7" t="s">
        <v>185</v>
      </c>
      <c r="B261">
        <v>4</v>
      </c>
    </row>
    <row r="262" spans="1:2" x14ac:dyDescent="0.35">
      <c r="A262" s="7" t="s">
        <v>283</v>
      </c>
      <c r="B262">
        <v>3</v>
      </c>
    </row>
    <row r="263" spans="1:2" x14ac:dyDescent="0.35">
      <c r="A263" s="7" t="s">
        <v>1400</v>
      </c>
      <c r="B263">
        <v>1200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218C-51A2-44AC-B955-7CEEE260D6E8}">
  <dimension ref="A1:AB1201"/>
  <sheetViews>
    <sheetView tabSelected="1" workbookViewId="0">
      <selection sqref="A1:XFD1"/>
    </sheetView>
  </sheetViews>
  <sheetFormatPr defaultRowHeight="14.5" x14ac:dyDescent="0.35"/>
  <cols>
    <col min="1" max="1" width="13.453125" bestFit="1" customWidth="1"/>
    <col min="2" max="2" width="8.54296875" bestFit="1" customWidth="1"/>
    <col min="3" max="3" width="9.453125" bestFit="1" customWidth="1"/>
    <col min="4" max="4" width="11.1796875" bestFit="1" customWidth="1"/>
    <col min="5" max="5" width="10.7265625" bestFit="1" customWidth="1"/>
    <col min="6" max="6" width="12.6328125" bestFit="1" customWidth="1"/>
    <col min="7" max="7" width="32.08984375" bestFit="1" customWidth="1"/>
    <col min="8" max="8" width="16.1796875" customWidth="1"/>
    <col min="9" max="9" width="22.08984375" bestFit="1" customWidth="1"/>
    <col min="10" max="10" width="15.81640625" bestFit="1" customWidth="1"/>
    <col min="11" max="11" width="20.36328125" customWidth="1"/>
    <col min="12" max="12" width="13.26953125" bestFit="1" customWidth="1"/>
    <col min="13" max="13" width="7.453125" bestFit="1" customWidth="1"/>
    <col min="14" max="14" width="14.90625" customWidth="1"/>
    <col min="15" max="15" width="17.54296875" bestFit="1" customWidth="1"/>
    <col min="16" max="16" width="14" bestFit="1" customWidth="1"/>
    <col min="17" max="17" width="13.54296875" bestFit="1" customWidth="1"/>
    <col min="18" max="18" width="17.6328125" bestFit="1" customWidth="1"/>
    <col min="19" max="19" width="17.36328125" bestFit="1" customWidth="1"/>
    <col min="20" max="20" width="18.6328125" bestFit="1" customWidth="1"/>
    <col min="21" max="21" width="14.36328125" bestFit="1" customWidth="1"/>
    <col min="22" max="22" width="13.36328125" bestFit="1" customWidth="1"/>
    <col min="23" max="23" width="18.1796875" bestFit="1" customWidth="1"/>
    <col min="24" max="24" width="18.6328125" bestFit="1" customWidth="1"/>
    <col min="25" max="25" width="13.6328125" bestFit="1" customWidth="1"/>
    <col min="26" max="26" width="12.81640625" bestFit="1" customWidth="1"/>
    <col min="27" max="27" width="10.453125" bestFit="1" customWidth="1"/>
    <col min="28" max="28" width="21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9</v>
      </c>
      <c r="H1" t="s">
        <v>10</v>
      </c>
      <c r="I1" t="s">
        <v>13</v>
      </c>
      <c r="J1" t="s">
        <v>4</v>
      </c>
      <c r="K1" t="s">
        <v>1411</v>
      </c>
      <c r="L1" t="s">
        <v>5</v>
      </c>
      <c r="M1" t="s">
        <v>8</v>
      </c>
      <c r="N1" t="s">
        <v>1413</v>
      </c>
      <c r="O1" t="s">
        <v>11</v>
      </c>
      <c r="P1" t="s">
        <v>25</v>
      </c>
      <c r="Q1" t="s">
        <v>1399</v>
      </c>
      <c r="R1" t="s">
        <v>1408</v>
      </c>
      <c r="S1" t="s">
        <v>12</v>
      </c>
      <c r="T1" t="s">
        <v>14</v>
      </c>
      <c r="U1" t="s">
        <v>1412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s="1" t="s">
        <v>21</v>
      </c>
    </row>
    <row r="2" spans="1:28" x14ac:dyDescent="0.35">
      <c r="A2" t="str">
        <f t="shared" ref="A2:A65" si="0">"EMP"&amp;TEXT(ROW()-1,"0000")</f>
        <v>EMP0001</v>
      </c>
      <c r="B2" t="str" cm="1">
        <f t="array" ref="B2">_xlfn.IFS(
ROW()&lt;=421,"NA",
ROW()&lt;=781,"LATAM",
ROW()&lt;=1021,"EMEA",
TRUE,"APAC"
)</f>
        <v>NA</v>
      </c>
      <c r="C2" t="str">
        <f t="shared" ref="C2:C65" si="1">IF(B2="NA","USA",
IF(B2="LATAM","Mexico",
IF(B2="EMEA","Germany","Singapore")))</f>
        <v>USA</v>
      </c>
      <c r="D2" t="s">
        <v>38</v>
      </c>
      <c r="E2" t="s">
        <v>69</v>
      </c>
      <c r="F2" t="s">
        <v>88</v>
      </c>
      <c r="G2" t="s">
        <v>28</v>
      </c>
      <c r="H2" s="2">
        <v>46074</v>
      </c>
      <c r="I2" t="s">
        <v>29</v>
      </c>
      <c r="J2" t="s">
        <v>39</v>
      </c>
      <c r="K2" t="str">
        <f ca="1">IF(
OR(
H2="",
I2="",
AND(I2="Inactive",O2=""),
H2&gt;TODAY(),
Z2="",
F2="",
D2="",
X2&lt;1
),
"⚠ Review",
"OK"
)</f>
        <v>OK</v>
      </c>
      <c r="L2" t="s">
        <v>121</v>
      </c>
      <c r="M2">
        <v>3</v>
      </c>
      <c r="N2" s="2">
        <v>46075</v>
      </c>
      <c r="O2" s="2"/>
      <c r="P2" s="4">
        <f t="shared" ref="P2:P65" ca="1" si="2">IF(H2&gt;TODAY(),
"",
IF(I2="Active",
DATEDIF(H2,TODAY(),"Y"),
DATEDIF(H2,O2,"Y")
))</f>
        <v>0</v>
      </c>
      <c r="Q2" s="4" t="str">
        <f t="shared" ref="Q2:Q65" ca="1" si="3">IF(P2&lt;=2,"0-2 Years",
IF(P2&lt;=5,"3-5 Years",
IF(P2&lt;=10,"6-10 Years","10+ Years")))</f>
        <v>0-2 Years</v>
      </c>
      <c r="R2">
        <f ca="1">IF(P2&lt;=2,1,0)</f>
        <v>1</v>
      </c>
      <c r="S2" t="s">
        <v>22</v>
      </c>
      <c r="T2">
        <v>3</v>
      </c>
      <c r="U2" t="s">
        <v>1394</v>
      </c>
      <c r="V2" t="s">
        <v>1396</v>
      </c>
      <c r="W2" t="s">
        <v>1394</v>
      </c>
      <c r="X2" s="3">
        <v>3</v>
      </c>
      <c r="Y2" t="s">
        <v>1398</v>
      </c>
      <c r="Z2">
        <v>109203</v>
      </c>
      <c r="AA2">
        <v>0.2</v>
      </c>
      <c r="AB2">
        <v>131043.59999999999</v>
      </c>
    </row>
    <row r="3" spans="1:28" x14ac:dyDescent="0.35">
      <c r="A3" t="str">
        <f t="shared" si="0"/>
        <v>EMP0002</v>
      </c>
      <c r="B3" t="str" cm="1">
        <f t="array" ref="B3">_xlfn.IFS(
ROW()&lt;=421,"NA",
ROW()&lt;=781,"LATAM",
ROW()&lt;=1021,"EMEA",
TRUE,"APAC"
)</f>
        <v>NA</v>
      </c>
      <c r="C3" t="str">
        <f t="shared" si="1"/>
        <v>USA</v>
      </c>
      <c r="D3" t="s">
        <v>32</v>
      </c>
      <c r="E3" t="s">
        <v>380</v>
      </c>
      <c r="F3" t="s">
        <v>648</v>
      </c>
      <c r="G3" t="s">
        <v>28</v>
      </c>
      <c r="H3" s="2">
        <v>46071</v>
      </c>
      <c r="I3" t="s">
        <v>57</v>
      </c>
      <c r="J3" t="s">
        <v>33</v>
      </c>
      <c r="K3" t="str">
        <f t="shared" ref="K3:K66" ca="1" si="4">IF(
OR(
H3="",
I3="",
AND(I3="Inactive",O3=""),
H3&gt;TODAY(),
Z3="",
F3="",
D3="",
X3&lt;1
),
"⚠ Review",
"OK"
)</f>
        <v>OK</v>
      </c>
      <c r="L3" t="s">
        <v>1031</v>
      </c>
      <c r="M3">
        <v>5</v>
      </c>
      <c r="N3" s="2">
        <v>46066</v>
      </c>
      <c r="O3" s="2">
        <v>46071</v>
      </c>
      <c r="P3" s="4">
        <f t="shared" ca="1" si="2"/>
        <v>0</v>
      </c>
      <c r="Q3" s="4" t="str">
        <f t="shared" ca="1" si="3"/>
        <v>0-2 Years</v>
      </c>
      <c r="R3">
        <f t="shared" ref="R3:R66" ca="1" si="5">IF(P3&lt;=2,1,0)</f>
        <v>1</v>
      </c>
      <c r="S3" t="s">
        <v>23</v>
      </c>
      <c r="T3">
        <v>4</v>
      </c>
      <c r="U3" t="s">
        <v>1394</v>
      </c>
      <c r="V3" t="s">
        <v>1394</v>
      </c>
      <c r="W3" t="s">
        <v>1394</v>
      </c>
      <c r="X3" s="3">
        <v>5</v>
      </c>
      <c r="Y3" t="s">
        <v>1395</v>
      </c>
      <c r="Z3">
        <v>24040</v>
      </c>
      <c r="AA3">
        <v>0.1</v>
      </c>
      <c r="AB3">
        <v>26444.000000000004</v>
      </c>
    </row>
    <row r="4" spans="1:28" x14ac:dyDescent="0.35">
      <c r="A4" t="str">
        <f t="shared" si="0"/>
        <v>EMP0003</v>
      </c>
      <c r="B4" t="str" cm="1">
        <f t="array" ref="B4">_xlfn.IFS(
ROW()&lt;=421,"NA",
ROW()&lt;=781,"LATAM",
ROW()&lt;=1021,"EMEA",
TRUE,"APAC"
)</f>
        <v>NA</v>
      </c>
      <c r="C4" t="str">
        <f t="shared" si="1"/>
        <v>USA</v>
      </c>
      <c r="D4" t="s">
        <v>32</v>
      </c>
      <c r="E4" t="s">
        <v>380</v>
      </c>
      <c r="F4" t="s">
        <v>598</v>
      </c>
      <c r="G4" t="s">
        <v>28</v>
      </c>
      <c r="H4" s="2">
        <v>42662</v>
      </c>
      <c r="I4" t="s">
        <v>29</v>
      </c>
      <c r="J4" t="s">
        <v>33</v>
      </c>
      <c r="K4" t="str">
        <f t="shared" ca="1" si="4"/>
        <v>OK</v>
      </c>
      <c r="L4" t="s">
        <v>681</v>
      </c>
      <c r="M4">
        <v>5</v>
      </c>
      <c r="N4" s="2">
        <v>46006</v>
      </c>
      <c r="O4" s="2" t="s">
        <v>22</v>
      </c>
      <c r="P4" s="4">
        <f t="shared" ca="1" si="2"/>
        <v>9</v>
      </c>
      <c r="Q4" s="4" t="str">
        <f t="shared" ca="1" si="3"/>
        <v>6-10 Years</v>
      </c>
      <c r="R4">
        <f t="shared" ca="1" si="5"/>
        <v>0</v>
      </c>
      <c r="S4" t="s">
        <v>22</v>
      </c>
      <c r="T4">
        <v>4</v>
      </c>
      <c r="U4" t="s">
        <v>1394</v>
      </c>
      <c r="V4" t="s">
        <v>1394</v>
      </c>
      <c r="W4" t="s">
        <v>1394</v>
      </c>
      <c r="X4" s="3">
        <v>5</v>
      </c>
      <c r="Y4" t="s">
        <v>1395</v>
      </c>
      <c r="Z4">
        <v>23443</v>
      </c>
      <c r="AA4">
        <v>0.1</v>
      </c>
      <c r="AB4">
        <v>25787.300000000003</v>
      </c>
    </row>
    <row r="5" spans="1:28" x14ac:dyDescent="0.35">
      <c r="A5" t="str">
        <f t="shared" si="0"/>
        <v>EMP0004</v>
      </c>
      <c r="B5" t="str" cm="1">
        <f t="array" ref="B5">_xlfn.IFS(
ROW()&lt;=421,"NA",
ROW()&lt;=781,"LATAM",
ROW()&lt;=1021,"EMEA",
TRUE,"APAC"
)</f>
        <v>NA</v>
      </c>
      <c r="C5" t="str">
        <f t="shared" si="1"/>
        <v>USA</v>
      </c>
      <c r="D5" t="s">
        <v>44</v>
      </c>
      <c r="E5" t="s">
        <v>380</v>
      </c>
      <c r="F5" t="s">
        <v>495</v>
      </c>
      <c r="G5" t="s">
        <v>53</v>
      </c>
      <c r="H5" s="2">
        <v>46068</v>
      </c>
      <c r="I5" t="s">
        <v>29</v>
      </c>
      <c r="J5" t="s">
        <v>47</v>
      </c>
      <c r="K5" t="str">
        <f t="shared" ca="1" si="4"/>
        <v>⚠ Review</v>
      </c>
      <c r="L5" t="s">
        <v>496</v>
      </c>
      <c r="M5">
        <v>5</v>
      </c>
      <c r="N5" s="2">
        <v>46015</v>
      </c>
      <c r="O5" s="2" t="s">
        <v>22</v>
      </c>
      <c r="P5" s="4">
        <f t="shared" ca="1" si="2"/>
        <v>0</v>
      </c>
      <c r="Q5" s="4" t="str">
        <f t="shared" ca="1" si="3"/>
        <v>0-2 Years</v>
      </c>
      <c r="R5">
        <f t="shared" ca="1" si="5"/>
        <v>1</v>
      </c>
      <c r="S5" t="s">
        <v>22</v>
      </c>
      <c r="T5">
        <v>5</v>
      </c>
      <c r="U5" t="s">
        <v>1396</v>
      </c>
      <c r="V5" t="s">
        <v>1394</v>
      </c>
      <c r="W5" t="s">
        <v>1394</v>
      </c>
      <c r="X5" s="3">
        <v>1</v>
      </c>
      <c r="Y5" t="s">
        <v>1397</v>
      </c>
      <c r="AA5">
        <v>0.1</v>
      </c>
      <c r="AB5">
        <v>43118.9</v>
      </c>
    </row>
    <row r="6" spans="1:28" x14ac:dyDescent="0.35">
      <c r="A6" t="str">
        <f t="shared" si="0"/>
        <v>EMP0005</v>
      </c>
      <c r="B6" t="str" cm="1">
        <f t="array" ref="B6">_xlfn.IFS(
ROW()&lt;=421,"NA",
ROW()&lt;=781,"LATAM",
ROW()&lt;=1021,"EMEA",
TRUE,"APAC"
)</f>
        <v>NA</v>
      </c>
      <c r="C6" t="str">
        <f t="shared" si="1"/>
        <v>USA</v>
      </c>
      <c r="D6" t="s">
        <v>32</v>
      </c>
      <c r="E6" t="s">
        <v>380</v>
      </c>
      <c r="F6" t="s">
        <v>980</v>
      </c>
      <c r="G6" t="s">
        <v>28</v>
      </c>
      <c r="H6" s="2">
        <v>44143</v>
      </c>
      <c r="I6" t="s">
        <v>29</v>
      </c>
      <c r="J6" t="s">
        <v>33</v>
      </c>
      <c r="K6" t="str">
        <f t="shared" ca="1" si="4"/>
        <v>OK</v>
      </c>
      <c r="L6" t="s">
        <v>981</v>
      </c>
      <c r="M6">
        <v>5</v>
      </c>
      <c r="N6" s="2">
        <v>46069</v>
      </c>
      <c r="O6" s="2" t="s">
        <v>22</v>
      </c>
      <c r="P6" s="4">
        <f t="shared" ca="1" si="2"/>
        <v>5</v>
      </c>
      <c r="Q6" s="4" t="str">
        <f t="shared" ca="1" si="3"/>
        <v>3-5 Years</v>
      </c>
      <c r="R6">
        <f t="shared" ca="1" si="5"/>
        <v>0</v>
      </c>
      <c r="S6" t="s">
        <v>22</v>
      </c>
      <c r="T6">
        <v>4</v>
      </c>
      <c r="U6" t="s">
        <v>1394</v>
      </c>
      <c r="V6" t="s">
        <v>1394</v>
      </c>
      <c r="W6" t="s">
        <v>1394</v>
      </c>
      <c r="X6" s="3">
        <v>5</v>
      </c>
      <c r="Y6" t="s">
        <v>1395</v>
      </c>
      <c r="Z6">
        <v>49738</v>
      </c>
      <c r="AA6">
        <v>0.1</v>
      </c>
      <c r="AB6">
        <v>54711.8</v>
      </c>
    </row>
    <row r="7" spans="1:28" x14ac:dyDescent="0.35">
      <c r="A7" t="str">
        <f t="shared" si="0"/>
        <v>EMP0006</v>
      </c>
      <c r="B7" t="str" cm="1">
        <f t="array" ref="B7">_xlfn.IFS(
ROW()&lt;=421,"NA",
ROW()&lt;=781,"LATAM",
ROW()&lt;=1021,"EMEA",
TRUE,"APAC"
)</f>
        <v>NA</v>
      </c>
      <c r="C7" t="str">
        <f t="shared" si="1"/>
        <v>USA</v>
      </c>
      <c r="D7" t="s">
        <v>44</v>
      </c>
      <c r="E7" t="s">
        <v>69</v>
      </c>
      <c r="F7" t="s">
        <v>72</v>
      </c>
      <c r="G7" t="s">
        <v>28</v>
      </c>
      <c r="H7" s="2">
        <v>46049</v>
      </c>
      <c r="I7" t="s">
        <v>57</v>
      </c>
      <c r="J7" t="s">
        <v>47</v>
      </c>
      <c r="K7" t="str">
        <f t="shared" ca="1" si="4"/>
        <v>OK</v>
      </c>
      <c r="L7" t="s">
        <v>142</v>
      </c>
      <c r="M7">
        <v>3</v>
      </c>
      <c r="N7" s="2">
        <v>46016</v>
      </c>
      <c r="O7" s="2">
        <v>46071</v>
      </c>
      <c r="P7" s="4">
        <f t="shared" ca="1" si="2"/>
        <v>0</v>
      </c>
      <c r="Q7" s="4" t="str">
        <f t="shared" ca="1" si="3"/>
        <v>0-2 Years</v>
      </c>
      <c r="R7">
        <f t="shared" ca="1" si="5"/>
        <v>1</v>
      </c>
      <c r="S7" t="s">
        <v>23</v>
      </c>
      <c r="T7">
        <v>4</v>
      </c>
      <c r="U7" t="s">
        <v>1394</v>
      </c>
      <c r="V7" t="s">
        <v>1396</v>
      </c>
      <c r="W7" t="s">
        <v>1394</v>
      </c>
      <c r="X7" s="3">
        <v>4</v>
      </c>
      <c r="Y7" t="s">
        <v>1395</v>
      </c>
      <c r="Z7">
        <v>105176</v>
      </c>
      <c r="AA7">
        <v>0.2</v>
      </c>
      <c r="AB7">
        <v>126211.2</v>
      </c>
    </row>
    <row r="8" spans="1:28" x14ac:dyDescent="0.35">
      <c r="A8" t="str">
        <f t="shared" si="0"/>
        <v>EMP0007</v>
      </c>
      <c r="B8" t="str" cm="1">
        <f t="array" ref="B8">_xlfn.IFS(
ROW()&lt;=421,"NA",
ROW()&lt;=781,"LATAM",
ROW()&lt;=1021,"EMEA",
TRUE,"APAC"
)</f>
        <v>NA</v>
      </c>
      <c r="C8" t="str">
        <f t="shared" si="1"/>
        <v>USA</v>
      </c>
      <c r="D8" t="s">
        <v>41</v>
      </c>
      <c r="E8" t="s">
        <v>380</v>
      </c>
      <c r="F8" t="s">
        <v>931</v>
      </c>
      <c r="G8" t="s">
        <v>28</v>
      </c>
      <c r="H8" s="2">
        <v>46049</v>
      </c>
      <c r="I8" t="s">
        <v>29</v>
      </c>
      <c r="J8" t="s">
        <v>42</v>
      </c>
      <c r="K8" t="str">
        <f t="shared" ca="1" si="4"/>
        <v>OK</v>
      </c>
      <c r="L8" t="s">
        <v>1064</v>
      </c>
      <c r="M8">
        <v>5</v>
      </c>
      <c r="N8" s="2">
        <v>46050</v>
      </c>
      <c r="O8" s="2" t="s">
        <v>22</v>
      </c>
      <c r="P8" s="4">
        <f t="shared" ca="1" si="2"/>
        <v>0</v>
      </c>
      <c r="Q8" s="4" t="str">
        <f t="shared" ca="1" si="3"/>
        <v>0-2 Years</v>
      </c>
      <c r="R8">
        <f t="shared" ca="1" si="5"/>
        <v>1</v>
      </c>
      <c r="S8" t="s">
        <v>22</v>
      </c>
      <c r="T8">
        <v>2</v>
      </c>
      <c r="U8" t="s">
        <v>1394</v>
      </c>
      <c r="V8" t="s">
        <v>1394</v>
      </c>
      <c r="W8" t="s">
        <v>1394</v>
      </c>
      <c r="X8" s="3">
        <v>1</v>
      </c>
      <c r="Y8" t="s">
        <v>1397</v>
      </c>
      <c r="Z8">
        <v>43942</v>
      </c>
      <c r="AA8">
        <v>0.1</v>
      </c>
      <c r="AB8">
        <v>48336.200000000004</v>
      </c>
    </row>
    <row r="9" spans="1:28" x14ac:dyDescent="0.35">
      <c r="A9" t="str">
        <f t="shared" si="0"/>
        <v>EMP0008</v>
      </c>
      <c r="B9" t="str" cm="1">
        <f t="array" ref="B9">_xlfn.IFS(
ROW()&lt;=421,"NA",
ROW()&lt;=781,"LATAM",
ROW()&lt;=1021,"EMEA",
TRUE,"APAC"
)</f>
        <v>NA</v>
      </c>
      <c r="C9" t="str">
        <f t="shared" si="1"/>
        <v>USA</v>
      </c>
      <c r="D9" t="s">
        <v>38</v>
      </c>
      <c r="E9" t="s">
        <v>380</v>
      </c>
      <c r="F9" t="s">
        <v>684</v>
      </c>
      <c r="G9" t="s">
        <v>28</v>
      </c>
      <c r="H9" s="2">
        <v>46047</v>
      </c>
      <c r="I9" t="s">
        <v>29</v>
      </c>
      <c r="J9" t="s">
        <v>39</v>
      </c>
      <c r="K9" t="str">
        <f t="shared" ca="1" si="4"/>
        <v>OK</v>
      </c>
      <c r="L9" t="s">
        <v>868</v>
      </c>
      <c r="M9">
        <v>5</v>
      </c>
      <c r="N9" s="2">
        <v>46003</v>
      </c>
      <c r="O9" s="2" t="s">
        <v>22</v>
      </c>
      <c r="P9" s="4">
        <f t="shared" ca="1" si="2"/>
        <v>0</v>
      </c>
      <c r="Q9" s="4" t="str">
        <f t="shared" ca="1" si="3"/>
        <v>0-2 Years</v>
      </c>
      <c r="R9">
        <f t="shared" ca="1" si="5"/>
        <v>1</v>
      </c>
      <c r="S9" t="s">
        <v>22</v>
      </c>
      <c r="T9">
        <v>3</v>
      </c>
      <c r="U9" t="s">
        <v>1394</v>
      </c>
      <c r="V9" t="s">
        <v>1394</v>
      </c>
      <c r="W9" t="s">
        <v>1394</v>
      </c>
      <c r="X9" s="3">
        <v>3</v>
      </c>
      <c r="Y9" t="s">
        <v>1398</v>
      </c>
      <c r="Z9">
        <v>30007</v>
      </c>
      <c r="AA9">
        <v>0.1</v>
      </c>
      <c r="AB9">
        <v>33007.700000000004</v>
      </c>
    </row>
    <row r="10" spans="1:28" x14ac:dyDescent="0.35">
      <c r="A10" t="str">
        <f t="shared" si="0"/>
        <v>EMP0009</v>
      </c>
      <c r="B10" t="str" cm="1">
        <f t="array" ref="B10">_xlfn.IFS(
ROW()&lt;=421,"NA",
ROW()&lt;=781,"LATAM",
ROW()&lt;=1021,"EMEA",
TRUE,"APAC"
)</f>
        <v>NA</v>
      </c>
      <c r="C10" t="str">
        <f t="shared" si="1"/>
        <v>USA</v>
      </c>
      <c r="D10" t="s">
        <v>32</v>
      </c>
      <c r="E10" t="s">
        <v>380</v>
      </c>
      <c r="F10" t="s">
        <v>798</v>
      </c>
      <c r="G10" t="s">
        <v>28</v>
      </c>
      <c r="H10" s="2">
        <v>43422</v>
      </c>
      <c r="I10" t="s">
        <v>29</v>
      </c>
      <c r="J10" t="s">
        <v>33</v>
      </c>
      <c r="K10" t="str">
        <f t="shared" ca="1" si="4"/>
        <v>OK</v>
      </c>
      <c r="L10" t="s">
        <v>799</v>
      </c>
      <c r="M10">
        <v>5</v>
      </c>
      <c r="N10" s="2">
        <v>46050</v>
      </c>
      <c r="O10" s="2" t="s">
        <v>22</v>
      </c>
      <c r="P10" s="4">
        <f t="shared" ca="1" si="2"/>
        <v>7</v>
      </c>
      <c r="Q10" s="4" t="str">
        <f t="shared" ca="1" si="3"/>
        <v>6-10 Years</v>
      </c>
      <c r="R10">
        <f t="shared" ca="1" si="5"/>
        <v>0</v>
      </c>
      <c r="S10" t="s">
        <v>22</v>
      </c>
      <c r="T10">
        <v>3</v>
      </c>
      <c r="U10" t="s">
        <v>1394</v>
      </c>
      <c r="V10" t="s">
        <v>1394</v>
      </c>
      <c r="W10" t="s">
        <v>1394</v>
      </c>
      <c r="X10" s="3">
        <v>5</v>
      </c>
      <c r="Y10" t="s">
        <v>1395</v>
      </c>
      <c r="Z10">
        <v>34468</v>
      </c>
      <c r="AA10">
        <v>0.1</v>
      </c>
      <c r="AB10">
        <v>37914.800000000003</v>
      </c>
    </row>
    <row r="11" spans="1:28" x14ac:dyDescent="0.35">
      <c r="A11" t="str">
        <f t="shared" si="0"/>
        <v>EMP0010</v>
      </c>
      <c r="B11" t="str" cm="1">
        <f t="array" ref="B11">_xlfn.IFS(
ROW()&lt;=421,"NA",
ROW()&lt;=781,"LATAM",
ROW()&lt;=1021,"EMEA",
TRUE,"APAC"
)</f>
        <v>NA</v>
      </c>
      <c r="C11" t="str">
        <f t="shared" si="1"/>
        <v>USA</v>
      </c>
      <c r="D11" t="s">
        <v>35</v>
      </c>
      <c r="E11" t="s">
        <v>380</v>
      </c>
      <c r="F11" t="s">
        <v>772</v>
      </c>
      <c r="G11" t="s">
        <v>28</v>
      </c>
      <c r="H11" s="2">
        <v>46039</v>
      </c>
      <c r="I11" t="s">
        <v>29</v>
      </c>
      <c r="J11" t="s">
        <v>36</v>
      </c>
      <c r="K11" t="str">
        <f t="shared" ca="1" si="4"/>
        <v>OK</v>
      </c>
      <c r="L11" t="s">
        <v>827</v>
      </c>
      <c r="M11">
        <v>5</v>
      </c>
      <c r="N11" s="2">
        <v>46044</v>
      </c>
      <c r="O11" s="2" t="s">
        <v>22</v>
      </c>
      <c r="P11" s="4">
        <f t="shared" ca="1" si="2"/>
        <v>0</v>
      </c>
      <c r="Q11" s="4" t="str">
        <f t="shared" ca="1" si="3"/>
        <v>0-2 Years</v>
      </c>
      <c r="R11">
        <f t="shared" ca="1" si="5"/>
        <v>1</v>
      </c>
      <c r="S11" t="s">
        <v>22</v>
      </c>
      <c r="T11">
        <v>3</v>
      </c>
      <c r="U11" t="s">
        <v>1394</v>
      </c>
      <c r="V11" t="s">
        <v>1394</v>
      </c>
      <c r="W11" t="s">
        <v>1394</v>
      </c>
      <c r="X11" s="3">
        <v>4</v>
      </c>
      <c r="Y11" t="s">
        <v>1395</v>
      </c>
      <c r="Z11">
        <v>38836</v>
      </c>
      <c r="AA11">
        <v>0.1</v>
      </c>
      <c r="AB11">
        <v>42719.600000000006</v>
      </c>
    </row>
    <row r="12" spans="1:28" x14ac:dyDescent="0.35">
      <c r="A12" t="str">
        <f t="shared" si="0"/>
        <v>EMP0011</v>
      </c>
      <c r="B12" t="str" cm="1">
        <f t="array" ref="B12">_xlfn.IFS(
ROW()&lt;=421,"NA",
ROW()&lt;=781,"LATAM",
ROW()&lt;=1021,"EMEA",
TRUE,"APAC"
)</f>
        <v>NA</v>
      </c>
      <c r="C12" t="str">
        <f t="shared" si="1"/>
        <v>USA</v>
      </c>
      <c r="D12" t="s">
        <v>32</v>
      </c>
      <c r="E12" t="s">
        <v>380</v>
      </c>
      <c r="F12" t="s">
        <v>971</v>
      </c>
      <c r="G12" t="s">
        <v>28</v>
      </c>
      <c r="H12" s="2">
        <v>44127</v>
      </c>
      <c r="I12" t="s">
        <v>29</v>
      </c>
      <c r="J12" t="s">
        <v>33</v>
      </c>
      <c r="K12" t="str">
        <f t="shared" ca="1" si="4"/>
        <v>OK</v>
      </c>
      <c r="L12" t="s">
        <v>1056</v>
      </c>
      <c r="M12">
        <v>5</v>
      </c>
      <c r="N12" s="2">
        <v>46058</v>
      </c>
      <c r="O12" s="2" t="s">
        <v>22</v>
      </c>
      <c r="P12" s="4">
        <f t="shared" ca="1" si="2"/>
        <v>5</v>
      </c>
      <c r="Q12" s="4" t="str">
        <f t="shared" ca="1" si="3"/>
        <v>3-5 Years</v>
      </c>
      <c r="R12">
        <f t="shared" ca="1" si="5"/>
        <v>0</v>
      </c>
      <c r="S12" t="s">
        <v>22</v>
      </c>
      <c r="T12">
        <v>3</v>
      </c>
      <c r="U12" t="s">
        <v>1394</v>
      </c>
      <c r="V12" t="s">
        <v>1394</v>
      </c>
      <c r="W12" t="s">
        <v>1394</v>
      </c>
      <c r="X12" s="3">
        <v>5</v>
      </c>
      <c r="Y12" t="s">
        <v>1395</v>
      </c>
      <c r="Z12">
        <v>32947</v>
      </c>
      <c r="AA12">
        <v>0.1</v>
      </c>
      <c r="AB12">
        <v>36241.700000000004</v>
      </c>
    </row>
    <row r="13" spans="1:28" x14ac:dyDescent="0.35">
      <c r="A13" t="str">
        <f t="shared" si="0"/>
        <v>EMP0012</v>
      </c>
      <c r="B13" t="str" cm="1">
        <f t="array" ref="B13">_xlfn.IFS(
ROW()&lt;=421,"NA",
ROW()&lt;=781,"LATAM",
ROW()&lt;=1021,"EMEA",
TRUE,"APAC"
)</f>
        <v>NA</v>
      </c>
      <c r="C13" t="str">
        <f t="shared" si="1"/>
        <v>USA</v>
      </c>
      <c r="E13" t="s">
        <v>69</v>
      </c>
      <c r="F13" t="s">
        <v>98</v>
      </c>
      <c r="G13" t="s">
        <v>28</v>
      </c>
      <c r="H13" s="2">
        <v>46032</v>
      </c>
      <c r="I13" t="s">
        <v>29</v>
      </c>
      <c r="J13" t="s">
        <v>30</v>
      </c>
      <c r="K13" t="str">
        <f t="shared" ca="1" si="4"/>
        <v>⚠ Review</v>
      </c>
      <c r="L13" t="s">
        <v>124</v>
      </c>
      <c r="M13">
        <v>3</v>
      </c>
      <c r="N13" s="2">
        <v>46033</v>
      </c>
      <c r="O13" s="2" t="s">
        <v>22</v>
      </c>
      <c r="P13" s="4">
        <f t="shared" ca="1" si="2"/>
        <v>0</v>
      </c>
      <c r="Q13" s="4" t="str">
        <f t="shared" ca="1" si="3"/>
        <v>0-2 Years</v>
      </c>
      <c r="R13">
        <f t="shared" ca="1" si="5"/>
        <v>1</v>
      </c>
      <c r="S13" t="s">
        <v>22</v>
      </c>
      <c r="T13">
        <v>5</v>
      </c>
      <c r="U13" t="s">
        <v>1394</v>
      </c>
      <c r="V13" t="s">
        <v>1394</v>
      </c>
      <c r="W13" t="s">
        <v>1394</v>
      </c>
      <c r="X13" s="3">
        <v>5</v>
      </c>
      <c r="Y13" t="s">
        <v>1395</v>
      </c>
      <c r="Z13">
        <v>99511</v>
      </c>
      <c r="AA13">
        <v>0.2</v>
      </c>
      <c r="AB13">
        <v>119413.2</v>
      </c>
    </row>
    <row r="14" spans="1:28" x14ac:dyDescent="0.35">
      <c r="A14" t="str">
        <f t="shared" si="0"/>
        <v>EMP0013</v>
      </c>
      <c r="B14" t="str" cm="1">
        <f t="array" ref="B14">_xlfn.IFS(
ROW()&lt;=421,"NA",
ROW()&lt;=781,"LATAM",
ROW()&lt;=1021,"EMEA",
TRUE,"APAC"
)</f>
        <v>NA</v>
      </c>
      <c r="C14" t="str">
        <f t="shared" si="1"/>
        <v>USA</v>
      </c>
      <c r="D14" t="s">
        <v>44</v>
      </c>
      <c r="E14" t="s">
        <v>380</v>
      </c>
      <c r="F14" t="s">
        <v>460</v>
      </c>
      <c r="G14" t="s">
        <v>28</v>
      </c>
      <c r="H14" s="2">
        <v>46018</v>
      </c>
      <c r="I14" t="s">
        <v>29</v>
      </c>
      <c r="J14" t="s">
        <v>47</v>
      </c>
      <c r="K14" t="str">
        <f t="shared" ca="1" si="4"/>
        <v>OK</v>
      </c>
      <c r="L14" t="s">
        <v>902</v>
      </c>
      <c r="M14">
        <v>5</v>
      </c>
      <c r="N14" s="2">
        <v>46042</v>
      </c>
      <c r="O14" s="2" t="s">
        <v>22</v>
      </c>
      <c r="P14" s="4">
        <f t="shared" ca="1" si="2"/>
        <v>0</v>
      </c>
      <c r="Q14" s="4" t="str">
        <f t="shared" ca="1" si="3"/>
        <v>0-2 Years</v>
      </c>
      <c r="R14">
        <f t="shared" ca="1" si="5"/>
        <v>1</v>
      </c>
      <c r="S14" t="s">
        <v>22</v>
      </c>
      <c r="T14">
        <v>3</v>
      </c>
      <c r="U14" t="s">
        <v>1396</v>
      </c>
      <c r="V14" t="s">
        <v>1394</v>
      </c>
      <c r="W14" t="s">
        <v>1394</v>
      </c>
      <c r="X14" s="3">
        <v>1</v>
      </c>
      <c r="Y14" t="s">
        <v>1397</v>
      </c>
      <c r="Z14">
        <v>42013</v>
      </c>
      <c r="AA14">
        <v>0.1</v>
      </c>
      <c r="AB14">
        <v>46214.3</v>
      </c>
    </row>
    <row r="15" spans="1:28" x14ac:dyDescent="0.35">
      <c r="A15" t="str">
        <f t="shared" si="0"/>
        <v>EMP0014</v>
      </c>
      <c r="B15" t="str" cm="1">
        <f t="array" ref="B15">_xlfn.IFS(
ROW()&lt;=421,"NA",
ROW()&lt;=781,"LATAM",
ROW()&lt;=1021,"EMEA",
TRUE,"APAC"
)</f>
        <v>NA</v>
      </c>
      <c r="C15" t="str">
        <f t="shared" si="1"/>
        <v>USA</v>
      </c>
      <c r="D15" t="s">
        <v>41</v>
      </c>
      <c r="E15" t="s">
        <v>380</v>
      </c>
      <c r="F15" t="s">
        <v>759</v>
      </c>
      <c r="G15" t="s">
        <v>53</v>
      </c>
      <c r="H15" s="2">
        <v>46016</v>
      </c>
      <c r="I15" t="s">
        <v>29</v>
      </c>
      <c r="J15" t="s">
        <v>42</v>
      </c>
      <c r="K15" t="str">
        <f t="shared" ca="1" si="4"/>
        <v>OK</v>
      </c>
      <c r="L15" t="s">
        <v>432</v>
      </c>
      <c r="M15">
        <v>5</v>
      </c>
      <c r="N15" s="2">
        <v>46009</v>
      </c>
      <c r="O15" s="2" t="s">
        <v>22</v>
      </c>
      <c r="P15" s="4">
        <f t="shared" ca="1" si="2"/>
        <v>0</v>
      </c>
      <c r="Q15" s="4" t="str">
        <f t="shared" ca="1" si="3"/>
        <v>0-2 Years</v>
      </c>
      <c r="R15">
        <f t="shared" ca="1" si="5"/>
        <v>1</v>
      </c>
      <c r="S15" t="s">
        <v>22</v>
      </c>
      <c r="T15">
        <v>4</v>
      </c>
      <c r="U15" t="s">
        <v>1394</v>
      </c>
      <c r="V15" t="s">
        <v>1394</v>
      </c>
      <c r="W15" t="s">
        <v>1394</v>
      </c>
      <c r="X15" s="3">
        <v>1</v>
      </c>
      <c r="Y15" t="s">
        <v>1397</v>
      </c>
      <c r="Z15">
        <v>32692</v>
      </c>
      <c r="AA15">
        <v>0.1</v>
      </c>
      <c r="AB15">
        <v>35961.200000000004</v>
      </c>
    </row>
    <row r="16" spans="1:28" x14ac:dyDescent="0.35">
      <c r="A16" t="str">
        <f t="shared" si="0"/>
        <v>EMP0015</v>
      </c>
      <c r="B16" t="str" cm="1">
        <f t="array" ref="B16">_xlfn.IFS(
ROW()&lt;=421,"NA",
ROW()&lt;=781,"LATAM",
ROW()&lt;=1021,"EMEA",
TRUE,"APAC"
)</f>
        <v>NA</v>
      </c>
      <c r="C16" t="str">
        <f t="shared" si="1"/>
        <v>USA</v>
      </c>
      <c r="D16" t="s">
        <v>41</v>
      </c>
      <c r="E16" t="s">
        <v>380</v>
      </c>
      <c r="F16" t="s">
        <v>573</v>
      </c>
      <c r="G16" t="s">
        <v>28</v>
      </c>
      <c r="H16" s="2">
        <v>46014</v>
      </c>
      <c r="I16" t="s">
        <v>29</v>
      </c>
      <c r="J16" t="s">
        <v>42</v>
      </c>
      <c r="K16" t="str">
        <f t="shared" ca="1" si="4"/>
        <v>OK</v>
      </c>
      <c r="L16" t="s">
        <v>597</v>
      </c>
      <c r="M16">
        <v>5</v>
      </c>
      <c r="N16" s="2">
        <v>46039</v>
      </c>
      <c r="O16" s="2" t="s">
        <v>22</v>
      </c>
      <c r="P16" s="4">
        <f t="shared" ca="1" si="2"/>
        <v>0</v>
      </c>
      <c r="Q16" s="4" t="str">
        <f t="shared" ca="1" si="3"/>
        <v>0-2 Years</v>
      </c>
      <c r="R16">
        <f t="shared" ca="1" si="5"/>
        <v>1</v>
      </c>
      <c r="S16" t="s">
        <v>22</v>
      </c>
      <c r="T16">
        <v>5</v>
      </c>
      <c r="U16" t="s">
        <v>1394</v>
      </c>
      <c r="V16" t="s">
        <v>1394</v>
      </c>
      <c r="W16" t="s">
        <v>1394</v>
      </c>
      <c r="X16" s="3">
        <v>1</v>
      </c>
      <c r="Y16" t="s">
        <v>1397</v>
      </c>
      <c r="Z16">
        <v>46394</v>
      </c>
      <c r="AA16">
        <v>0.1</v>
      </c>
      <c r="AB16">
        <v>51033.4</v>
      </c>
    </row>
    <row r="17" spans="1:28" x14ac:dyDescent="0.35">
      <c r="A17" t="str">
        <f t="shared" si="0"/>
        <v>EMP0016</v>
      </c>
      <c r="B17" t="str" cm="1">
        <f t="array" ref="B17">_xlfn.IFS(
ROW()&lt;=421,"NA",
ROW()&lt;=781,"LATAM",
ROW()&lt;=1021,"EMEA",
TRUE,"APAC"
)</f>
        <v>NA</v>
      </c>
      <c r="C17" t="str">
        <f t="shared" si="1"/>
        <v>USA</v>
      </c>
      <c r="D17" t="s">
        <v>35</v>
      </c>
      <c r="E17" t="s">
        <v>380</v>
      </c>
      <c r="F17" t="s">
        <v>416</v>
      </c>
      <c r="G17" t="s">
        <v>28</v>
      </c>
      <c r="H17" s="2">
        <v>46013</v>
      </c>
      <c r="I17" t="s">
        <v>29</v>
      </c>
      <c r="J17" t="s">
        <v>36</v>
      </c>
      <c r="K17" t="str">
        <f t="shared" ca="1" si="4"/>
        <v>OK</v>
      </c>
      <c r="L17" t="s">
        <v>417</v>
      </c>
      <c r="M17">
        <v>5</v>
      </c>
      <c r="N17" s="2">
        <v>46077</v>
      </c>
      <c r="O17" s="2" t="s">
        <v>22</v>
      </c>
      <c r="P17" s="4">
        <f t="shared" ca="1" si="2"/>
        <v>0</v>
      </c>
      <c r="Q17" s="4" t="str">
        <f t="shared" ca="1" si="3"/>
        <v>0-2 Years</v>
      </c>
      <c r="R17">
        <f t="shared" ca="1" si="5"/>
        <v>1</v>
      </c>
      <c r="S17" t="s">
        <v>22</v>
      </c>
      <c r="T17">
        <v>4</v>
      </c>
      <c r="U17" t="s">
        <v>1394</v>
      </c>
      <c r="V17" t="s">
        <v>1394</v>
      </c>
      <c r="W17" t="s">
        <v>1394</v>
      </c>
      <c r="X17" s="3">
        <v>2</v>
      </c>
      <c r="Y17" t="s">
        <v>1397</v>
      </c>
      <c r="Z17">
        <v>21665</v>
      </c>
      <c r="AA17">
        <v>0.1</v>
      </c>
      <c r="AB17">
        <v>23831.500000000004</v>
      </c>
    </row>
    <row r="18" spans="1:28" x14ac:dyDescent="0.35">
      <c r="A18" t="str">
        <f t="shared" si="0"/>
        <v>EMP0017</v>
      </c>
      <c r="B18" t="str" cm="1">
        <f t="array" ref="B18">_xlfn.IFS(
ROW()&lt;=421,"NA",
ROW()&lt;=781,"LATAM",
ROW()&lt;=1021,"EMEA",
TRUE,"APAC"
)</f>
        <v>NA</v>
      </c>
      <c r="C18" t="str">
        <f t="shared" si="1"/>
        <v>USA</v>
      </c>
      <c r="D18" t="s">
        <v>26</v>
      </c>
      <c r="E18" t="s">
        <v>145</v>
      </c>
      <c r="F18" t="s">
        <v>182</v>
      </c>
      <c r="G18" t="s">
        <v>28</v>
      </c>
      <c r="H18" s="2">
        <v>46013</v>
      </c>
      <c r="I18" t="s">
        <v>29</v>
      </c>
      <c r="J18" t="s">
        <v>30</v>
      </c>
      <c r="K18" t="str">
        <f t="shared" ca="1" si="4"/>
        <v>OK</v>
      </c>
      <c r="L18" t="s">
        <v>207</v>
      </c>
      <c r="M18">
        <v>4</v>
      </c>
      <c r="N18" s="2">
        <v>46072</v>
      </c>
      <c r="O18" s="2" t="s">
        <v>22</v>
      </c>
      <c r="P18" s="4">
        <f t="shared" ca="1" si="2"/>
        <v>0</v>
      </c>
      <c r="Q18" s="4" t="str">
        <f t="shared" ca="1" si="3"/>
        <v>0-2 Years</v>
      </c>
      <c r="R18">
        <f t="shared" ca="1" si="5"/>
        <v>1</v>
      </c>
      <c r="S18" t="s">
        <v>22</v>
      </c>
      <c r="T18">
        <v>3</v>
      </c>
      <c r="U18" t="s">
        <v>1394</v>
      </c>
      <c r="V18" t="s">
        <v>1394</v>
      </c>
      <c r="W18" t="s">
        <v>1394</v>
      </c>
      <c r="X18" s="3">
        <v>4</v>
      </c>
      <c r="Y18" t="s">
        <v>1395</v>
      </c>
      <c r="Z18">
        <v>78796</v>
      </c>
      <c r="AA18">
        <v>0.15</v>
      </c>
      <c r="AB18">
        <v>90615.4</v>
      </c>
    </row>
    <row r="19" spans="1:28" x14ac:dyDescent="0.35">
      <c r="A19" t="str">
        <f t="shared" si="0"/>
        <v>EMP0018</v>
      </c>
      <c r="B19" t="str" cm="1">
        <f t="array" ref="B19">_xlfn.IFS(
ROW()&lt;=421,"NA",
ROW()&lt;=781,"LATAM",
ROW()&lt;=1021,"EMEA",
TRUE,"APAC"
)</f>
        <v>NA</v>
      </c>
      <c r="C19" t="str">
        <f t="shared" si="1"/>
        <v>USA</v>
      </c>
      <c r="D19" t="s">
        <v>32</v>
      </c>
      <c r="E19" t="s">
        <v>380</v>
      </c>
      <c r="F19" t="s">
        <v>573</v>
      </c>
      <c r="G19" t="s">
        <v>28</v>
      </c>
      <c r="H19" s="2">
        <v>44343</v>
      </c>
      <c r="I19" t="s">
        <v>29</v>
      </c>
      <c r="J19" t="s">
        <v>33</v>
      </c>
      <c r="K19" t="str">
        <f t="shared" ca="1" si="4"/>
        <v>OK</v>
      </c>
      <c r="L19" t="s">
        <v>574</v>
      </c>
      <c r="M19">
        <v>5</v>
      </c>
      <c r="N19" s="2">
        <v>46008</v>
      </c>
      <c r="O19" s="2" t="s">
        <v>22</v>
      </c>
      <c r="P19" s="4">
        <f t="shared" ca="1" si="2"/>
        <v>4</v>
      </c>
      <c r="Q19" s="4" t="str">
        <f t="shared" ca="1" si="3"/>
        <v>3-5 Years</v>
      </c>
      <c r="R19">
        <f t="shared" ca="1" si="5"/>
        <v>0</v>
      </c>
      <c r="S19" t="s">
        <v>22</v>
      </c>
      <c r="T19">
        <v>3</v>
      </c>
      <c r="U19" t="s">
        <v>1394</v>
      </c>
      <c r="V19" t="s">
        <v>1394</v>
      </c>
      <c r="W19" t="s">
        <v>1394</v>
      </c>
      <c r="X19" s="3">
        <v>5</v>
      </c>
      <c r="Y19" t="s">
        <v>1395</v>
      </c>
      <c r="Z19">
        <v>44061</v>
      </c>
      <c r="AA19">
        <v>0.1</v>
      </c>
      <c r="AB19">
        <v>48467.100000000006</v>
      </c>
    </row>
    <row r="20" spans="1:28" x14ac:dyDescent="0.35">
      <c r="A20" t="str">
        <f t="shared" si="0"/>
        <v>EMP0019</v>
      </c>
      <c r="B20" t="str" cm="1">
        <f t="array" ref="B20">_xlfn.IFS(
ROW()&lt;=421,"NA",
ROW()&lt;=781,"LATAM",
ROW()&lt;=1021,"EMEA",
TRUE,"APAC"
)</f>
        <v>NA</v>
      </c>
      <c r="C20" t="str">
        <f t="shared" si="1"/>
        <v>USA</v>
      </c>
      <c r="D20" t="s">
        <v>38</v>
      </c>
      <c r="E20" t="s">
        <v>380</v>
      </c>
      <c r="F20" t="s">
        <v>429</v>
      </c>
      <c r="G20" t="s">
        <v>28</v>
      </c>
      <c r="H20" s="2">
        <v>46006</v>
      </c>
      <c r="I20" t="s">
        <v>29</v>
      </c>
      <c r="J20" t="s">
        <v>39</v>
      </c>
      <c r="K20" t="str">
        <f t="shared" ca="1" si="4"/>
        <v>OK</v>
      </c>
      <c r="L20" t="s">
        <v>350</v>
      </c>
      <c r="M20">
        <v>5</v>
      </c>
      <c r="N20" s="2">
        <v>45990</v>
      </c>
      <c r="O20" s="2" t="s">
        <v>22</v>
      </c>
      <c r="P20" s="4">
        <f t="shared" ca="1" si="2"/>
        <v>0</v>
      </c>
      <c r="Q20" s="4" t="str">
        <f t="shared" ca="1" si="3"/>
        <v>0-2 Years</v>
      </c>
      <c r="R20">
        <f t="shared" ca="1" si="5"/>
        <v>1</v>
      </c>
      <c r="S20" t="s">
        <v>22</v>
      </c>
      <c r="T20">
        <v>3</v>
      </c>
      <c r="U20" t="s">
        <v>1394</v>
      </c>
      <c r="V20" t="s">
        <v>1394</v>
      </c>
      <c r="W20" t="s">
        <v>1394</v>
      </c>
      <c r="X20" s="3">
        <v>4</v>
      </c>
      <c r="Y20" t="s">
        <v>1395</v>
      </c>
      <c r="Z20">
        <v>34572</v>
      </c>
      <c r="AA20">
        <v>0.1</v>
      </c>
      <c r="AB20">
        <v>38029.200000000004</v>
      </c>
    </row>
    <row r="21" spans="1:28" x14ac:dyDescent="0.35">
      <c r="A21" t="str">
        <f t="shared" si="0"/>
        <v>EMP0020</v>
      </c>
      <c r="B21" t="str" cm="1">
        <f t="array" ref="B21">_xlfn.IFS(
ROW()&lt;=421,"NA",
ROW()&lt;=781,"LATAM",
ROW()&lt;=1021,"EMEA",
TRUE,"APAC"
)</f>
        <v>NA</v>
      </c>
      <c r="C21" t="str">
        <f t="shared" si="1"/>
        <v>USA</v>
      </c>
      <c r="D21" t="s">
        <v>41</v>
      </c>
      <c r="E21" t="s">
        <v>380</v>
      </c>
      <c r="F21" t="s">
        <v>458</v>
      </c>
      <c r="G21" t="s">
        <v>28</v>
      </c>
      <c r="H21" s="2">
        <v>46005</v>
      </c>
      <c r="I21" t="s">
        <v>29</v>
      </c>
      <c r="J21" t="s">
        <v>42</v>
      </c>
      <c r="K21" t="str">
        <f t="shared" ca="1" si="4"/>
        <v>OK</v>
      </c>
      <c r="L21" t="s">
        <v>822</v>
      </c>
      <c r="M21">
        <v>5</v>
      </c>
      <c r="N21" s="2">
        <v>46039</v>
      </c>
      <c r="O21" s="2" t="s">
        <v>22</v>
      </c>
      <c r="P21" s="4">
        <f t="shared" ca="1" si="2"/>
        <v>0</v>
      </c>
      <c r="Q21" s="4" t="str">
        <f t="shared" ca="1" si="3"/>
        <v>0-2 Years</v>
      </c>
      <c r="R21">
        <f t="shared" ca="1" si="5"/>
        <v>1</v>
      </c>
      <c r="S21" t="s">
        <v>22</v>
      </c>
      <c r="T21">
        <v>2</v>
      </c>
      <c r="U21" t="s">
        <v>1394</v>
      </c>
      <c r="V21" t="s">
        <v>1394</v>
      </c>
      <c r="W21" t="s">
        <v>1394</v>
      </c>
      <c r="X21" s="3">
        <v>1</v>
      </c>
      <c r="Y21" t="s">
        <v>1397</v>
      </c>
      <c r="Z21">
        <v>42033</v>
      </c>
      <c r="AA21">
        <v>0.1</v>
      </c>
      <c r="AB21">
        <v>46236.3</v>
      </c>
    </row>
    <row r="22" spans="1:28" x14ac:dyDescent="0.35">
      <c r="A22" t="str">
        <f t="shared" si="0"/>
        <v>EMP0021</v>
      </c>
      <c r="B22" t="str" cm="1">
        <f t="array" ref="B22">_xlfn.IFS(
ROW()&lt;=421,"NA",
ROW()&lt;=781,"LATAM",
ROW()&lt;=1021,"EMEA",
TRUE,"APAC"
)</f>
        <v>NA</v>
      </c>
      <c r="C22" t="str">
        <f t="shared" si="1"/>
        <v>USA</v>
      </c>
      <c r="D22" t="s">
        <v>35</v>
      </c>
      <c r="E22" t="s">
        <v>380</v>
      </c>
      <c r="F22" t="s">
        <v>971</v>
      </c>
      <c r="G22" t="s">
        <v>28</v>
      </c>
      <c r="H22" s="2">
        <v>46005</v>
      </c>
      <c r="I22" t="s">
        <v>29</v>
      </c>
      <c r="J22" t="s">
        <v>36</v>
      </c>
      <c r="K22" t="str">
        <f t="shared" ca="1" si="4"/>
        <v>OK</v>
      </c>
      <c r="L22" t="s">
        <v>972</v>
      </c>
      <c r="M22">
        <v>5</v>
      </c>
      <c r="N22" s="2">
        <v>46041</v>
      </c>
      <c r="O22" s="2" t="s">
        <v>22</v>
      </c>
      <c r="P22" s="4">
        <f t="shared" ca="1" si="2"/>
        <v>0</v>
      </c>
      <c r="Q22" s="4" t="str">
        <f t="shared" ca="1" si="3"/>
        <v>0-2 Years</v>
      </c>
      <c r="R22">
        <f t="shared" ca="1" si="5"/>
        <v>1</v>
      </c>
      <c r="S22" t="s">
        <v>22</v>
      </c>
      <c r="T22">
        <v>5</v>
      </c>
      <c r="U22" t="s">
        <v>1394</v>
      </c>
      <c r="V22" t="s">
        <v>1394</v>
      </c>
      <c r="W22" t="s">
        <v>1394</v>
      </c>
      <c r="X22" s="3">
        <v>5</v>
      </c>
      <c r="Y22" t="s">
        <v>1395</v>
      </c>
      <c r="Z22">
        <v>37837</v>
      </c>
      <c r="AA22">
        <v>0.1</v>
      </c>
      <c r="AB22">
        <v>41620.700000000004</v>
      </c>
    </row>
    <row r="23" spans="1:28" x14ac:dyDescent="0.35">
      <c r="A23" t="str">
        <f t="shared" si="0"/>
        <v>EMP0022</v>
      </c>
      <c r="B23" t="str" cm="1">
        <f t="array" ref="B23">_xlfn.IFS(
ROW()&lt;=421,"NA",
ROW()&lt;=781,"LATAM",
ROW()&lt;=1021,"EMEA",
TRUE,"APAC"
)</f>
        <v>NA</v>
      </c>
      <c r="C23" t="str">
        <f t="shared" si="1"/>
        <v>USA</v>
      </c>
      <c r="D23" t="s">
        <v>44</v>
      </c>
      <c r="E23" t="s">
        <v>380</v>
      </c>
      <c r="F23" t="s">
        <v>658</v>
      </c>
      <c r="G23" t="s">
        <v>28</v>
      </c>
      <c r="H23" s="2">
        <v>46002</v>
      </c>
      <c r="I23" t="s">
        <v>29</v>
      </c>
      <c r="J23" t="s">
        <v>47</v>
      </c>
      <c r="K23" t="str">
        <f t="shared" ca="1" si="4"/>
        <v>OK</v>
      </c>
      <c r="L23" t="s">
        <v>765</v>
      </c>
      <c r="M23">
        <v>5</v>
      </c>
      <c r="N23" s="2">
        <v>46010</v>
      </c>
      <c r="O23" s="2" t="s">
        <v>22</v>
      </c>
      <c r="P23" s="4">
        <f t="shared" ca="1" si="2"/>
        <v>0</v>
      </c>
      <c r="Q23" s="4" t="str">
        <f t="shared" ca="1" si="3"/>
        <v>0-2 Years</v>
      </c>
      <c r="R23">
        <f t="shared" ca="1" si="5"/>
        <v>1</v>
      </c>
      <c r="S23" t="s">
        <v>22</v>
      </c>
      <c r="T23">
        <v>4</v>
      </c>
      <c r="U23" t="s">
        <v>1396</v>
      </c>
      <c r="V23" t="s">
        <v>1396</v>
      </c>
      <c r="W23" t="s">
        <v>1394</v>
      </c>
      <c r="X23" s="3">
        <v>5</v>
      </c>
      <c r="Y23" t="s">
        <v>1395</v>
      </c>
      <c r="Z23">
        <v>25470</v>
      </c>
      <c r="AA23">
        <v>0.1</v>
      </c>
      <c r="AB23">
        <v>28017.000000000004</v>
      </c>
    </row>
    <row r="24" spans="1:28" x14ac:dyDescent="0.35">
      <c r="A24" t="str">
        <f t="shared" si="0"/>
        <v>EMP0023</v>
      </c>
      <c r="B24" t="str" cm="1">
        <f t="array" ref="B24">_xlfn.IFS(
ROW()&lt;=421,"NA",
ROW()&lt;=781,"LATAM",
ROW()&lt;=1021,"EMEA",
TRUE,"APAC"
)</f>
        <v>NA</v>
      </c>
      <c r="C24" t="str">
        <f t="shared" si="1"/>
        <v>USA</v>
      </c>
      <c r="D24" t="s">
        <v>26</v>
      </c>
      <c r="E24" t="s">
        <v>380</v>
      </c>
      <c r="F24" t="s">
        <v>450</v>
      </c>
      <c r="G24" t="s">
        <v>28</v>
      </c>
      <c r="H24" s="2">
        <v>46001</v>
      </c>
      <c r="I24" t="s">
        <v>29</v>
      </c>
      <c r="J24" t="s">
        <v>30</v>
      </c>
      <c r="K24" t="str">
        <f t="shared" ca="1" si="4"/>
        <v>OK</v>
      </c>
      <c r="L24" t="s">
        <v>686</v>
      </c>
      <c r="M24">
        <v>5</v>
      </c>
      <c r="N24" s="2">
        <v>46065</v>
      </c>
      <c r="O24" s="2" t="s">
        <v>22</v>
      </c>
      <c r="P24" s="4">
        <f t="shared" ca="1" si="2"/>
        <v>0</v>
      </c>
      <c r="Q24" s="4" t="str">
        <f t="shared" ca="1" si="3"/>
        <v>0-2 Years</v>
      </c>
      <c r="R24">
        <f t="shared" ca="1" si="5"/>
        <v>1</v>
      </c>
      <c r="S24" t="s">
        <v>22</v>
      </c>
      <c r="T24">
        <v>5</v>
      </c>
      <c r="U24" t="s">
        <v>1394</v>
      </c>
      <c r="V24" t="s">
        <v>1394</v>
      </c>
      <c r="W24" t="s">
        <v>1394</v>
      </c>
      <c r="X24" s="3">
        <v>2</v>
      </c>
      <c r="Y24" t="s">
        <v>1397</v>
      </c>
      <c r="Z24">
        <v>25103</v>
      </c>
      <c r="AA24">
        <v>0.1</v>
      </c>
      <c r="AB24">
        <v>27613.300000000003</v>
      </c>
    </row>
    <row r="25" spans="1:28" x14ac:dyDescent="0.35">
      <c r="A25" t="str">
        <f t="shared" si="0"/>
        <v>EMP0024</v>
      </c>
      <c r="B25" t="str" cm="1">
        <f t="array" ref="B25">_xlfn.IFS(
ROW()&lt;=421,"NA",
ROW()&lt;=781,"LATAM",
ROW()&lt;=1021,"EMEA",
TRUE,"APAC"
)</f>
        <v>NA</v>
      </c>
      <c r="C25" t="str">
        <f t="shared" si="1"/>
        <v>USA</v>
      </c>
      <c r="D25" t="s">
        <v>38</v>
      </c>
      <c r="E25" t="s">
        <v>380</v>
      </c>
      <c r="F25" t="s">
        <v>591</v>
      </c>
      <c r="G25" t="s">
        <v>28</v>
      </c>
      <c r="H25" s="2">
        <v>46001</v>
      </c>
      <c r="I25" t="s">
        <v>29</v>
      </c>
      <c r="J25" t="s">
        <v>39</v>
      </c>
      <c r="K25" t="str">
        <f t="shared" ca="1" si="4"/>
        <v>OK</v>
      </c>
      <c r="L25" t="s">
        <v>893</v>
      </c>
      <c r="M25">
        <v>5</v>
      </c>
      <c r="N25" s="2">
        <v>46007</v>
      </c>
      <c r="O25" s="2" t="s">
        <v>22</v>
      </c>
      <c r="P25" s="4">
        <f t="shared" ca="1" si="2"/>
        <v>0</v>
      </c>
      <c r="Q25" s="4" t="str">
        <f t="shared" ca="1" si="3"/>
        <v>0-2 Years</v>
      </c>
      <c r="R25">
        <f t="shared" ca="1" si="5"/>
        <v>1</v>
      </c>
      <c r="S25" t="s">
        <v>22</v>
      </c>
      <c r="T25">
        <v>3</v>
      </c>
      <c r="U25" t="s">
        <v>1394</v>
      </c>
      <c r="V25" t="s">
        <v>1394</v>
      </c>
      <c r="W25" t="s">
        <v>1394</v>
      </c>
      <c r="X25" s="3">
        <v>3</v>
      </c>
      <c r="Y25" t="s">
        <v>1398</v>
      </c>
      <c r="Z25">
        <v>21350</v>
      </c>
      <c r="AA25">
        <v>0.1</v>
      </c>
      <c r="AB25">
        <v>23485.000000000004</v>
      </c>
    </row>
    <row r="26" spans="1:28" x14ac:dyDescent="0.35">
      <c r="A26" t="str">
        <f t="shared" si="0"/>
        <v>EMP0025</v>
      </c>
      <c r="B26" t="str" cm="1">
        <f t="array" ref="B26">_xlfn.IFS(
ROW()&lt;=421,"NA",
ROW()&lt;=781,"LATAM",
ROW()&lt;=1021,"EMEA",
TRUE,"APAC"
)</f>
        <v>NA</v>
      </c>
      <c r="C26" t="str">
        <f t="shared" si="1"/>
        <v>USA</v>
      </c>
      <c r="D26" t="s">
        <v>35</v>
      </c>
      <c r="E26" t="s">
        <v>380</v>
      </c>
      <c r="F26" t="s">
        <v>595</v>
      </c>
      <c r="G26" t="s">
        <v>28</v>
      </c>
      <c r="H26" s="2">
        <v>46001</v>
      </c>
      <c r="I26" t="s">
        <v>29</v>
      </c>
      <c r="J26" t="s">
        <v>36</v>
      </c>
      <c r="K26" t="str">
        <f t="shared" ca="1" si="4"/>
        <v>OK</v>
      </c>
      <c r="L26" t="s">
        <v>957</v>
      </c>
      <c r="M26">
        <v>5</v>
      </c>
      <c r="N26" s="2">
        <v>46062</v>
      </c>
      <c r="O26" s="2" t="s">
        <v>22</v>
      </c>
      <c r="P26" s="4">
        <f t="shared" ca="1" si="2"/>
        <v>0</v>
      </c>
      <c r="Q26" s="4" t="str">
        <f t="shared" ca="1" si="3"/>
        <v>0-2 Years</v>
      </c>
      <c r="R26">
        <f t="shared" ca="1" si="5"/>
        <v>1</v>
      </c>
      <c r="S26" t="s">
        <v>22</v>
      </c>
      <c r="T26">
        <v>5</v>
      </c>
      <c r="U26" t="s">
        <v>1394</v>
      </c>
      <c r="V26" t="s">
        <v>1394</v>
      </c>
      <c r="W26" t="s">
        <v>1394</v>
      </c>
      <c r="X26" s="3">
        <v>1</v>
      </c>
      <c r="Y26" t="s">
        <v>1397</v>
      </c>
      <c r="Z26">
        <v>41533</v>
      </c>
      <c r="AA26">
        <v>0.1</v>
      </c>
      <c r="AB26">
        <v>45686.3</v>
      </c>
    </row>
    <row r="27" spans="1:28" x14ac:dyDescent="0.35">
      <c r="A27" t="str">
        <f t="shared" si="0"/>
        <v>EMP0026</v>
      </c>
      <c r="B27" t="str" cm="1">
        <f t="array" ref="B27">_xlfn.IFS(
ROW()&lt;=421,"NA",
ROW()&lt;=781,"LATAM",
ROW()&lt;=1021,"EMEA",
TRUE,"APAC"
)</f>
        <v>NA</v>
      </c>
      <c r="C27" t="str">
        <f t="shared" si="1"/>
        <v>USA</v>
      </c>
      <c r="D27" t="s">
        <v>38</v>
      </c>
      <c r="E27" t="s">
        <v>380</v>
      </c>
      <c r="F27" t="s">
        <v>562</v>
      </c>
      <c r="G27" t="s">
        <v>28</v>
      </c>
      <c r="H27" s="2">
        <v>45996</v>
      </c>
      <c r="I27" t="s">
        <v>29</v>
      </c>
      <c r="J27" t="s">
        <v>39</v>
      </c>
      <c r="K27" t="str">
        <f t="shared" ca="1" si="4"/>
        <v>OK</v>
      </c>
      <c r="L27" t="s">
        <v>1016</v>
      </c>
      <c r="M27">
        <v>5</v>
      </c>
      <c r="N27" s="2">
        <v>45990</v>
      </c>
      <c r="O27" s="2" t="s">
        <v>22</v>
      </c>
      <c r="P27" s="4">
        <f t="shared" ca="1" si="2"/>
        <v>0</v>
      </c>
      <c r="Q27" s="4" t="str">
        <f t="shared" ca="1" si="3"/>
        <v>0-2 Years</v>
      </c>
      <c r="R27">
        <f t="shared" ca="1" si="5"/>
        <v>1</v>
      </c>
      <c r="S27" t="s">
        <v>22</v>
      </c>
      <c r="T27">
        <v>4</v>
      </c>
      <c r="U27" t="s">
        <v>1396</v>
      </c>
      <c r="V27" t="s">
        <v>1394</v>
      </c>
      <c r="W27" t="s">
        <v>1394</v>
      </c>
      <c r="X27" s="3">
        <v>3</v>
      </c>
      <c r="Y27" t="s">
        <v>1398</v>
      </c>
      <c r="Z27">
        <v>24725</v>
      </c>
      <c r="AA27">
        <v>0.1</v>
      </c>
      <c r="AB27">
        <v>27197.500000000004</v>
      </c>
    </row>
    <row r="28" spans="1:28" x14ac:dyDescent="0.35">
      <c r="A28" t="str">
        <f t="shared" si="0"/>
        <v>EMP0027</v>
      </c>
      <c r="B28" t="str" cm="1">
        <f t="array" ref="B28">_xlfn.IFS(
ROW()&lt;=421,"NA",
ROW()&lt;=781,"LATAM",
ROW()&lt;=1021,"EMEA",
TRUE,"APAC"
)</f>
        <v>NA</v>
      </c>
      <c r="C28" t="str">
        <f t="shared" si="1"/>
        <v>USA</v>
      </c>
      <c r="D28" t="s">
        <v>35</v>
      </c>
      <c r="E28" t="s">
        <v>380</v>
      </c>
      <c r="F28" t="s">
        <v>913</v>
      </c>
      <c r="G28" t="s">
        <v>28</v>
      </c>
      <c r="H28" s="2">
        <v>45996</v>
      </c>
      <c r="I28" t="s">
        <v>29</v>
      </c>
      <c r="J28" t="s">
        <v>36</v>
      </c>
      <c r="K28" t="str">
        <f t="shared" ca="1" si="4"/>
        <v>OK</v>
      </c>
      <c r="L28" t="s">
        <v>1026</v>
      </c>
      <c r="M28">
        <v>5</v>
      </c>
      <c r="N28" s="2">
        <v>46057</v>
      </c>
      <c r="O28" s="2" t="s">
        <v>22</v>
      </c>
      <c r="P28" s="4">
        <f t="shared" ca="1" si="2"/>
        <v>0</v>
      </c>
      <c r="Q28" s="4" t="str">
        <f t="shared" ca="1" si="3"/>
        <v>0-2 Years</v>
      </c>
      <c r="R28">
        <f t="shared" ca="1" si="5"/>
        <v>1</v>
      </c>
      <c r="S28" t="s">
        <v>22</v>
      </c>
      <c r="T28">
        <v>4</v>
      </c>
      <c r="U28" t="s">
        <v>1394</v>
      </c>
      <c r="V28" t="s">
        <v>1394</v>
      </c>
      <c r="W28" t="s">
        <v>1394</v>
      </c>
      <c r="X28" s="3">
        <v>4</v>
      </c>
      <c r="Y28" t="s">
        <v>1395</v>
      </c>
      <c r="Z28">
        <v>33356</v>
      </c>
      <c r="AA28">
        <v>0.1</v>
      </c>
      <c r="AB28">
        <v>36691.600000000006</v>
      </c>
    </row>
    <row r="29" spans="1:28" x14ac:dyDescent="0.35">
      <c r="A29" t="str">
        <f t="shared" si="0"/>
        <v>EMP0028</v>
      </c>
      <c r="B29" t="str" cm="1">
        <f t="array" ref="B29">_xlfn.IFS(
ROW()&lt;=421,"NA",
ROW()&lt;=781,"LATAM",
ROW()&lt;=1021,"EMEA",
TRUE,"APAC"
)</f>
        <v>NA</v>
      </c>
      <c r="C29" t="str">
        <f t="shared" si="1"/>
        <v>USA</v>
      </c>
      <c r="D29" t="s">
        <v>38</v>
      </c>
      <c r="E29" t="s">
        <v>380</v>
      </c>
      <c r="F29" t="s">
        <v>510</v>
      </c>
      <c r="G29" t="s">
        <v>28</v>
      </c>
      <c r="H29" s="2">
        <v>45995</v>
      </c>
      <c r="I29" t="s">
        <v>29</v>
      </c>
      <c r="J29" t="s">
        <v>39</v>
      </c>
      <c r="K29" t="str">
        <f t="shared" ca="1" si="4"/>
        <v>OK</v>
      </c>
      <c r="L29" t="s">
        <v>511</v>
      </c>
      <c r="M29">
        <v>5</v>
      </c>
      <c r="N29" s="2">
        <v>46075</v>
      </c>
      <c r="O29" s="2" t="s">
        <v>22</v>
      </c>
      <c r="P29" s="4">
        <f t="shared" ca="1" si="2"/>
        <v>0</v>
      </c>
      <c r="Q29" s="4" t="str">
        <f t="shared" ca="1" si="3"/>
        <v>0-2 Years</v>
      </c>
      <c r="R29">
        <f t="shared" ca="1" si="5"/>
        <v>1</v>
      </c>
      <c r="S29" t="s">
        <v>22</v>
      </c>
      <c r="T29">
        <v>3</v>
      </c>
      <c r="U29" t="s">
        <v>1394</v>
      </c>
      <c r="V29" t="s">
        <v>1394</v>
      </c>
      <c r="W29" t="s">
        <v>1394</v>
      </c>
      <c r="X29" s="3">
        <v>1</v>
      </c>
      <c r="Y29" t="s">
        <v>1397</v>
      </c>
      <c r="Z29">
        <v>25671</v>
      </c>
      <c r="AA29">
        <v>0.1</v>
      </c>
      <c r="AB29">
        <v>28238.100000000002</v>
      </c>
    </row>
    <row r="30" spans="1:28" x14ac:dyDescent="0.35">
      <c r="A30" t="str">
        <f t="shared" si="0"/>
        <v>EMP0029</v>
      </c>
      <c r="B30" t="str" cm="1">
        <f t="array" ref="B30">_xlfn.IFS(
ROW()&lt;=421,"NA",
ROW()&lt;=781,"LATAM",
ROW()&lt;=1021,"EMEA",
TRUE,"APAC"
)</f>
        <v>NA</v>
      </c>
      <c r="C30" t="str">
        <f t="shared" si="1"/>
        <v>USA</v>
      </c>
      <c r="D30" t="s">
        <v>41</v>
      </c>
      <c r="E30" t="s">
        <v>380</v>
      </c>
      <c r="F30" t="s">
        <v>591</v>
      </c>
      <c r="G30" t="s">
        <v>28</v>
      </c>
      <c r="H30" s="2">
        <v>45994</v>
      </c>
      <c r="I30" t="s">
        <v>29</v>
      </c>
      <c r="J30" t="s">
        <v>42</v>
      </c>
      <c r="K30" t="str">
        <f t="shared" ca="1" si="4"/>
        <v>OK</v>
      </c>
      <c r="L30" t="s">
        <v>894</v>
      </c>
      <c r="M30">
        <v>5</v>
      </c>
      <c r="N30" s="2">
        <v>46051</v>
      </c>
      <c r="O30" s="2" t="s">
        <v>22</v>
      </c>
      <c r="P30" s="4">
        <f t="shared" ca="1" si="2"/>
        <v>0</v>
      </c>
      <c r="Q30" s="4" t="str">
        <f t="shared" ca="1" si="3"/>
        <v>0-2 Years</v>
      </c>
      <c r="R30">
        <f t="shared" ca="1" si="5"/>
        <v>1</v>
      </c>
      <c r="S30" t="s">
        <v>22</v>
      </c>
      <c r="T30">
        <v>4</v>
      </c>
      <c r="U30" t="s">
        <v>1394</v>
      </c>
      <c r="V30" t="s">
        <v>1394</v>
      </c>
      <c r="W30" t="s">
        <v>1394</v>
      </c>
      <c r="X30" s="3">
        <v>2</v>
      </c>
      <c r="Y30" t="s">
        <v>1397</v>
      </c>
      <c r="Z30">
        <v>20827</v>
      </c>
      <c r="AA30">
        <v>0.1</v>
      </c>
      <c r="AB30">
        <v>22909.7</v>
      </c>
    </row>
    <row r="31" spans="1:28" x14ac:dyDescent="0.35">
      <c r="A31" t="str">
        <f t="shared" si="0"/>
        <v>EMP0030</v>
      </c>
      <c r="B31" t="str" cm="1">
        <f t="array" ref="B31">_xlfn.IFS(
ROW()&lt;=421,"NA",
ROW()&lt;=781,"LATAM",
ROW()&lt;=1021,"EMEA",
TRUE,"APAC"
)</f>
        <v>NA</v>
      </c>
      <c r="C31" t="str">
        <f t="shared" si="1"/>
        <v>USA</v>
      </c>
      <c r="D31" t="s">
        <v>38</v>
      </c>
      <c r="E31" t="s">
        <v>380</v>
      </c>
      <c r="F31" t="s">
        <v>636</v>
      </c>
      <c r="G31" t="s">
        <v>28</v>
      </c>
      <c r="H31" s="2">
        <v>45993</v>
      </c>
      <c r="I31" t="s">
        <v>29</v>
      </c>
      <c r="J31" t="s">
        <v>39</v>
      </c>
      <c r="K31" t="str">
        <f t="shared" ca="1" si="4"/>
        <v>OK</v>
      </c>
      <c r="L31" t="s">
        <v>683</v>
      </c>
      <c r="M31">
        <v>5</v>
      </c>
      <c r="N31" s="2">
        <v>46043</v>
      </c>
      <c r="O31" s="2" t="s">
        <v>22</v>
      </c>
      <c r="P31" s="4">
        <f t="shared" ca="1" si="2"/>
        <v>0</v>
      </c>
      <c r="Q31" s="4" t="str">
        <f t="shared" ca="1" si="3"/>
        <v>0-2 Years</v>
      </c>
      <c r="R31">
        <f t="shared" ca="1" si="5"/>
        <v>1</v>
      </c>
      <c r="S31" t="s">
        <v>22</v>
      </c>
      <c r="T31">
        <v>3</v>
      </c>
      <c r="U31" t="s">
        <v>1394</v>
      </c>
      <c r="V31" t="s">
        <v>1394</v>
      </c>
      <c r="W31" t="s">
        <v>1394</v>
      </c>
      <c r="X31" s="3">
        <v>5</v>
      </c>
      <c r="Y31" t="s">
        <v>1395</v>
      </c>
      <c r="Z31">
        <v>45288</v>
      </c>
      <c r="AA31">
        <v>0.1</v>
      </c>
      <c r="AB31">
        <v>49816.800000000003</v>
      </c>
    </row>
    <row r="32" spans="1:28" x14ac:dyDescent="0.35">
      <c r="A32" t="str">
        <f t="shared" si="0"/>
        <v>EMP0031</v>
      </c>
      <c r="B32" t="str" cm="1">
        <f t="array" ref="B32">_xlfn.IFS(
ROW()&lt;=421,"NA",
ROW()&lt;=781,"LATAM",
ROW()&lt;=1021,"EMEA",
TRUE,"APAC"
)</f>
        <v>NA</v>
      </c>
      <c r="C32" t="str">
        <f t="shared" si="1"/>
        <v>USA</v>
      </c>
      <c r="D32" t="s">
        <v>32</v>
      </c>
      <c r="E32" t="s">
        <v>380</v>
      </c>
      <c r="F32" t="s">
        <v>669</v>
      </c>
      <c r="G32" t="s">
        <v>28</v>
      </c>
      <c r="H32" s="2">
        <v>43218</v>
      </c>
      <c r="I32" t="s">
        <v>29</v>
      </c>
      <c r="J32" t="s">
        <v>33</v>
      </c>
      <c r="K32" t="str">
        <f t="shared" ca="1" si="4"/>
        <v>OK</v>
      </c>
      <c r="L32" t="s">
        <v>673</v>
      </c>
      <c r="M32">
        <v>5</v>
      </c>
      <c r="N32" s="2">
        <v>46019</v>
      </c>
      <c r="O32" s="2" t="s">
        <v>22</v>
      </c>
      <c r="P32" s="4">
        <f t="shared" ca="1" si="2"/>
        <v>7</v>
      </c>
      <c r="Q32" s="4" t="str">
        <f t="shared" ca="1" si="3"/>
        <v>6-10 Years</v>
      </c>
      <c r="R32">
        <f t="shared" ca="1" si="5"/>
        <v>0</v>
      </c>
      <c r="S32" t="s">
        <v>22</v>
      </c>
      <c r="T32">
        <v>3</v>
      </c>
      <c r="U32" t="s">
        <v>1394</v>
      </c>
      <c r="V32" t="s">
        <v>1394</v>
      </c>
      <c r="W32" t="s">
        <v>1394</v>
      </c>
      <c r="X32" s="3">
        <v>5</v>
      </c>
      <c r="Y32" t="s">
        <v>1395</v>
      </c>
      <c r="Z32">
        <v>35896</v>
      </c>
      <c r="AA32">
        <v>0.1</v>
      </c>
      <c r="AB32">
        <v>39485.600000000006</v>
      </c>
    </row>
    <row r="33" spans="1:28" x14ac:dyDescent="0.35">
      <c r="A33" t="str">
        <f t="shared" si="0"/>
        <v>EMP0032</v>
      </c>
      <c r="B33" t="str" cm="1">
        <f t="array" ref="B33">_xlfn.IFS(
ROW()&lt;=421,"NA",
ROW()&lt;=781,"LATAM",
ROW()&lt;=1021,"EMEA",
TRUE,"APAC"
)</f>
        <v>NA</v>
      </c>
      <c r="C33" t="str">
        <f t="shared" si="1"/>
        <v>USA</v>
      </c>
      <c r="D33" t="s">
        <v>41</v>
      </c>
      <c r="E33" t="s">
        <v>380</v>
      </c>
      <c r="F33" t="s">
        <v>505</v>
      </c>
      <c r="G33" t="s">
        <v>28</v>
      </c>
      <c r="H33" s="2">
        <v>45989</v>
      </c>
      <c r="I33" t="s">
        <v>29</v>
      </c>
      <c r="J33" t="s">
        <v>42</v>
      </c>
      <c r="K33" t="str">
        <f t="shared" ca="1" si="4"/>
        <v>OK</v>
      </c>
      <c r="L33" t="s">
        <v>943</v>
      </c>
      <c r="M33">
        <v>5</v>
      </c>
      <c r="N33" s="2">
        <v>46026</v>
      </c>
      <c r="O33" s="2" t="s">
        <v>22</v>
      </c>
      <c r="P33" s="4">
        <f t="shared" ca="1" si="2"/>
        <v>0</v>
      </c>
      <c r="Q33" s="4" t="str">
        <f t="shared" ca="1" si="3"/>
        <v>0-2 Years</v>
      </c>
      <c r="R33">
        <f t="shared" ca="1" si="5"/>
        <v>1</v>
      </c>
      <c r="S33" t="s">
        <v>22</v>
      </c>
      <c r="T33">
        <v>3</v>
      </c>
      <c r="U33" t="s">
        <v>1394</v>
      </c>
      <c r="V33" t="s">
        <v>1394</v>
      </c>
      <c r="W33" t="s">
        <v>1394</v>
      </c>
      <c r="X33" s="3">
        <v>1</v>
      </c>
      <c r="Y33" t="s">
        <v>1397</v>
      </c>
      <c r="Z33">
        <v>22544</v>
      </c>
      <c r="AA33">
        <v>0.1</v>
      </c>
      <c r="AB33">
        <v>24798.400000000001</v>
      </c>
    </row>
    <row r="34" spans="1:28" x14ac:dyDescent="0.35">
      <c r="A34" t="str">
        <f t="shared" si="0"/>
        <v>EMP0033</v>
      </c>
      <c r="B34" t="str" cm="1">
        <f t="array" ref="B34">_xlfn.IFS(
ROW()&lt;=421,"NA",
ROW()&lt;=781,"LATAM",
ROW()&lt;=1021,"EMEA",
TRUE,"APAC"
)</f>
        <v>NA</v>
      </c>
      <c r="C34" t="str">
        <f t="shared" si="1"/>
        <v>USA</v>
      </c>
      <c r="D34" t="s">
        <v>44</v>
      </c>
      <c r="E34" t="s">
        <v>380</v>
      </c>
      <c r="F34" t="s">
        <v>438</v>
      </c>
      <c r="G34" t="s">
        <v>28</v>
      </c>
      <c r="H34" s="2">
        <v>45980</v>
      </c>
      <c r="I34" t="s">
        <v>29</v>
      </c>
      <c r="J34" t="s">
        <v>47</v>
      </c>
      <c r="K34" t="str">
        <f t="shared" ca="1" si="4"/>
        <v>OK</v>
      </c>
      <c r="L34" t="s">
        <v>547</v>
      </c>
      <c r="M34">
        <v>5</v>
      </c>
      <c r="N34" s="2">
        <v>46042</v>
      </c>
      <c r="O34" s="2" t="s">
        <v>22</v>
      </c>
      <c r="P34" s="4">
        <f t="shared" ca="1" si="2"/>
        <v>0</v>
      </c>
      <c r="Q34" s="4" t="str">
        <f t="shared" ca="1" si="3"/>
        <v>0-2 Years</v>
      </c>
      <c r="R34">
        <f t="shared" ca="1" si="5"/>
        <v>1</v>
      </c>
      <c r="S34" t="s">
        <v>22</v>
      </c>
      <c r="T34">
        <v>3</v>
      </c>
      <c r="U34" t="s">
        <v>1394</v>
      </c>
      <c r="V34" t="s">
        <v>1394</v>
      </c>
      <c r="W34" t="s">
        <v>1394</v>
      </c>
      <c r="X34" s="3">
        <v>3</v>
      </c>
      <c r="Y34" t="s">
        <v>1398</v>
      </c>
      <c r="Z34">
        <v>39207</v>
      </c>
      <c r="AA34">
        <v>0.1</v>
      </c>
      <c r="AB34">
        <v>43127.700000000004</v>
      </c>
    </row>
    <row r="35" spans="1:28" x14ac:dyDescent="0.35">
      <c r="A35" t="str">
        <f t="shared" si="0"/>
        <v>EMP0034</v>
      </c>
      <c r="B35" t="str" cm="1">
        <f t="array" ref="B35">_xlfn.IFS(
ROW()&lt;=421,"NA",
ROW()&lt;=781,"LATAM",
ROW()&lt;=1021,"EMEA",
TRUE,"APAC"
)</f>
        <v>NA</v>
      </c>
      <c r="C35" t="str">
        <f t="shared" si="1"/>
        <v>USA</v>
      </c>
      <c r="D35" t="s">
        <v>41</v>
      </c>
      <c r="E35" t="s">
        <v>380</v>
      </c>
      <c r="F35" t="s">
        <v>722</v>
      </c>
      <c r="G35" t="s">
        <v>28</v>
      </c>
      <c r="H35" s="2">
        <v>45979</v>
      </c>
      <c r="I35" t="s">
        <v>29</v>
      </c>
      <c r="J35" t="s">
        <v>42</v>
      </c>
      <c r="K35" t="str">
        <f t="shared" ca="1" si="4"/>
        <v>OK</v>
      </c>
      <c r="L35" t="s">
        <v>973</v>
      </c>
      <c r="M35">
        <v>5</v>
      </c>
      <c r="N35" s="2">
        <v>46019</v>
      </c>
      <c r="O35" s="2" t="s">
        <v>22</v>
      </c>
      <c r="P35" s="4">
        <f t="shared" ca="1" si="2"/>
        <v>0</v>
      </c>
      <c r="Q35" s="4" t="str">
        <f t="shared" ca="1" si="3"/>
        <v>0-2 Years</v>
      </c>
      <c r="R35">
        <f t="shared" ca="1" si="5"/>
        <v>1</v>
      </c>
      <c r="S35" t="s">
        <v>22</v>
      </c>
      <c r="T35">
        <v>4</v>
      </c>
      <c r="U35" t="s">
        <v>1394</v>
      </c>
      <c r="V35" t="s">
        <v>1394</v>
      </c>
      <c r="W35" t="s">
        <v>1394</v>
      </c>
      <c r="X35" s="3">
        <v>2</v>
      </c>
      <c r="Y35" t="s">
        <v>1397</v>
      </c>
      <c r="Z35">
        <v>38298</v>
      </c>
      <c r="AA35">
        <v>0.1</v>
      </c>
      <c r="AB35">
        <v>42127.8</v>
      </c>
    </row>
    <row r="36" spans="1:28" x14ac:dyDescent="0.35">
      <c r="A36" t="str">
        <f t="shared" si="0"/>
        <v>EMP0035</v>
      </c>
      <c r="B36" t="str" cm="1">
        <f t="array" ref="B36">_xlfn.IFS(
ROW()&lt;=421,"NA",
ROW()&lt;=781,"LATAM",
ROW()&lt;=1021,"EMEA",
TRUE,"APAC"
)</f>
        <v>NA</v>
      </c>
      <c r="C36" t="str">
        <f t="shared" si="1"/>
        <v>USA</v>
      </c>
      <c r="D36" t="s">
        <v>44</v>
      </c>
      <c r="E36" t="s">
        <v>380</v>
      </c>
      <c r="F36" t="s">
        <v>442</v>
      </c>
      <c r="G36" t="s">
        <v>28</v>
      </c>
      <c r="H36" s="2">
        <v>45977</v>
      </c>
      <c r="I36" t="s">
        <v>29</v>
      </c>
      <c r="J36" t="s">
        <v>47</v>
      </c>
      <c r="K36" t="str">
        <f t="shared" ca="1" si="4"/>
        <v>OK</v>
      </c>
      <c r="L36" t="s">
        <v>1288</v>
      </c>
      <c r="M36">
        <v>5</v>
      </c>
      <c r="N36" s="2">
        <v>45989</v>
      </c>
      <c r="O36" s="2" t="s">
        <v>22</v>
      </c>
      <c r="P36" s="4">
        <f t="shared" ca="1" si="2"/>
        <v>0</v>
      </c>
      <c r="Q36" s="4" t="str">
        <f t="shared" ca="1" si="3"/>
        <v>0-2 Years</v>
      </c>
      <c r="R36">
        <f t="shared" ca="1" si="5"/>
        <v>1</v>
      </c>
      <c r="S36" t="s">
        <v>22</v>
      </c>
      <c r="T36">
        <v>3</v>
      </c>
      <c r="U36" t="s">
        <v>1396</v>
      </c>
      <c r="V36" t="s">
        <v>1394</v>
      </c>
      <c r="W36" t="s">
        <v>1394</v>
      </c>
      <c r="X36" s="3">
        <v>1</v>
      </c>
      <c r="Y36" t="s">
        <v>1397</v>
      </c>
      <c r="Z36">
        <v>22807</v>
      </c>
      <c r="AA36">
        <v>0.1</v>
      </c>
      <c r="AB36">
        <v>25087.7</v>
      </c>
    </row>
    <row r="37" spans="1:28" x14ac:dyDescent="0.35">
      <c r="A37" t="str">
        <f t="shared" si="0"/>
        <v>EMP0036</v>
      </c>
      <c r="B37" t="str" cm="1">
        <f t="array" ref="B37">_xlfn.IFS(
ROW()&lt;=421,"NA",
ROW()&lt;=781,"LATAM",
ROW()&lt;=1021,"EMEA",
TRUE,"APAC"
)</f>
        <v>NA</v>
      </c>
      <c r="C37" t="str">
        <f t="shared" si="1"/>
        <v>USA</v>
      </c>
      <c r="D37" t="s">
        <v>41</v>
      </c>
      <c r="E37" t="s">
        <v>380</v>
      </c>
      <c r="F37" t="s">
        <v>740</v>
      </c>
      <c r="G37" t="s">
        <v>28</v>
      </c>
      <c r="H37" s="2">
        <v>45977</v>
      </c>
      <c r="I37" t="s">
        <v>29</v>
      </c>
      <c r="J37" t="s">
        <v>42</v>
      </c>
      <c r="K37" t="str">
        <f t="shared" ca="1" si="4"/>
        <v>OK</v>
      </c>
      <c r="L37" t="s">
        <v>552</v>
      </c>
      <c r="M37">
        <v>5</v>
      </c>
      <c r="N37" s="2">
        <v>46032</v>
      </c>
      <c r="O37" s="2" t="s">
        <v>22</v>
      </c>
      <c r="P37" s="4">
        <f t="shared" ca="1" si="2"/>
        <v>0</v>
      </c>
      <c r="Q37" s="4" t="str">
        <f t="shared" ca="1" si="3"/>
        <v>0-2 Years</v>
      </c>
      <c r="R37">
        <f t="shared" ca="1" si="5"/>
        <v>1</v>
      </c>
      <c r="S37" t="s">
        <v>22</v>
      </c>
      <c r="T37">
        <v>3</v>
      </c>
      <c r="U37" t="s">
        <v>1394</v>
      </c>
      <c r="V37" t="s">
        <v>1394</v>
      </c>
      <c r="W37" t="s">
        <v>1394</v>
      </c>
      <c r="X37" s="3">
        <v>1</v>
      </c>
      <c r="Y37" t="s">
        <v>1397</v>
      </c>
      <c r="Z37">
        <v>34599</v>
      </c>
      <c r="AA37">
        <v>0.1</v>
      </c>
      <c r="AB37">
        <v>38058.9</v>
      </c>
    </row>
    <row r="38" spans="1:28" x14ac:dyDescent="0.35">
      <c r="A38" t="str">
        <f t="shared" si="0"/>
        <v>EMP0037</v>
      </c>
      <c r="B38" t="str" cm="1">
        <f t="array" ref="B38">_xlfn.IFS(
ROW()&lt;=421,"NA",
ROW()&lt;=781,"LATAM",
ROW()&lt;=1021,"EMEA",
TRUE,"APAC"
)</f>
        <v>NA</v>
      </c>
      <c r="C38" t="str">
        <f t="shared" si="1"/>
        <v>USA</v>
      </c>
      <c r="D38" t="s">
        <v>32</v>
      </c>
      <c r="E38" t="s">
        <v>145</v>
      </c>
      <c r="F38" t="s">
        <v>278</v>
      </c>
      <c r="G38" t="s">
        <v>28</v>
      </c>
      <c r="H38" s="2">
        <v>45974</v>
      </c>
      <c r="I38" t="s">
        <v>57</v>
      </c>
      <c r="J38" t="s">
        <v>33</v>
      </c>
      <c r="K38" t="str">
        <f t="shared" ca="1" si="4"/>
        <v>OK</v>
      </c>
      <c r="L38" t="s">
        <v>279</v>
      </c>
      <c r="M38">
        <v>4</v>
      </c>
      <c r="N38" s="2">
        <v>46033</v>
      </c>
      <c r="O38" s="2">
        <v>46071</v>
      </c>
      <c r="P38" s="4">
        <f t="shared" ca="1" si="2"/>
        <v>0</v>
      </c>
      <c r="Q38" s="4" t="str">
        <f t="shared" ca="1" si="3"/>
        <v>0-2 Years</v>
      </c>
      <c r="R38">
        <f t="shared" ca="1" si="5"/>
        <v>1</v>
      </c>
      <c r="S38" t="s">
        <v>23</v>
      </c>
      <c r="T38">
        <v>3</v>
      </c>
      <c r="U38" t="s">
        <v>1394</v>
      </c>
      <c r="V38" t="s">
        <v>1394</v>
      </c>
      <c r="W38" t="s">
        <v>1394</v>
      </c>
      <c r="X38" s="3">
        <v>4</v>
      </c>
      <c r="Y38" t="s">
        <v>1395</v>
      </c>
      <c r="Z38">
        <v>84163</v>
      </c>
      <c r="AA38">
        <v>0.15</v>
      </c>
      <c r="AB38">
        <v>96787.45</v>
      </c>
    </row>
    <row r="39" spans="1:28" x14ac:dyDescent="0.35">
      <c r="A39" t="str">
        <f t="shared" si="0"/>
        <v>EMP0038</v>
      </c>
      <c r="B39" t="str" cm="1">
        <f t="array" ref="B39">_xlfn.IFS(
ROW()&lt;=421,"NA",
ROW()&lt;=781,"LATAM",
ROW()&lt;=1021,"EMEA",
TRUE,"APAC"
)</f>
        <v>NA</v>
      </c>
      <c r="C39" t="str">
        <f t="shared" si="1"/>
        <v>USA</v>
      </c>
      <c r="D39" t="s">
        <v>32</v>
      </c>
      <c r="E39" t="s">
        <v>145</v>
      </c>
      <c r="F39" t="s">
        <v>178</v>
      </c>
      <c r="G39" t="s">
        <v>53</v>
      </c>
      <c r="H39" s="2">
        <v>43666</v>
      </c>
      <c r="I39" t="s">
        <v>29</v>
      </c>
      <c r="J39" t="s">
        <v>33</v>
      </c>
      <c r="K39" t="str">
        <f t="shared" ca="1" si="4"/>
        <v>OK</v>
      </c>
      <c r="L39" t="s">
        <v>179</v>
      </c>
      <c r="M39">
        <v>4</v>
      </c>
      <c r="N39" s="2">
        <v>45991</v>
      </c>
      <c r="O39" s="2" t="s">
        <v>22</v>
      </c>
      <c r="P39" s="4">
        <f t="shared" ca="1" si="2"/>
        <v>6</v>
      </c>
      <c r="Q39" s="4" t="str">
        <f t="shared" ca="1" si="3"/>
        <v>6-10 Years</v>
      </c>
      <c r="R39">
        <f t="shared" ca="1" si="5"/>
        <v>0</v>
      </c>
      <c r="S39" t="s">
        <v>22</v>
      </c>
      <c r="T39">
        <v>4</v>
      </c>
      <c r="U39" t="s">
        <v>1396</v>
      </c>
      <c r="V39" t="s">
        <v>1394</v>
      </c>
      <c r="W39" t="s">
        <v>1394</v>
      </c>
      <c r="X39" s="3">
        <v>4</v>
      </c>
      <c r="Y39" t="s">
        <v>1395</v>
      </c>
      <c r="Z39">
        <v>78600</v>
      </c>
      <c r="AA39">
        <v>0.15</v>
      </c>
      <c r="AB39">
        <v>90390</v>
      </c>
    </row>
    <row r="40" spans="1:28" x14ac:dyDescent="0.35">
      <c r="A40" t="str">
        <f t="shared" si="0"/>
        <v>EMP0039</v>
      </c>
      <c r="B40" t="str" cm="1">
        <f t="array" ref="B40">_xlfn.IFS(
ROW()&lt;=421,"NA",
ROW()&lt;=781,"LATAM",
ROW()&lt;=1021,"EMEA",
TRUE,"APAC"
)</f>
        <v>NA</v>
      </c>
      <c r="C40" t="str">
        <f t="shared" si="1"/>
        <v>USA</v>
      </c>
      <c r="D40" t="s">
        <v>32</v>
      </c>
      <c r="E40" t="s">
        <v>380</v>
      </c>
      <c r="F40" t="s">
        <v>946</v>
      </c>
      <c r="G40" t="s">
        <v>28</v>
      </c>
      <c r="H40" s="2">
        <v>44459</v>
      </c>
      <c r="I40" t="s">
        <v>29</v>
      </c>
      <c r="J40" t="s">
        <v>33</v>
      </c>
      <c r="K40" t="str">
        <f t="shared" ca="1" si="4"/>
        <v>OK</v>
      </c>
      <c r="L40" t="s">
        <v>1048</v>
      </c>
      <c r="M40">
        <v>5</v>
      </c>
      <c r="N40" s="2">
        <v>46018</v>
      </c>
      <c r="O40" s="2" t="s">
        <v>22</v>
      </c>
      <c r="P40" s="4">
        <f t="shared" ca="1" si="2"/>
        <v>4</v>
      </c>
      <c r="Q40" s="4" t="str">
        <f t="shared" ca="1" si="3"/>
        <v>3-5 Years</v>
      </c>
      <c r="R40">
        <f t="shared" ca="1" si="5"/>
        <v>0</v>
      </c>
      <c r="S40" t="s">
        <v>22</v>
      </c>
      <c r="T40">
        <v>2</v>
      </c>
      <c r="U40" t="s">
        <v>1394</v>
      </c>
      <c r="V40" t="s">
        <v>1394</v>
      </c>
      <c r="W40" t="s">
        <v>1394</v>
      </c>
      <c r="X40" s="3">
        <v>4</v>
      </c>
      <c r="Y40" t="s">
        <v>1395</v>
      </c>
      <c r="Z40">
        <v>38088</v>
      </c>
      <c r="AA40">
        <v>0.1</v>
      </c>
      <c r="AB40">
        <v>41896.800000000003</v>
      </c>
    </row>
    <row r="41" spans="1:28" x14ac:dyDescent="0.35">
      <c r="A41" t="str">
        <f t="shared" si="0"/>
        <v>EMP0040</v>
      </c>
      <c r="B41" t="str" cm="1">
        <f t="array" ref="B41">_xlfn.IFS(
ROW()&lt;=421,"NA",
ROW()&lt;=781,"LATAM",
ROW()&lt;=1021,"EMEA",
TRUE,"APAC"
)</f>
        <v>NA</v>
      </c>
      <c r="C41" t="str">
        <f t="shared" si="1"/>
        <v>USA</v>
      </c>
      <c r="D41" t="s">
        <v>38</v>
      </c>
      <c r="E41" t="s">
        <v>380</v>
      </c>
      <c r="F41" t="s">
        <v>450</v>
      </c>
      <c r="G41" t="s">
        <v>28</v>
      </c>
      <c r="H41" s="2">
        <v>45966</v>
      </c>
      <c r="I41" t="s">
        <v>29</v>
      </c>
      <c r="J41" t="s">
        <v>39</v>
      </c>
      <c r="K41" t="str">
        <f t="shared" ca="1" si="4"/>
        <v>OK</v>
      </c>
      <c r="L41" t="s">
        <v>1381</v>
      </c>
      <c r="M41">
        <v>5</v>
      </c>
      <c r="N41" s="2">
        <v>46015</v>
      </c>
      <c r="O41" s="2" t="s">
        <v>22</v>
      </c>
      <c r="P41" s="4">
        <f t="shared" ca="1" si="2"/>
        <v>0</v>
      </c>
      <c r="Q41" s="4" t="str">
        <f t="shared" ca="1" si="3"/>
        <v>0-2 Years</v>
      </c>
      <c r="R41">
        <f t="shared" ca="1" si="5"/>
        <v>1</v>
      </c>
      <c r="S41" t="s">
        <v>22</v>
      </c>
      <c r="T41">
        <v>2</v>
      </c>
      <c r="U41" t="s">
        <v>1394</v>
      </c>
      <c r="V41" t="s">
        <v>1394</v>
      </c>
      <c r="W41" t="s">
        <v>1394</v>
      </c>
      <c r="X41" s="3">
        <v>1</v>
      </c>
      <c r="Y41" t="s">
        <v>1397</v>
      </c>
      <c r="Z41">
        <v>44874</v>
      </c>
      <c r="AA41">
        <v>0.1</v>
      </c>
      <c r="AB41">
        <v>49361.4</v>
      </c>
    </row>
    <row r="42" spans="1:28" x14ac:dyDescent="0.35">
      <c r="A42" t="str">
        <f t="shared" si="0"/>
        <v>EMP0041</v>
      </c>
      <c r="B42" t="str" cm="1">
        <f t="array" ref="B42">_xlfn.IFS(
ROW()&lt;=421,"NA",
ROW()&lt;=781,"LATAM",
ROW()&lt;=1021,"EMEA",
TRUE,"APAC"
)</f>
        <v>NA</v>
      </c>
      <c r="C42" t="str">
        <f t="shared" si="1"/>
        <v>USA</v>
      </c>
      <c r="D42" t="s">
        <v>32</v>
      </c>
      <c r="E42" t="s">
        <v>380</v>
      </c>
      <c r="F42" t="s">
        <v>672</v>
      </c>
      <c r="G42" t="s">
        <v>28</v>
      </c>
      <c r="H42" s="2">
        <v>44322</v>
      </c>
      <c r="I42" t="s">
        <v>29</v>
      </c>
      <c r="J42" t="s">
        <v>33</v>
      </c>
      <c r="K42" t="str">
        <f t="shared" ca="1" si="4"/>
        <v>OK</v>
      </c>
      <c r="L42" t="s">
        <v>891</v>
      </c>
      <c r="M42">
        <v>5</v>
      </c>
      <c r="N42" s="2">
        <v>46046</v>
      </c>
      <c r="O42" s="2" t="s">
        <v>22</v>
      </c>
      <c r="P42" s="4">
        <f t="shared" ca="1" si="2"/>
        <v>4</v>
      </c>
      <c r="Q42" s="4" t="str">
        <f t="shared" ca="1" si="3"/>
        <v>3-5 Years</v>
      </c>
      <c r="R42">
        <f t="shared" ca="1" si="5"/>
        <v>0</v>
      </c>
      <c r="S42" t="s">
        <v>22</v>
      </c>
      <c r="T42">
        <v>3</v>
      </c>
      <c r="U42" t="s">
        <v>1394</v>
      </c>
      <c r="V42" t="s">
        <v>1394</v>
      </c>
      <c r="W42" t="s">
        <v>1394</v>
      </c>
      <c r="X42" s="3">
        <v>5</v>
      </c>
      <c r="Y42" t="s">
        <v>1395</v>
      </c>
      <c r="Z42">
        <v>33190</v>
      </c>
      <c r="AA42">
        <v>0.1</v>
      </c>
      <c r="AB42">
        <v>36509</v>
      </c>
    </row>
    <row r="43" spans="1:28" x14ac:dyDescent="0.35">
      <c r="A43" t="str">
        <f t="shared" si="0"/>
        <v>EMP0042</v>
      </c>
      <c r="B43" t="str" cm="1">
        <f t="array" ref="B43">_xlfn.IFS(
ROW()&lt;=421,"NA",
ROW()&lt;=781,"LATAM",
ROW()&lt;=1021,"EMEA",
TRUE,"APAC"
)</f>
        <v>NA</v>
      </c>
      <c r="C43" t="str">
        <f t="shared" si="1"/>
        <v>USA</v>
      </c>
      <c r="D43" t="s">
        <v>41</v>
      </c>
      <c r="E43" t="s">
        <v>380</v>
      </c>
      <c r="F43" t="s">
        <v>648</v>
      </c>
      <c r="G43" t="s">
        <v>28</v>
      </c>
      <c r="H43" s="2">
        <v>45962</v>
      </c>
      <c r="I43" t="s">
        <v>29</v>
      </c>
      <c r="J43" t="s">
        <v>42</v>
      </c>
      <c r="K43" t="str">
        <f t="shared" ca="1" si="4"/>
        <v>OK</v>
      </c>
      <c r="L43" t="s">
        <v>649</v>
      </c>
      <c r="M43">
        <v>5</v>
      </c>
      <c r="N43" s="2">
        <v>46051</v>
      </c>
      <c r="O43" s="2" t="s">
        <v>22</v>
      </c>
      <c r="P43" s="4">
        <f t="shared" ca="1" si="2"/>
        <v>0</v>
      </c>
      <c r="Q43" s="4" t="str">
        <f t="shared" ca="1" si="3"/>
        <v>0-2 Years</v>
      </c>
      <c r="R43">
        <f t="shared" ca="1" si="5"/>
        <v>1</v>
      </c>
      <c r="S43" t="s">
        <v>22</v>
      </c>
      <c r="T43">
        <v>4</v>
      </c>
      <c r="U43" t="s">
        <v>1394</v>
      </c>
      <c r="V43" t="s">
        <v>1394</v>
      </c>
      <c r="W43" t="s">
        <v>1394</v>
      </c>
      <c r="X43" s="3">
        <v>3</v>
      </c>
      <c r="Y43" t="s">
        <v>1398</v>
      </c>
      <c r="Z43">
        <v>46561</v>
      </c>
      <c r="AA43">
        <v>0.1</v>
      </c>
      <c r="AB43">
        <v>51217.100000000006</v>
      </c>
    </row>
    <row r="44" spans="1:28" x14ac:dyDescent="0.35">
      <c r="A44" t="str">
        <f t="shared" si="0"/>
        <v>EMP0043</v>
      </c>
      <c r="B44" t="str" cm="1">
        <f t="array" ref="B44">_xlfn.IFS(
ROW()&lt;=421,"NA",
ROW()&lt;=781,"LATAM",
ROW()&lt;=1021,"EMEA",
TRUE,"APAC"
)</f>
        <v>NA</v>
      </c>
      <c r="C44" t="str">
        <f t="shared" si="1"/>
        <v>USA</v>
      </c>
      <c r="D44" t="s">
        <v>35</v>
      </c>
      <c r="E44" t="s">
        <v>380</v>
      </c>
      <c r="F44" t="s">
        <v>393</v>
      </c>
      <c r="G44" t="s">
        <v>28</v>
      </c>
      <c r="H44" s="2">
        <v>45958</v>
      </c>
      <c r="I44" t="s">
        <v>29</v>
      </c>
      <c r="J44" t="s">
        <v>36</v>
      </c>
      <c r="K44" t="str">
        <f t="shared" ca="1" si="4"/>
        <v>OK</v>
      </c>
      <c r="L44" t="s">
        <v>711</v>
      </c>
      <c r="M44">
        <v>5</v>
      </c>
      <c r="N44" s="2">
        <v>45991</v>
      </c>
      <c r="O44" s="2" t="s">
        <v>22</v>
      </c>
      <c r="P44" s="4">
        <f t="shared" ca="1" si="2"/>
        <v>0</v>
      </c>
      <c r="Q44" s="4" t="str">
        <f t="shared" ca="1" si="3"/>
        <v>0-2 Years</v>
      </c>
      <c r="R44">
        <f t="shared" ca="1" si="5"/>
        <v>1</v>
      </c>
      <c r="S44" t="s">
        <v>22</v>
      </c>
      <c r="T44">
        <v>4</v>
      </c>
      <c r="U44" t="s">
        <v>1394</v>
      </c>
      <c r="V44" t="s">
        <v>1394</v>
      </c>
      <c r="W44" t="s">
        <v>1394</v>
      </c>
      <c r="X44" s="3">
        <v>2</v>
      </c>
      <c r="Y44" t="s">
        <v>1397</v>
      </c>
      <c r="Z44">
        <v>34324</v>
      </c>
      <c r="AA44">
        <v>0.1</v>
      </c>
      <c r="AB44">
        <v>37756.400000000001</v>
      </c>
    </row>
    <row r="45" spans="1:28" x14ac:dyDescent="0.35">
      <c r="A45" t="str">
        <f t="shared" si="0"/>
        <v>EMP0044</v>
      </c>
      <c r="B45" t="str" cm="1">
        <f t="array" ref="B45">_xlfn.IFS(
ROW()&lt;=421,"NA",
ROW()&lt;=781,"LATAM",
ROW()&lt;=1021,"EMEA",
TRUE,"APAC"
)</f>
        <v>NA</v>
      </c>
      <c r="C45" t="str">
        <f t="shared" si="1"/>
        <v>USA</v>
      </c>
      <c r="D45" t="s">
        <v>26</v>
      </c>
      <c r="E45" t="s">
        <v>45</v>
      </c>
      <c r="F45" t="s">
        <v>52</v>
      </c>
      <c r="G45" t="s">
        <v>28</v>
      </c>
      <c r="H45" s="2">
        <v>45957</v>
      </c>
      <c r="I45" t="s">
        <v>29</v>
      </c>
      <c r="J45" t="s">
        <v>30</v>
      </c>
      <c r="K45" t="str">
        <f t="shared" ca="1" si="4"/>
        <v>OK</v>
      </c>
      <c r="L45" t="s">
        <v>67</v>
      </c>
      <c r="M45">
        <v>2</v>
      </c>
      <c r="N45" s="2">
        <v>46002</v>
      </c>
      <c r="O45" s="2" t="s">
        <v>22</v>
      </c>
      <c r="P45" s="4">
        <f t="shared" ca="1" si="2"/>
        <v>0</v>
      </c>
      <c r="Q45" s="4" t="str">
        <f t="shared" ca="1" si="3"/>
        <v>0-2 Years</v>
      </c>
      <c r="R45">
        <f t="shared" ca="1" si="5"/>
        <v>1</v>
      </c>
      <c r="S45" t="s">
        <v>22</v>
      </c>
      <c r="T45">
        <v>4</v>
      </c>
      <c r="U45" t="s">
        <v>1394</v>
      </c>
      <c r="V45" t="s">
        <v>1394</v>
      </c>
      <c r="W45" t="s">
        <v>1394</v>
      </c>
      <c r="X45" s="3">
        <v>4</v>
      </c>
      <c r="Y45" t="s">
        <v>1395</v>
      </c>
      <c r="Z45">
        <v>179756</v>
      </c>
      <c r="AA45">
        <v>0.25</v>
      </c>
      <c r="AB45">
        <v>224695</v>
      </c>
    </row>
    <row r="46" spans="1:28" x14ac:dyDescent="0.35">
      <c r="A46" t="str">
        <f t="shared" si="0"/>
        <v>EMP0045</v>
      </c>
      <c r="B46" t="str" cm="1">
        <f t="array" ref="B46">_xlfn.IFS(
ROW()&lt;=421,"NA",
ROW()&lt;=781,"LATAM",
ROW()&lt;=1021,"EMEA",
TRUE,"APAC"
)</f>
        <v>NA</v>
      </c>
      <c r="C46" t="str">
        <f t="shared" si="1"/>
        <v>USA</v>
      </c>
      <c r="D46" t="s">
        <v>38</v>
      </c>
      <c r="E46" t="s">
        <v>380</v>
      </c>
      <c r="F46" t="s">
        <v>693</v>
      </c>
      <c r="G46" t="s">
        <v>28</v>
      </c>
      <c r="H46" s="2">
        <v>45957</v>
      </c>
      <c r="I46" t="s">
        <v>29</v>
      </c>
      <c r="J46" t="s">
        <v>39</v>
      </c>
      <c r="K46" t="str">
        <f t="shared" ca="1" si="4"/>
        <v>OK</v>
      </c>
      <c r="L46" t="s">
        <v>966</v>
      </c>
      <c r="M46">
        <v>5</v>
      </c>
      <c r="N46" s="2">
        <v>46008</v>
      </c>
      <c r="O46" s="2" t="s">
        <v>22</v>
      </c>
      <c r="P46" s="4">
        <f t="shared" ca="1" si="2"/>
        <v>0</v>
      </c>
      <c r="Q46" s="4" t="str">
        <f t="shared" ca="1" si="3"/>
        <v>0-2 Years</v>
      </c>
      <c r="R46">
        <f t="shared" ca="1" si="5"/>
        <v>1</v>
      </c>
      <c r="S46" t="s">
        <v>22</v>
      </c>
      <c r="T46">
        <v>4</v>
      </c>
      <c r="U46" t="s">
        <v>1396</v>
      </c>
      <c r="V46" t="s">
        <v>1394</v>
      </c>
      <c r="W46" t="s">
        <v>1394</v>
      </c>
      <c r="X46" s="3">
        <v>4</v>
      </c>
      <c r="Y46" t="s">
        <v>1395</v>
      </c>
      <c r="Z46">
        <v>36231</v>
      </c>
      <c r="AA46">
        <v>0.1</v>
      </c>
      <c r="AB46">
        <v>39854.100000000006</v>
      </c>
    </row>
    <row r="47" spans="1:28" x14ac:dyDescent="0.35">
      <c r="A47" t="str">
        <f t="shared" si="0"/>
        <v>EMP0046</v>
      </c>
      <c r="B47" t="str" cm="1">
        <f t="array" ref="B47">_xlfn.IFS(
ROW()&lt;=421,"NA",
ROW()&lt;=781,"LATAM",
ROW()&lt;=1021,"EMEA",
TRUE,"APAC"
)</f>
        <v>NA</v>
      </c>
      <c r="C47" t="str">
        <f t="shared" si="1"/>
        <v>USA</v>
      </c>
      <c r="D47" t="s">
        <v>38</v>
      </c>
      <c r="E47" t="s">
        <v>380</v>
      </c>
      <c r="F47" t="s">
        <v>502</v>
      </c>
      <c r="G47" t="s">
        <v>28</v>
      </c>
      <c r="H47" s="2">
        <v>45950</v>
      </c>
      <c r="I47" t="s">
        <v>29</v>
      </c>
      <c r="J47" t="s">
        <v>39</v>
      </c>
      <c r="K47" t="str">
        <f t="shared" ca="1" si="4"/>
        <v>OK</v>
      </c>
      <c r="L47" t="s">
        <v>503</v>
      </c>
      <c r="M47">
        <v>5</v>
      </c>
      <c r="N47" s="2">
        <v>46075</v>
      </c>
      <c r="O47" s="2" t="s">
        <v>22</v>
      </c>
      <c r="P47" s="4">
        <f t="shared" ca="1" si="2"/>
        <v>0</v>
      </c>
      <c r="Q47" s="4" t="str">
        <f t="shared" ca="1" si="3"/>
        <v>0-2 Years</v>
      </c>
      <c r="R47">
        <f t="shared" ca="1" si="5"/>
        <v>1</v>
      </c>
      <c r="S47" t="s">
        <v>22</v>
      </c>
      <c r="T47">
        <v>3</v>
      </c>
      <c r="U47" t="s">
        <v>1394</v>
      </c>
      <c r="V47" t="s">
        <v>1394</v>
      </c>
      <c r="W47" t="s">
        <v>1394</v>
      </c>
      <c r="X47" s="3">
        <v>2</v>
      </c>
      <c r="Y47" t="s">
        <v>1397</v>
      </c>
      <c r="Z47">
        <v>20724</v>
      </c>
      <c r="AA47">
        <v>0.1</v>
      </c>
      <c r="AB47">
        <v>22796.400000000001</v>
      </c>
    </row>
    <row r="48" spans="1:28" x14ac:dyDescent="0.35">
      <c r="A48" t="str">
        <f t="shared" si="0"/>
        <v>EMP0047</v>
      </c>
      <c r="B48" t="str" cm="1">
        <f t="array" ref="B48">_xlfn.IFS(
ROW()&lt;=421,"NA",
ROW()&lt;=781,"LATAM",
ROW()&lt;=1021,"EMEA",
TRUE,"APAC"
)</f>
        <v>NA</v>
      </c>
      <c r="C48" t="str">
        <f t="shared" si="1"/>
        <v>USA</v>
      </c>
      <c r="D48" t="s">
        <v>38</v>
      </c>
      <c r="E48" t="s">
        <v>380</v>
      </c>
      <c r="F48" t="s">
        <v>438</v>
      </c>
      <c r="G48" t="s">
        <v>28</v>
      </c>
      <c r="H48" s="2">
        <v>45948</v>
      </c>
      <c r="I48" t="s">
        <v>29</v>
      </c>
      <c r="J48" t="s">
        <v>39</v>
      </c>
      <c r="K48" t="str">
        <f t="shared" ca="1" si="4"/>
        <v>OK</v>
      </c>
      <c r="L48" t="s">
        <v>1348</v>
      </c>
      <c r="M48">
        <v>5</v>
      </c>
      <c r="N48" s="2">
        <v>46037</v>
      </c>
      <c r="O48" s="2" t="s">
        <v>22</v>
      </c>
      <c r="P48" s="4">
        <f t="shared" ca="1" si="2"/>
        <v>0</v>
      </c>
      <c r="Q48" s="4" t="str">
        <f t="shared" ca="1" si="3"/>
        <v>0-2 Years</v>
      </c>
      <c r="R48">
        <f t="shared" ca="1" si="5"/>
        <v>1</v>
      </c>
      <c r="S48" t="s">
        <v>22</v>
      </c>
      <c r="T48">
        <v>2</v>
      </c>
      <c r="U48" t="s">
        <v>1394</v>
      </c>
      <c r="V48" t="s">
        <v>1394</v>
      </c>
      <c r="W48" t="s">
        <v>1394</v>
      </c>
      <c r="X48" s="3">
        <v>5</v>
      </c>
      <c r="Y48" t="s">
        <v>1395</v>
      </c>
      <c r="Z48">
        <v>47017</v>
      </c>
      <c r="AA48">
        <v>0.1</v>
      </c>
      <c r="AB48">
        <v>51718.700000000004</v>
      </c>
    </row>
    <row r="49" spans="1:28" x14ac:dyDescent="0.35">
      <c r="A49" t="str">
        <f t="shared" si="0"/>
        <v>EMP0048</v>
      </c>
      <c r="B49" t="str" cm="1">
        <f t="array" ref="B49">_xlfn.IFS(
ROW()&lt;=421,"NA",
ROW()&lt;=781,"LATAM",
ROW()&lt;=1021,"EMEA",
TRUE,"APAC"
)</f>
        <v>NA</v>
      </c>
      <c r="C49" t="str">
        <f t="shared" si="1"/>
        <v>USA</v>
      </c>
      <c r="D49" t="s">
        <v>38</v>
      </c>
      <c r="E49" t="s">
        <v>380</v>
      </c>
      <c r="F49" t="s">
        <v>490</v>
      </c>
      <c r="G49" t="s">
        <v>28</v>
      </c>
      <c r="H49" s="2">
        <v>45944</v>
      </c>
      <c r="I49" t="s">
        <v>29</v>
      </c>
      <c r="J49" t="s">
        <v>39</v>
      </c>
      <c r="K49" t="str">
        <f t="shared" ca="1" si="4"/>
        <v>OK</v>
      </c>
      <c r="L49" t="s">
        <v>1226</v>
      </c>
      <c r="M49">
        <v>5</v>
      </c>
      <c r="N49" s="2">
        <v>46009</v>
      </c>
      <c r="O49" s="2" t="s">
        <v>22</v>
      </c>
      <c r="P49" s="4">
        <f t="shared" ca="1" si="2"/>
        <v>0</v>
      </c>
      <c r="Q49" s="4" t="str">
        <f t="shared" ca="1" si="3"/>
        <v>0-2 Years</v>
      </c>
      <c r="R49">
        <f t="shared" ca="1" si="5"/>
        <v>1</v>
      </c>
      <c r="S49" t="s">
        <v>22</v>
      </c>
      <c r="T49">
        <v>5</v>
      </c>
      <c r="U49" t="s">
        <v>1394</v>
      </c>
      <c r="V49" t="s">
        <v>1394</v>
      </c>
      <c r="W49" t="s">
        <v>1394</v>
      </c>
      <c r="X49" s="3">
        <v>1</v>
      </c>
      <c r="Y49" t="s">
        <v>1397</v>
      </c>
      <c r="Z49">
        <v>20716</v>
      </c>
      <c r="AA49">
        <v>0.1</v>
      </c>
      <c r="AB49">
        <v>22787.600000000002</v>
      </c>
    </row>
    <row r="50" spans="1:28" x14ac:dyDescent="0.35">
      <c r="A50" t="str">
        <f t="shared" si="0"/>
        <v>EMP0049</v>
      </c>
      <c r="B50" t="str" cm="1">
        <f t="array" ref="B50">_xlfn.IFS(
ROW()&lt;=421,"NA",
ROW()&lt;=781,"LATAM",
ROW()&lt;=1021,"EMEA",
TRUE,"APAC"
)</f>
        <v>NA</v>
      </c>
      <c r="C50" t="str">
        <f t="shared" si="1"/>
        <v>USA</v>
      </c>
      <c r="D50" t="s">
        <v>44</v>
      </c>
      <c r="E50" t="s">
        <v>380</v>
      </c>
      <c r="F50" t="s">
        <v>420</v>
      </c>
      <c r="G50" t="s">
        <v>28</v>
      </c>
      <c r="H50" s="2">
        <v>45943</v>
      </c>
      <c r="I50" t="s">
        <v>29</v>
      </c>
      <c r="J50" t="s">
        <v>47</v>
      </c>
      <c r="K50" t="str">
        <f t="shared" ca="1" si="4"/>
        <v>OK</v>
      </c>
      <c r="L50" t="s">
        <v>1029</v>
      </c>
      <c r="M50">
        <v>5</v>
      </c>
      <c r="N50" s="2">
        <v>45989</v>
      </c>
      <c r="O50" s="2" t="s">
        <v>22</v>
      </c>
      <c r="P50" s="4">
        <f t="shared" ca="1" si="2"/>
        <v>0</v>
      </c>
      <c r="Q50" s="4" t="str">
        <f t="shared" ca="1" si="3"/>
        <v>0-2 Years</v>
      </c>
      <c r="R50">
        <f t="shared" ca="1" si="5"/>
        <v>1</v>
      </c>
      <c r="S50" t="s">
        <v>22</v>
      </c>
      <c r="T50">
        <v>3</v>
      </c>
      <c r="U50" t="s">
        <v>1396</v>
      </c>
      <c r="V50" t="s">
        <v>1394</v>
      </c>
      <c r="W50" t="s">
        <v>1394</v>
      </c>
      <c r="X50" s="3">
        <v>1</v>
      </c>
      <c r="Y50" t="s">
        <v>1397</v>
      </c>
      <c r="Z50">
        <v>26080</v>
      </c>
      <c r="AA50">
        <v>0.1</v>
      </c>
      <c r="AB50">
        <v>28688.000000000004</v>
      </c>
    </row>
    <row r="51" spans="1:28" x14ac:dyDescent="0.35">
      <c r="A51" t="str">
        <f t="shared" si="0"/>
        <v>EMP0050</v>
      </c>
      <c r="B51" t="str" cm="1">
        <f t="array" ref="B51">_xlfn.IFS(
ROW()&lt;=421,"NA",
ROW()&lt;=781,"LATAM",
ROW()&lt;=1021,"EMEA",
TRUE,"APAC"
)</f>
        <v>NA</v>
      </c>
      <c r="C51" t="str">
        <f t="shared" si="1"/>
        <v>USA</v>
      </c>
      <c r="D51" t="s">
        <v>26</v>
      </c>
      <c r="E51" t="s">
        <v>69</v>
      </c>
      <c r="F51" t="s">
        <v>79</v>
      </c>
      <c r="G51" t="s">
        <v>53</v>
      </c>
      <c r="H51" s="2">
        <v>45942</v>
      </c>
      <c r="I51" t="s">
        <v>29</v>
      </c>
      <c r="J51" t="s">
        <v>30</v>
      </c>
      <c r="K51" t="str">
        <f t="shared" ca="1" si="4"/>
        <v>OK</v>
      </c>
      <c r="L51" t="s">
        <v>117</v>
      </c>
      <c r="M51">
        <v>3</v>
      </c>
      <c r="N51" s="2">
        <v>46011</v>
      </c>
      <c r="O51" s="2" t="s">
        <v>22</v>
      </c>
      <c r="P51" s="4">
        <f t="shared" ca="1" si="2"/>
        <v>0</v>
      </c>
      <c r="Q51" s="4" t="str">
        <f t="shared" ca="1" si="3"/>
        <v>0-2 Years</v>
      </c>
      <c r="R51">
        <f t="shared" ca="1" si="5"/>
        <v>1</v>
      </c>
      <c r="S51" t="s">
        <v>22</v>
      </c>
      <c r="T51">
        <v>3</v>
      </c>
      <c r="U51" t="s">
        <v>1396</v>
      </c>
      <c r="V51" t="s">
        <v>1396</v>
      </c>
      <c r="W51" t="s">
        <v>1396</v>
      </c>
      <c r="X51" s="3">
        <v>2</v>
      </c>
      <c r="Y51" t="s">
        <v>1397</v>
      </c>
      <c r="Z51">
        <v>135037</v>
      </c>
      <c r="AA51">
        <v>0.2</v>
      </c>
      <c r="AB51">
        <v>162044.4</v>
      </c>
    </row>
    <row r="52" spans="1:28" x14ac:dyDescent="0.35">
      <c r="A52" t="str">
        <f t="shared" si="0"/>
        <v>EMP0051</v>
      </c>
      <c r="B52" t="str" cm="1">
        <f t="array" ref="B52">_xlfn.IFS(
ROW()&lt;=421,"NA",
ROW()&lt;=781,"LATAM",
ROW()&lt;=1021,"EMEA",
TRUE,"APAC"
)</f>
        <v>NA</v>
      </c>
      <c r="C52" t="str">
        <f t="shared" si="1"/>
        <v>USA</v>
      </c>
      <c r="D52" t="s">
        <v>35</v>
      </c>
      <c r="E52" t="s">
        <v>380</v>
      </c>
      <c r="F52" t="s">
        <v>618</v>
      </c>
      <c r="G52" t="s">
        <v>28</v>
      </c>
      <c r="H52" s="2">
        <v>45941</v>
      </c>
      <c r="I52" t="s">
        <v>29</v>
      </c>
      <c r="J52" t="s">
        <v>36</v>
      </c>
      <c r="K52" t="str">
        <f t="shared" ca="1" si="4"/>
        <v>OK</v>
      </c>
      <c r="L52" t="s">
        <v>619</v>
      </c>
      <c r="M52">
        <v>5</v>
      </c>
      <c r="N52" s="2">
        <v>46030</v>
      </c>
      <c r="O52" s="2" t="s">
        <v>22</v>
      </c>
      <c r="P52" s="4">
        <f t="shared" ca="1" si="2"/>
        <v>0</v>
      </c>
      <c r="Q52" s="4" t="str">
        <f t="shared" ca="1" si="3"/>
        <v>0-2 Years</v>
      </c>
      <c r="R52">
        <f t="shared" ca="1" si="5"/>
        <v>1</v>
      </c>
      <c r="S52" t="s">
        <v>22</v>
      </c>
      <c r="T52">
        <v>2</v>
      </c>
      <c r="U52" t="s">
        <v>1394</v>
      </c>
      <c r="V52" t="s">
        <v>1394</v>
      </c>
      <c r="W52" t="s">
        <v>1394</v>
      </c>
      <c r="X52" s="3">
        <v>5</v>
      </c>
      <c r="Y52" t="s">
        <v>1395</v>
      </c>
      <c r="Z52">
        <v>22081</v>
      </c>
      <c r="AA52">
        <v>0.1</v>
      </c>
      <c r="AB52">
        <v>24289.100000000002</v>
      </c>
    </row>
    <row r="53" spans="1:28" x14ac:dyDescent="0.35">
      <c r="A53" t="str">
        <f t="shared" si="0"/>
        <v>EMP0052</v>
      </c>
      <c r="B53" t="str" cm="1">
        <f t="array" ref="B53">_xlfn.IFS(
ROW()&lt;=421,"NA",
ROW()&lt;=781,"LATAM",
ROW()&lt;=1021,"EMEA",
TRUE,"APAC"
)</f>
        <v>NA</v>
      </c>
      <c r="C53" t="str">
        <f t="shared" si="1"/>
        <v>USA</v>
      </c>
      <c r="D53" t="s">
        <v>26</v>
      </c>
      <c r="E53" t="s">
        <v>380</v>
      </c>
      <c r="F53" t="s">
        <v>466</v>
      </c>
      <c r="G53" t="s">
        <v>28</v>
      </c>
      <c r="H53" s="2">
        <v>45941</v>
      </c>
      <c r="I53" t="s">
        <v>29</v>
      </c>
      <c r="J53" t="s">
        <v>30</v>
      </c>
      <c r="K53" t="str">
        <f t="shared" ca="1" si="4"/>
        <v>OK</v>
      </c>
      <c r="L53" t="s">
        <v>1156</v>
      </c>
      <c r="M53">
        <v>5</v>
      </c>
      <c r="N53" s="2">
        <v>46044</v>
      </c>
      <c r="O53" s="2" t="s">
        <v>22</v>
      </c>
      <c r="P53" s="4">
        <f t="shared" ca="1" si="2"/>
        <v>0</v>
      </c>
      <c r="Q53" s="4" t="str">
        <f t="shared" ca="1" si="3"/>
        <v>0-2 Years</v>
      </c>
      <c r="R53">
        <f t="shared" ca="1" si="5"/>
        <v>1</v>
      </c>
      <c r="S53" t="s">
        <v>22</v>
      </c>
      <c r="T53">
        <v>4</v>
      </c>
      <c r="U53" t="s">
        <v>1394</v>
      </c>
      <c r="V53" t="s">
        <v>1394</v>
      </c>
      <c r="W53" t="s">
        <v>1394</v>
      </c>
      <c r="X53" s="3">
        <v>2</v>
      </c>
      <c r="Y53" t="s">
        <v>1397</v>
      </c>
      <c r="Z53">
        <v>47571</v>
      </c>
      <c r="AA53">
        <v>0.1</v>
      </c>
      <c r="AB53">
        <v>52328.100000000006</v>
      </c>
    </row>
    <row r="54" spans="1:28" x14ac:dyDescent="0.35">
      <c r="A54" t="str">
        <f t="shared" si="0"/>
        <v>EMP0053</v>
      </c>
      <c r="B54" t="str" cm="1">
        <f t="array" ref="B54">_xlfn.IFS(
ROW()&lt;=421,"NA",
ROW()&lt;=781,"LATAM",
ROW()&lt;=1021,"EMEA",
TRUE,"APAC"
)</f>
        <v>NA</v>
      </c>
      <c r="C54" t="str">
        <f t="shared" si="1"/>
        <v>USA</v>
      </c>
      <c r="D54" t="s">
        <v>32</v>
      </c>
      <c r="E54" t="s">
        <v>380</v>
      </c>
      <c r="F54" t="s">
        <v>851</v>
      </c>
      <c r="G54" t="s">
        <v>28</v>
      </c>
      <c r="H54" s="2">
        <v>45937</v>
      </c>
      <c r="I54" t="s">
        <v>57</v>
      </c>
      <c r="J54" t="s">
        <v>33</v>
      </c>
      <c r="K54" t="str">
        <f t="shared" ca="1" si="4"/>
        <v>OK</v>
      </c>
      <c r="L54" t="s">
        <v>852</v>
      </c>
      <c r="M54">
        <v>5</v>
      </c>
      <c r="N54" s="2">
        <v>46012</v>
      </c>
      <c r="O54" s="2">
        <v>46071</v>
      </c>
      <c r="P54" s="4">
        <f t="shared" ca="1" si="2"/>
        <v>0</v>
      </c>
      <c r="Q54" s="4" t="str">
        <f t="shared" ca="1" si="3"/>
        <v>0-2 Years</v>
      </c>
      <c r="R54">
        <f t="shared" ca="1" si="5"/>
        <v>1</v>
      </c>
      <c r="S54" t="s">
        <v>23</v>
      </c>
      <c r="T54">
        <v>4</v>
      </c>
      <c r="U54" t="s">
        <v>1394</v>
      </c>
      <c r="V54" t="s">
        <v>1396</v>
      </c>
      <c r="W54" t="s">
        <v>1394</v>
      </c>
      <c r="X54" s="3">
        <v>4</v>
      </c>
      <c r="Y54" t="s">
        <v>1395</v>
      </c>
      <c r="Z54">
        <v>49106</v>
      </c>
      <c r="AA54">
        <v>0.1</v>
      </c>
      <c r="AB54">
        <v>54016.600000000006</v>
      </c>
    </row>
    <row r="55" spans="1:28" x14ac:dyDescent="0.35">
      <c r="A55" t="str">
        <f t="shared" si="0"/>
        <v>EMP0054</v>
      </c>
      <c r="B55" t="str" cm="1">
        <f t="array" ref="B55">_xlfn.IFS(
ROW()&lt;=421,"NA",
ROW()&lt;=781,"LATAM",
ROW()&lt;=1021,"EMEA",
TRUE,"APAC"
)</f>
        <v>NA</v>
      </c>
      <c r="C55" t="str">
        <f t="shared" si="1"/>
        <v>USA</v>
      </c>
      <c r="D55" t="s">
        <v>41</v>
      </c>
      <c r="E55" t="s">
        <v>380</v>
      </c>
      <c r="F55" t="s">
        <v>429</v>
      </c>
      <c r="G55" t="s">
        <v>28</v>
      </c>
      <c r="H55" s="2">
        <v>45935</v>
      </c>
      <c r="I55" t="s">
        <v>29</v>
      </c>
      <c r="J55" t="s">
        <v>42</v>
      </c>
      <c r="K55" t="str">
        <f t="shared" ca="1" si="4"/>
        <v>OK</v>
      </c>
      <c r="L55" t="s">
        <v>1125</v>
      </c>
      <c r="M55">
        <v>5</v>
      </c>
      <c r="N55" s="2">
        <v>46055</v>
      </c>
      <c r="O55" s="2" t="s">
        <v>22</v>
      </c>
      <c r="P55" s="4">
        <f t="shared" ca="1" si="2"/>
        <v>0</v>
      </c>
      <c r="Q55" s="4" t="str">
        <f t="shared" ca="1" si="3"/>
        <v>0-2 Years</v>
      </c>
      <c r="R55">
        <f t="shared" ca="1" si="5"/>
        <v>1</v>
      </c>
      <c r="S55" t="s">
        <v>22</v>
      </c>
      <c r="T55">
        <v>5</v>
      </c>
      <c r="U55" t="s">
        <v>1394</v>
      </c>
      <c r="V55" t="s">
        <v>1394</v>
      </c>
      <c r="W55" t="s">
        <v>1394</v>
      </c>
      <c r="X55" s="3">
        <v>1</v>
      </c>
      <c r="Y55" t="s">
        <v>1397</v>
      </c>
      <c r="Z55">
        <v>37714</v>
      </c>
      <c r="AA55">
        <v>0.1</v>
      </c>
      <c r="AB55">
        <v>41485.4</v>
      </c>
    </row>
    <row r="56" spans="1:28" x14ac:dyDescent="0.35">
      <c r="A56" t="str">
        <f t="shared" si="0"/>
        <v>EMP0055</v>
      </c>
      <c r="B56" t="str" cm="1">
        <f t="array" ref="B56">_xlfn.IFS(
ROW()&lt;=421,"NA",
ROW()&lt;=781,"LATAM",
ROW()&lt;=1021,"EMEA",
TRUE,"APAC"
)</f>
        <v>NA</v>
      </c>
      <c r="C56" t="str">
        <f t="shared" si="1"/>
        <v>USA</v>
      </c>
      <c r="D56" t="s">
        <v>35</v>
      </c>
      <c r="E56" t="s">
        <v>380</v>
      </c>
      <c r="F56" t="s">
        <v>575</v>
      </c>
      <c r="G56" t="s">
        <v>53</v>
      </c>
      <c r="H56" s="2">
        <v>45934</v>
      </c>
      <c r="I56" t="s">
        <v>29</v>
      </c>
      <c r="J56" t="s">
        <v>36</v>
      </c>
      <c r="K56" t="str">
        <f t="shared" ca="1" si="4"/>
        <v>OK</v>
      </c>
      <c r="L56" t="s">
        <v>576</v>
      </c>
      <c r="M56">
        <v>5</v>
      </c>
      <c r="N56" s="2">
        <v>46047</v>
      </c>
      <c r="O56" s="2" t="s">
        <v>22</v>
      </c>
      <c r="P56" s="4">
        <f t="shared" ca="1" si="2"/>
        <v>0</v>
      </c>
      <c r="Q56" s="4" t="str">
        <f t="shared" ca="1" si="3"/>
        <v>0-2 Years</v>
      </c>
      <c r="R56">
        <f t="shared" ca="1" si="5"/>
        <v>1</v>
      </c>
      <c r="S56" t="s">
        <v>22</v>
      </c>
      <c r="T56">
        <v>4</v>
      </c>
      <c r="U56" t="s">
        <v>1394</v>
      </c>
      <c r="V56" t="s">
        <v>1394</v>
      </c>
      <c r="W56" t="s">
        <v>1394</v>
      </c>
      <c r="X56" s="3">
        <v>1</v>
      </c>
      <c r="Y56" t="s">
        <v>1397</v>
      </c>
      <c r="Z56">
        <v>43274</v>
      </c>
      <c r="AA56">
        <v>0.1</v>
      </c>
      <c r="AB56">
        <v>47601.4</v>
      </c>
    </row>
    <row r="57" spans="1:28" x14ac:dyDescent="0.35">
      <c r="A57" t="str">
        <f t="shared" si="0"/>
        <v>EMP0056</v>
      </c>
      <c r="B57" t="str" cm="1">
        <f t="array" ref="B57">_xlfn.IFS(
ROW()&lt;=421,"NA",
ROW()&lt;=781,"LATAM",
ROW()&lt;=1021,"EMEA",
TRUE,"APAC"
)</f>
        <v>NA</v>
      </c>
      <c r="C57" t="str">
        <f t="shared" si="1"/>
        <v>USA</v>
      </c>
      <c r="D57" t="s">
        <v>32</v>
      </c>
      <c r="E57" t="s">
        <v>380</v>
      </c>
      <c r="F57" t="s">
        <v>839</v>
      </c>
      <c r="G57" t="s">
        <v>28</v>
      </c>
      <c r="H57" s="2">
        <v>45934</v>
      </c>
      <c r="I57" t="s">
        <v>29</v>
      </c>
      <c r="J57" t="s">
        <v>33</v>
      </c>
      <c r="K57" t="str">
        <f t="shared" ca="1" si="4"/>
        <v>OK</v>
      </c>
      <c r="L57" t="s">
        <v>840</v>
      </c>
      <c r="M57">
        <v>5</v>
      </c>
      <c r="N57" s="2">
        <v>45994</v>
      </c>
      <c r="O57" s="2" t="s">
        <v>22</v>
      </c>
      <c r="P57" s="4">
        <f t="shared" ca="1" si="2"/>
        <v>0</v>
      </c>
      <c r="Q57" s="4" t="str">
        <f t="shared" ca="1" si="3"/>
        <v>0-2 Years</v>
      </c>
      <c r="R57">
        <f t="shared" ca="1" si="5"/>
        <v>1</v>
      </c>
      <c r="S57" t="s">
        <v>22</v>
      </c>
      <c r="T57">
        <v>4</v>
      </c>
      <c r="U57" t="s">
        <v>1394</v>
      </c>
      <c r="V57" t="s">
        <v>1394</v>
      </c>
      <c r="W57" t="s">
        <v>1394</v>
      </c>
      <c r="X57" s="3">
        <v>5</v>
      </c>
      <c r="Y57" t="s">
        <v>1395</v>
      </c>
      <c r="Z57">
        <v>35460</v>
      </c>
      <c r="AA57">
        <v>0.1</v>
      </c>
      <c r="AB57">
        <v>39006</v>
      </c>
    </row>
    <row r="58" spans="1:28" x14ac:dyDescent="0.35">
      <c r="A58" t="str">
        <f t="shared" si="0"/>
        <v>EMP0057</v>
      </c>
      <c r="B58" t="str" cm="1">
        <f t="array" ref="B58">_xlfn.IFS(
ROW()&lt;=421,"NA",
ROW()&lt;=781,"LATAM",
ROW()&lt;=1021,"EMEA",
TRUE,"APAC"
)</f>
        <v>NA</v>
      </c>
      <c r="C58" t="str">
        <f t="shared" si="1"/>
        <v>USA</v>
      </c>
      <c r="D58" t="s">
        <v>41</v>
      </c>
      <c r="E58" t="s">
        <v>380</v>
      </c>
      <c r="F58" t="s">
        <v>444</v>
      </c>
      <c r="G58" t="s">
        <v>28</v>
      </c>
      <c r="H58" s="2">
        <v>45934</v>
      </c>
      <c r="I58" t="s">
        <v>29</v>
      </c>
      <c r="J58" t="s">
        <v>42</v>
      </c>
      <c r="K58" t="str">
        <f t="shared" ca="1" si="4"/>
        <v>OK</v>
      </c>
      <c r="L58" t="s">
        <v>259</v>
      </c>
      <c r="M58">
        <v>5</v>
      </c>
      <c r="N58" s="2">
        <v>46042</v>
      </c>
      <c r="O58" s="2" t="s">
        <v>22</v>
      </c>
      <c r="P58" s="4">
        <f t="shared" ca="1" si="2"/>
        <v>0</v>
      </c>
      <c r="Q58" s="4" t="str">
        <f t="shared" ca="1" si="3"/>
        <v>0-2 Years</v>
      </c>
      <c r="R58">
        <f t="shared" ca="1" si="5"/>
        <v>1</v>
      </c>
      <c r="S58" t="s">
        <v>22</v>
      </c>
      <c r="T58">
        <v>3</v>
      </c>
      <c r="U58" t="s">
        <v>1394</v>
      </c>
      <c r="V58" t="s">
        <v>1394</v>
      </c>
      <c r="W58" t="s">
        <v>1394</v>
      </c>
      <c r="X58" s="3">
        <v>1</v>
      </c>
      <c r="Y58" t="s">
        <v>1397</v>
      </c>
      <c r="Z58">
        <v>30761</v>
      </c>
      <c r="AA58">
        <v>0.1</v>
      </c>
      <c r="AB58">
        <v>33837.100000000006</v>
      </c>
    </row>
    <row r="59" spans="1:28" x14ac:dyDescent="0.35">
      <c r="A59" t="str">
        <f t="shared" si="0"/>
        <v>EMP0058</v>
      </c>
      <c r="B59" t="str" cm="1">
        <f t="array" ref="B59">_xlfn.IFS(
ROW()&lt;=421,"NA",
ROW()&lt;=781,"LATAM",
ROW()&lt;=1021,"EMEA",
TRUE,"APAC"
)</f>
        <v>NA</v>
      </c>
      <c r="C59" t="str">
        <f t="shared" si="1"/>
        <v>USA</v>
      </c>
      <c r="D59" t="s">
        <v>26</v>
      </c>
      <c r="E59" t="s">
        <v>380</v>
      </c>
      <c r="F59" t="s">
        <v>722</v>
      </c>
      <c r="G59" t="s">
        <v>28</v>
      </c>
      <c r="H59" s="2">
        <v>45932</v>
      </c>
      <c r="I59" t="s">
        <v>29</v>
      </c>
      <c r="J59" t="s">
        <v>30</v>
      </c>
      <c r="K59" t="str">
        <f t="shared" ca="1" si="4"/>
        <v>OK</v>
      </c>
      <c r="L59" t="s">
        <v>986</v>
      </c>
      <c r="M59">
        <v>5</v>
      </c>
      <c r="N59" s="2">
        <v>46036</v>
      </c>
      <c r="O59" s="2" t="s">
        <v>22</v>
      </c>
      <c r="P59" s="4">
        <f t="shared" ca="1" si="2"/>
        <v>0</v>
      </c>
      <c r="Q59" s="4" t="str">
        <f t="shared" ca="1" si="3"/>
        <v>0-2 Years</v>
      </c>
      <c r="R59">
        <f t="shared" ca="1" si="5"/>
        <v>1</v>
      </c>
      <c r="S59" t="s">
        <v>22</v>
      </c>
      <c r="T59">
        <v>4</v>
      </c>
      <c r="U59" t="s">
        <v>1394</v>
      </c>
      <c r="V59" t="s">
        <v>1394</v>
      </c>
      <c r="W59" t="s">
        <v>1394</v>
      </c>
      <c r="X59" s="3">
        <v>2</v>
      </c>
      <c r="Y59" t="s">
        <v>1397</v>
      </c>
      <c r="Z59">
        <v>22644</v>
      </c>
      <c r="AA59">
        <v>0.1</v>
      </c>
      <c r="AB59">
        <v>24908.400000000001</v>
      </c>
    </row>
    <row r="60" spans="1:28" x14ac:dyDescent="0.35">
      <c r="A60" t="str">
        <f t="shared" si="0"/>
        <v>EMP0059</v>
      </c>
      <c r="B60" t="str" cm="1">
        <f t="array" ref="B60">_xlfn.IFS(
ROW()&lt;=421,"NA",
ROW()&lt;=781,"LATAM",
ROW()&lt;=1021,"EMEA",
TRUE,"APAC"
)</f>
        <v>NA</v>
      </c>
      <c r="C60" t="str">
        <f t="shared" si="1"/>
        <v>USA</v>
      </c>
      <c r="D60" t="s">
        <v>38</v>
      </c>
      <c r="E60" t="s">
        <v>145</v>
      </c>
      <c r="F60" t="s">
        <v>282</v>
      </c>
      <c r="G60" t="s">
        <v>53</v>
      </c>
      <c r="H60" s="2">
        <v>45926</v>
      </c>
      <c r="I60" t="s">
        <v>29</v>
      </c>
      <c r="J60" t="s">
        <v>39</v>
      </c>
      <c r="K60" t="str">
        <f t="shared" ca="1" si="4"/>
        <v>OK</v>
      </c>
      <c r="L60" t="s">
        <v>301</v>
      </c>
      <c r="M60">
        <v>4</v>
      </c>
      <c r="N60" s="2">
        <v>46025</v>
      </c>
      <c r="O60" s="2" t="s">
        <v>22</v>
      </c>
      <c r="P60" s="4">
        <f t="shared" ca="1" si="2"/>
        <v>0</v>
      </c>
      <c r="Q60" s="4" t="str">
        <f t="shared" ca="1" si="3"/>
        <v>0-2 Years</v>
      </c>
      <c r="R60">
        <f t="shared" ca="1" si="5"/>
        <v>1</v>
      </c>
      <c r="S60" t="s">
        <v>22</v>
      </c>
      <c r="T60">
        <v>4</v>
      </c>
      <c r="U60" t="s">
        <v>1394</v>
      </c>
      <c r="V60" t="s">
        <v>1396</v>
      </c>
      <c r="W60" t="s">
        <v>1396</v>
      </c>
      <c r="X60" s="3">
        <v>3</v>
      </c>
      <c r="Y60" t="s">
        <v>1398</v>
      </c>
      <c r="Z60">
        <v>83295</v>
      </c>
      <c r="AA60">
        <v>0.15</v>
      </c>
      <c r="AB60">
        <v>95789.249999999985</v>
      </c>
    </row>
    <row r="61" spans="1:28" x14ac:dyDescent="0.35">
      <c r="A61" t="str">
        <f t="shared" si="0"/>
        <v>EMP0060</v>
      </c>
      <c r="B61" t="str" cm="1">
        <f t="array" ref="B61">_xlfn.IFS(
ROW()&lt;=421,"NA",
ROW()&lt;=781,"LATAM",
ROW()&lt;=1021,"EMEA",
TRUE,"APAC"
)</f>
        <v>NA</v>
      </c>
      <c r="C61" t="str">
        <f t="shared" si="1"/>
        <v>USA</v>
      </c>
      <c r="D61" t="s">
        <v>44</v>
      </c>
      <c r="E61" t="s">
        <v>380</v>
      </c>
      <c r="F61" t="s">
        <v>611</v>
      </c>
      <c r="G61" t="s">
        <v>28</v>
      </c>
      <c r="H61" s="2">
        <v>45924</v>
      </c>
      <c r="I61" t="s">
        <v>29</v>
      </c>
      <c r="J61" t="s">
        <v>47</v>
      </c>
      <c r="K61" t="str">
        <f t="shared" ca="1" si="4"/>
        <v>OK</v>
      </c>
      <c r="L61" t="s">
        <v>1077</v>
      </c>
      <c r="M61">
        <v>5</v>
      </c>
      <c r="N61" s="2">
        <v>46012</v>
      </c>
      <c r="O61" s="2" t="s">
        <v>22</v>
      </c>
      <c r="P61" s="4">
        <f t="shared" ca="1" si="2"/>
        <v>0</v>
      </c>
      <c r="Q61" s="4" t="str">
        <f t="shared" ca="1" si="3"/>
        <v>0-2 Years</v>
      </c>
      <c r="R61">
        <f t="shared" ca="1" si="5"/>
        <v>1</v>
      </c>
      <c r="S61" t="s">
        <v>22</v>
      </c>
      <c r="T61">
        <v>3</v>
      </c>
      <c r="U61" t="s">
        <v>1396</v>
      </c>
      <c r="V61" t="s">
        <v>1394</v>
      </c>
      <c r="W61" t="s">
        <v>1394</v>
      </c>
      <c r="X61" s="3">
        <v>5</v>
      </c>
      <c r="Y61" t="s">
        <v>1395</v>
      </c>
      <c r="Z61">
        <v>46683</v>
      </c>
      <c r="AA61">
        <v>0.1</v>
      </c>
      <c r="AB61">
        <v>51351.3</v>
      </c>
    </row>
    <row r="62" spans="1:28" x14ac:dyDescent="0.35">
      <c r="A62" t="str">
        <f t="shared" si="0"/>
        <v>EMP0061</v>
      </c>
      <c r="B62" t="str" cm="1">
        <f t="array" ref="B62">_xlfn.IFS(
ROW()&lt;=421,"NA",
ROW()&lt;=781,"LATAM",
ROW()&lt;=1021,"EMEA",
TRUE,"APAC"
)</f>
        <v>NA</v>
      </c>
      <c r="C62" t="str">
        <f t="shared" si="1"/>
        <v>USA</v>
      </c>
      <c r="D62" t="s">
        <v>44</v>
      </c>
      <c r="E62" t="s">
        <v>380</v>
      </c>
      <c r="F62" t="s">
        <v>562</v>
      </c>
      <c r="G62" t="s">
        <v>28</v>
      </c>
      <c r="H62" s="2">
        <v>45922</v>
      </c>
      <c r="I62" t="s">
        <v>57</v>
      </c>
      <c r="J62" t="s">
        <v>47</v>
      </c>
      <c r="K62" t="str">
        <f t="shared" ca="1" si="4"/>
        <v>OK</v>
      </c>
      <c r="L62" t="s">
        <v>1298</v>
      </c>
      <c r="M62">
        <v>5</v>
      </c>
      <c r="N62" s="2">
        <v>46056</v>
      </c>
      <c r="O62" s="2">
        <v>46071</v>
      </c>
      <c r="P62" s="4">
        <f t="shared" ca="1" si="2"/>
        <v>0</v>
      </c>
      <c r="Q62" s="4" t="str">
        <f t="shared" ca="1" si="3"/>
        <v>0-2 Years</v>
      </c>
      <c r="R62">
        <f t="shared" ca="1" si="5"/>
        <v>1</v>
      </c>
      <c r="S62" t="s">
        <v>23</v>
      </c>
      <c r="T62">
        <v>4</v>
      </c>
      <c r="U62" t="s">
        <v>1394</v>
      </c>
      <c r="V62" t="s">
        <v>1394</v>
      </c>
      <c r="W62" t="s">
        <v>1394</v>
      </c>
      <c r="X62" s="3">
        <v>3</v>
      </c>
      <c r="Y62" t="s">
        <v>1398</v>
      </c>
      <c r="Z62">
        <v>38027</v>
      </c>
      <c r="AA62">
        <v>0.1</v>
      </c>
      <c r="AB62">
        <v>41829.700000000004</v>
      </c>
    </row>
    <row r="63" spans="1:28" x14ac:dyDescent="0.35">
      <c r="A63" t="str">
        <f t="shared" si="0"/>
        <v>EMP0062</v>
      </c>
      <c r="B63" t="str" cm="1">
        <f t="array" ref="B63">_xlfn.IFS(
ROW()&lt;=421,"NA",
ROW()&lt;=781,"LATAM",
ROW()&lt;=1021,"EMEA",
TRUE,"APAC"
)</f>
        <v>NA</v>
      </c>
      <c r="C63" t="str">
        <f t="shared" si="1"/>
        <v>USA</v>
      </c>
      <c r="D63" t="s">
        <v>44</v>
      </c>
      <c r="E63" t="s">
        <v>380</v>
      </c>
      <c r="F63" t="s">
        <v>490</v>
      </c>
      <c r="G63" t="s">
        <v>28</v>
      </c>
      <c r="H63" s="2">
        <v>45919</v>
      </c>
      <c r="I63" t="s">
        <v>29</v>
      </c>
      <c r="J63" t="s">
        <v>47</v>
      </c>
      <c r="K63" t="str">
        <f t="shared" ca="1" si="4"/>
        <v>OK</v>
      </c>
      <c r="L63" t="s">
        <v>849</v>
      </c>
      <c r="M63">
        <v>5</v>
      </c>
      <c r="N63" s="2">
        <v>46017</v>
      </c>
      <c r="O63" s="2" t="s">
        <v>22</v>
      </c>
      <c r="P63" s="4">
        <f t="shared" ca="1" si="2"/>
        <v>0</v>
      </c>
      <c r="Q63" s="4" t="str">
        <f t="shared" ca="1" si="3"/>
        <v>0-2 Years</v>
      </c>
      <c r="R63">
        <f t="shared" ca="1" si="5"/>
        <v>1</v>
      </c>
      <c r="S63" t="s">
        <v>22</v>
      </c>
      <c r="T63">
        <v>2</v>
      </c>
      <c r="U63" t="s">
        <v>1396</v>
      </c>
      <c r="V63" t="s">
        <v>1394</v>
      </c>
      <c r="W63" t="s">
        <v>1394</v>
      </c>
      <c r="X63" s="3">
        <v>1</v>
      </c>
      <c r="Y63" t="s">
        <v>1397</v>
      </c>
      <c r="Z63">
        <v>33294</v>
      </c>
      <c r="AA63">
        <v>0.1</v>
      </c>
      <c r="AB63">
        <v>36623.4</v>
      </c>
    </row>
    <row r="64" spans="1:28" x14ac:dyDescent="0.35">
      <c r="A64" t="str">
        <f t="shared" si="0"/>
        <v>EMP0063</v>
      </c>
      <c r="B64" t="str" cm="1">
        <f t="array" ref="B64">_xlfn.IFS(
ROW()&lt;=421,"NA",
ROW()&lt;=781,"LATAM",
ROW()&lt;=1021,"EMEA",
TRUE,"APAC"
)</f>
        <v>NA</v>
      </c>
      <c r="C64" t="str">
        <f t="shared" si="1"/>
        <v>USA</v>
      </c>
      <c r="D64" t="s">
        <v>35</v>
      </c>
      <c r="E64" t="s">
        <v>380</v>
      </c>
      <c r="F64" t="s">
        <v>603</v>
      </c>
      <c r="G64" t="s">
        <v>28</v>
      </c>
      <c r="H64" s="2">
        <v>45919</v>
      </c>
      <c r="I64" t="s">
        <v>29</v>
      </c>
      <c r="J64" t="s">
        <v>36</v>
      </c>
      <c r="K64" t="str">
        <f t="shared" ca="1" si="4"/>
        <v>OK</v>
      </c>
      <c r="L64" t="s">
        <v>1032</v>
      </c>
      <c r="M64">
        <v>5</v>
      </c>
      <c r="N64" s="2">
        <v>46060</v>
      </c>
      <c r="O64" s="2" t="s">
        <v>22</v>
      </c>
      <c r="P64" s="4">
        <f t="shared" ca="1" si="2"/>
        <v>0</v>
      </c>
      <c r="Q64" s="4" t="str">
        <f t="shared" ca="1" si="3"/>
        <v>0-2 Years</v>
      </c>
      <c r="R64">
        <f t="shared" ca="1" si="5"/>
        <v>1</v>
      </c>
      <c r="S64" t="s">
        <v>22</v>
      </c>
      <c r="T64">
        <v>4</v>
      </c>
      <c r="U64" t="s">
        <v>1394</v>
      </c>
      <c r="V64" t="s">
        <v>1396</v>
      </c>
      <c r="W64" t="s">
        <v>1394</v>
      </c>
      <c r="X64" s="3">
        <v>4</v>
      </c>
      <c r="Y64" t="s">
        <v>1395</v>
      </c>
      <c r="Z64">
        <v>31289</v>
      </c>
      <c r="AA64">
        <v>0.1</v>
      </c>
      <c r="AB64">
        <v>34417.9</v>
      </c>
    </row>
    <row r="65" spans="1:28" x14ac:dyDescent="0.35">
      <c r="A65" t="str">
        <f t="shared" si="0"/>
        <v>EMP0064</v>
      </c>
      <c r="B65" t="str" cm="1">
        <f t="array" ref="B65">_xlfn.IFS(
ROW()&lt;=421,"NA",
ROW()&lt;=781,"LATAM",
ROW()&lt;=1021,"EMEA",
TRUE,"APAC"
)</f>
        <v>NA</v>
      </c>
      <c r="C65" t="str">
        <f t="shared" si="1"/>
        <v>USA</v>
      </c>
      <c r="D65" t="s">
        <v>26</v>
      </c>
      <c r="E65" t="s">
        <v>69</v>
      </c>
      <c r="F65" t="s">
        <v>86</v>
      </c>
      <c r="G65" t="s">
        <v>28</v>
      </c>
      <c r="H65" s="2">
        <v>45917</v>
      </c>
      <c r="I65" t="s">
        <v>29</v>
      </c>
      <c r="J65" t="s">
        <v>30</v>
      </c>
      <c r="K65" t="str">
        <f t="shared" ca="1" si="4"/>
        <v>OK</v>
      </c>
      <c r="L65" t="s">
        <v>97</v>
      </c>
      <c r="M65">
        <v>3</v>
      </c>
      <c r="N65" s="2">
        <v>46003</v>
      </c>
      <c r="O65" s="2" t="s">
        <v>22</v>
      </c>
      <c r="P65" s="4">
        <f t="shared" ca="1" si="2"/>
        <v>0</v>
      </c>
      <c r="Q65" s="4" t="str">
        <f t="shared" ca="1" si="3"/>
        <v>0-2 Years</v>
      </c>
      <c r="R65">
        <f t="shared" ca="1" si="5"/>
        <v>1</v>
      </c>
      <c r="S65" t="s">
        <v>22</v>
      </c>
      <c r="T65">
        <v>4</v>
      </c>
      <c r="U65" t="s">
        <v>1394</v>
      </c>
      <c r="V65" t="s">
        <v>1394</v>
      </c>
      <c r="W65" t="s">
        <v>1394</v>
      </c>
      <c r="X65" s="3">
        <v>4</v>
      </c>
      <c r="Y65" t="s">
        <v>1395</v>
      </c>
      <c r="Z65">
        <v>99185</v>
      </c>
      <c r="AA65">
        <v>0.2</v>
      </c>
      <c r="AB65">
        <v>119022</v>
      </c>
    </row>
    <row r="66" spans="1:28" x14ac:dyDescent="0.35">
      <c r="A66" t="str">
        <f t="shared" ref="A66:A129" si="6">"EMP"&amp;TEXT(ROW()-1,"0000")</f>
        <v>EMP0065</v>
      </c>
      <c r="B66" t="str" cm="1">
        <f t="array" ref="B66">_xlfn.IFS(
ROW()&lt;=421,"NA",
ROW()&lt;=781,"LATAM",
ROW()&lt;=1021,"EMEA",
TRUE,"APAC"
)</f>
        <v>NA</v>
      </c>
      <c r="C66" t="str">
        <f t="shared" ref="C66:C129" si="7">IF(B66="NA","USA",
IF(B66="LATAM","Mexico",
IF(B66="EMEA","Germany","Singapore")))</f>
        <v>USA</v>
      </c>
      <c r="D66" t="s">
        <v>26</v>
      </c>
      <c r="E66" t="s">
        <v>380</v>
      </c>
      <c r="F66" t="s">
        <v>466</v>
      </c>
      <c r="G66" t="s">
        <v>28</v>
      </c>
      <c r="H66" s="2">
        <v>45915</v>
      </c>
      <c r="I66" t="s">
        <v>29</v>
      </c>
      <c r="J66" t="s">
        <v>30</v>
      </c>
      <c r="K66" t="str">
        <f t="shared" ca="1" si="4"/>
        <v>OK</v>
      </c>
      <c r="L66" t="s">
        <v>467</v>
      </c>
      <c r="M66">
        <v>5</v>
      </c>
      <c r="N66" s="2">
        <v>46058</v>
      </c>
      <c r="O66" s="2" t="s">
        <v>22</v>
      </c>
      <c r="P66" s="4">
        <f t="shared" ref="P66:P129" ca="1" si="8">IF(H66&gt;TODAY(),
"",
IF(I66="Active",
DATEDIF(H66,TODAY(),"Y"),
DATEDIF(H66,O66,"Y")
))</f>
        <v>0</v>
      </c>
      <c r="Q66" s="4" t="str">
        <f t="shared" ref="Q66:Q129" ca="1" si="9">IF(P66&lt;=2,"0-2 Years",
IF(P66&lt;=5,"3-5 Years",
IF(P66&lt;=10,"6-10 Years","10+ Years")))</f>
        <v>0-2 Years</v>
      </c>
      <c r="R66">
        <f t="shared" ca="1" si="5"/>
        <v>1</v>
      </c>
      <c r="S66" t="s">
        <v>22</v>
      </c>
      <c r="T66">
        <v>5</v>
      </c>
      <c r="U66" t="s">
        <v>1396</v>
      </c>
      <c r="V66" t="s">
        <v>1394</v>
      </c>
      <c r="W66" t="s">
        <v>1394</v>
      </c>
      <c r="X66" s="3">
        <v>2</v>
      </c>
      <c r="Y66" t="s">
        <v>1397</v>
      </c>
      <c r="Z66">
        <v>33716</v>
      </c>
      <c r="AA66">
        <v>0.1</v>
      </c>
      <c r="AB66">
        <v>37087.600000000006</v>
      </c>
    </row>
    <row r="67" spans="1:28" x14ac:dyDescent="0.35">
      <c r="A67" t="str">
        <f t="shared" si="6"/>
        <v>EMP0066</v>
      </c>
      <c r="B67" t="str" cm="1">
        <f t="array" ref="B67">_xlfn.IFS(
ROW()&lt;=421,"NA",
ROW()&lt;=781,"LATAM",
ROW()&lt;=1021,"EMEA",
TRUE,"APAC"
)</f>
        <v>NA</v>
      </c>
      <c r="C67" t="str">
        <f t="shared" si="7"/>
        <v>USA</v>
      </c>
      <c r="D67" t="s">
        <v>44</v>
      </c>
      <c r="E67" t="s">
        <v>145</v>
      </c>
      <c r="F67" t="s">
        <v>194</v>
      </c>
      <c r="G67" t="s">
        <v>28</v>
      </c>
      <c r="H67" s="2">
        <v>45914</v>
      </c>
      <c r="I67" t="s">
        <v>29</v>
      </c>
      <c r="J67" t="s">
        <v>47</v>
      </c>
      <c r="K67" t="str">
        <f t="shared" ref="K67:K130" ca="1" si="10">IF(
OR(
H67="",
I67="",
AND(I67="Inactive",O67=""),
H67&gt;TODAY(),
Z67="",
F67="",
D67="",
X67&lt;1
),
"⚠ Review",
"OK"
)</f>
        <v>OK</v>
      </c>
      <c r="L67" t="s">
        <v>195</v>
      </c>
      <c r="M67">
        <v>4</v>
      </c>
      <c r="N67" s="2">
        <v>46004</v>
      </c>
      <c r="O67" s="2" t="s">
        <v>22</v>
      </c>
      <c r="P67" s="4">
        <f t="shared" ca="1" si="8"/>
        <v>0</v>
      </c>
      <c r="Q67" s="4" t="str">
        <f t="shared" ca="1" si="9"/>
        <v>0-2 Years</v>
      </c>
      <c r="R67">
        <f t="shared" ref="R67:R130" ca="1" si="11">IF(P67&lt;=2,1,0)</f>
        <v>1</v>
      </c>
      <c r="S67" t="s">
        <v>22</v>
      </c>
      <c r="T67">
        <v>5</v>
      </c>
      <c r="U67" t="s">
        <v>1394</v>
      </c>
      <c r="V67" t="s">
        <v>1394</v>
      </c>
      <c r="W67" t="s">
        <v>1394</v>
      </c>
      <c r="X67" s="3">
        <v>3</v>
      </c>
      <c r="Y67" t="s">
        <v>1398</v>
      </c>
      <c r="Z67">
        <v>86670</v>
      </c>
      <c r="AA67">
        <v>0.15</v>
      </c>
      <c r="AB67">
        <v>99670.499999999985</v>
      </c>
    </row>
    <row r="68" spans="1:28" x14ac:dyDescent="0.35">
      <c r="A68" t="str">
        <f t="shared" si="6"/>
        <v>EMP0067</v>
      </c>
      <c r="B68" t="str" cm="1">
        <f t="array" ref="B68">_xlfn.IFS(
ROW()&lt;=421,"NA",
ROW()&lt;=781,"LATAM",
ROW()&lt;=1021,"EMEA",
TRUE,"APAC"
)</f>
        <v>NA</v>
      </c>
      <c r="C68" t="str">
        <f t="shared" si="7"/>
        <v>USA</v>
      </c>
      <c r="D68" t="s">
        <v>38</v>
      </c>
      <c r="E68" t="s">
        <v>380</v>
      </c>
      <c r="F68" t="s">
        <v>861</v>
      </c>
      <c r="G68" t="s">
        <v>28</v>
      </c>
      <c r="H68" s="2">
        <v>45913</v>
      </c>
      <c r="I68" t="s">
        <v>29</v>
      </c>
      <c r="J68" t="s">
        <v>39</v>
      </c>
      <c r="K68" t="str">
        <f t="shared" ca="1" si="10"/>
        <v>OK</v>
      </c>
      <c r="L68" t="s">
        <v>862</v>
      </c>
      <c r="M68">
        <v>5</v>
      </c>
      <c r="N68" s="2">
        <v>46066</v>
      </c>
      <c r="O68" s="2" t="s">
        <v>22</v>
      </c>
      <c r="P68" s="4">
        <f t="shared" ca="1" si="8"/>
        <v>0</v>
      </c>
      <c r="Q68" s="4" t="str">
        <f t="shared" ca="1" si="9"/>
        <v>0-2 Years</v>
      </c>
      <c r="R68">
        <f t="shared" ca="1" si="11"/>
        <v>1</v>
      </c>
      <c r="S68" t="s">
        <v>22</v>
      </c>
      <c r="T68">
        <v>4</v>
      </c>
      <c r="U68" t="s">
        <v>1396</v>
      </c>
      <c r="V68" t="s">
        <v>1394</v>
      </c>
      <c r="W68" t="s">
        <v>1394</v>
      </c>
      <c r="X68" s="3">
        <v>2</v>
      </c>
      <c r="Y68" t="s">
        <v>1397</v>
      </c>
      <c r="Z68">
        <v>38866</v>
      </c>
      <c r="AA68">
        <v>0.1</v>
      </c>
      <c r="AB68">
        <v>42752.600000000006</v>
      </c>
    </row>
    <row r="69" spans="1:28" x14ac:dyDescent="0.35">
      <c r="A69" t="str">
        <f t="shared" si="6"/>
        <v>EMP0068</v>
      </c>
      <c r="B69" t="str" cm="1">
        <f t="array" ref="B69">_xlfn.IFS(
ROW()&lt;=421,"NA",
ROW()&lt;=781,"LATAM",
ROW()&lt;=1021,"EMEA",
TRUE,"APAC"
)</f>
        <v>NA</v>
      </c>
      <c r="C69" t="str">
        <f t="shared" si="7"/>
        <v>USA</v>
      </c>
      <c r="D69" t="s">
        <v>35</v>
      </c>
      <c r="E69" t="s">
        <v>145</v>
      </c>
      <c r="F69" t="s">
        <v>255</v>
      </c>
      <c r="G69" t="s">
        <v>28</v>
      </c>
      <c r="H69" s="2">
        <v>45913</v>
      </c>
      <c r="I69" t="s">
        <v>29</v>
      </c>
      <c r="J69" t="s">
        <v>36</v>
      </c>
      <c r="K69" t="str">
        <f t="shared" ca="1" si="10"/>
        <v>OK</v>
      </c>
      <c r="L69" t="s">
        <v>280</v>
      </c>
      <c r="M69">
        <v>4</v>
      </c>
      <c r="N69" s="2">
        <v>46067</v>
      </c>
      <c r="O69" s="2" t="s">
        <v>22</v>
      </c>
      <c r="P69" s="4">
        <f t="shared" ca="1" si="8"/>
        <v>0</v>
      </c>
      <c r="Q69" s="4" t="str">
        <f t="shared" ca="1" si="9"/>
        <v>0-2 Years</v>
      </c>
      <c r="R69">
        <f t="shared" ca="1" si="11"/>
        <v>1</v>
      </c>
      <c r="S69" t="s">
        <v>22</v>
      </c>
      <c r="T69">
        <v>3</v>
      </c>
      <c r="U69" t="s">
        <v>1394</v>
      </c>
      <c r="V69" t="s">
        <v>1394</v>
      </c>
      <c r="W69" t="s">
        <v>1394</v>
      </c>
      <c r="X69" s="3">
        <v>1</v>
      </c>
      <c r="Y69" t="s">
        <v>1397</v>
      </c>
      <c r="Z69">
        <v>77627</v>
      </c>
      <c r="AA69">
        <v>0.15</v>
      </c>
      <c r="AB69">
        <v>89271.049999999988</v>
      </c>
    </row>
    <row r="70" spans="1:28" x14ac:dyDescent="0.35">
      <c r="A70" t="str">
        <f t="shared" si="6"/>
        <v>EMP0069</v>
      </c>
      <c r="B70" t="str" cm="1">
        <f t="array" ref="B70">_xlfn.IFS(
ROW()&lt;=421,"NA",
ROW()&lt;=781,"LATAM",
ROW()&lt;=1021,"EMEA",
TRUE,"APAC"
)</f>
        <v>NA</v>
      </c>
      <c r="C70" t="str">
        <f t="shared" si="7"/>
        <v>USA</v>
      </c>
      <c r="D70" t="s">
        <v>26</v>
      </c>
      <c r="E70" t="s">
        <v>380</v>
      </c>
      <c r="F70" t="s">
        <v>524</v>
      </c>
      <c r="G70" t="s">
        <v>28</v>
      </c>
      <c r="H70" s="2">
        <v>45912</v>
      </c>
      <c r="I70" t="s">
        <v>29</v>
      </c>
      <c r="J70" t="s">
        <v>30</v>
      </c>
      <c r="K70" t="str">
        <f t="shared" ca="1" si="10"/>
        <v>OK</v>
      </c>
      <c r="L70" t="s">
        <v>871</v>
      </c>
      <c r="M70">
        <v>5</v>
      </c>
      <c r="N70" s="2">
        <v>45997</v>
      </c>
      <c r="O70" s="2" t="s">
        <v>22</v>
      </c>
      <c r="P70" s="4">
        <f t="shared" ca="1" si="8"/>
        <v>0</v>
      </c>
      <c r="Q70" s="4" t="str">
        <f t="shared" ca="1" si="9"/>
        <v>0-2 Years</v>
      </c>
      <c r="R70">
        <f t="shared" ca="1" si="11"/>
        <v>1</v>
      </c>
      <c r="S70" t="s">
        <v>22</v>
      </c>
      <c r="T70">
        <v>3</v>
      </c>
      <c r="U70" t="s">
        <v>1394</v>
      </c>
      <c r="V70" t="s">
        <v>1394</v>
      </c>
      <c r="W70" t="s">
        <v>1394</v>
      </c>
      <c r="X70" s="3">
        <v>2</v>
      </c>
      <c r="Y70" t="s">
        <v>1397</v>
      </c>
      <c r="Z70">
        <v>41612</v>
      </c>
      <c r="AA70">
        <v>0.1</v>
      </c>
      <c r="AB70">
        <v>45773.200000000004</v>
      </c>
    </row>
    <row r="71" spans="1:28" x14ac:dyDescent="0.35">
      <c r="A71" t="str">
        <f t="shared" si="6"/>
        <v>EMP0070</v>
      </c>
      <c r="B71" t="str" cm="1">
        <f t="array" ref="B71">_xlfn.IFS(
ROW()&lt;=421,"NA",
ROW()&lt;=781,"LATAM",
ROW()&lt;=1021,"EMEA",
TRUE,"APAC"
)</f>
        <v>NA</v>
      </c>
      <c r="C71" t="str">
        <f t="shared" si="7"/>
        <v>USA</v>
      </c>
      <c r="D71" t="s">
        <v>32</v>
      </c>
      <c r="E71" t="s">
        <v>380</v>
      </c>
      <c r="F71" t="s">
        <v>447</v>
      </c>
      <c r="G71" t="s">
        <v>28</v>
      </c>
      <c r="H71" s="2">
        <v>45910</v>
      </c>
      <c r="I71" t="s">
        <v>29</v>
      </c>
      <c r="J71" t="s">
        <v>33</v>
      </c>
      <c r="K71" t="str">
        <f t="shared" ca="1" si="10"/>
        <v>OK</v>
      </c>
      <c r="L71" t="s">
        <v>478</v>
      </c>
      <c r="M71">
        <v>5</v>
      </c>
      <c r="N71" s="2">
        <v>46062</v>
      </c>
      <c r="O71" s="2" t="s">
        <v>22</v>
      </c>
      <c r="P71" s="4">
        <f t="shared" ca="1" si="8"/>
        <v>0</v>
      </c>
      <c r="Q71" s="4" t="str">
        <f t="shared" ca="1" si="9"/>
        <v>0-2 Years</v>
      </c>
      <c r="R71">
        <f t="shared" ca="1" si="11"/>
        <v>1</v>
      </c>
      <c r="S71" t="s">
        <v>22</v>
      </c>
      <c r="T71">
        <v>3</v>
      </c>
      <c r="U71" t="s">
        <v>1394</v>
      </c>
      <c r="V71" t="s">
        <v>1394</v>
      </c>
      <c r="W71" t="s">
        <v>1394</v>
      </c>
      <c r="X71" s="3">
        <v>5</v>
      </c>
      <c r="Y71" t="s">
        <v>1395</v>
      </c>
      <c r="Z71">
        <v>25571</v>
      </c>
      <c r="AA71">
        <v>0.1</v>
      </c>
      <c r="AB71">
        <v>28128.100000000002</v>
      </c>
    </row>
    <row r="72" spans="1:28" x14ac:dyDescent="0.35">
      <c r="A72" t="str">
        <f t="shared" si="6"/>
        <v>EMP0071</v>
      </c>
      <c r="B72" t="str" cm="1">
        <f t="array" ref="B72">_xlfn.IFS(
ROW()&lt;=421,"NA",
ROW()&lt;=781,"LATAM",
ROW()&lt;=1021,"EMEA",
TRUE,"APAC"
)</f>
        <v>NA</v>
      </c>
      <c r="C72" t="str">
        <f t="shared" si="7"/>
        <v>USA</v>
      </c>
      <c r="D72" t="s">
        <v>44</v>
      </c>
      <c r="E72" t="s">
        <v>380</v>
      </c>
      <c r="F72" t="s">
        <v>385</v>
      </c>
      <c r="G72" t="s">
        <v>53</v>
      </c>
      <c r="H72" s="2">
        <v>45910</v>
      </c>
      <c r="I72" t="s">
        <v>29</v>
      </c>
      <c r="J72" t="s">
        <v>47</v>
      </c>
      <c r="K72" t="str">
        <f t="shared" ca="1" si="10"/>
        <v>OK</v>
      </c>
      <c r="L72" t="s">
        <v>1008</v>
      </c>
      <c r="M72">
        <v>5</v>
      </c>
      <c r="N72" s="2">
        <v>46078</v>
      </c>
      <c r="O72" s="2" t="s">
        <v>22</v>
      </c>
      <c r="P72" s="4">
        <f t="shared" ca="1" si="8"/>
        <v>0</v>
      </c>
      <c r="Q72" s="4" t="str">
        <f t="shared" ca="1" si="9"/>
        <v>0-2 Years</v>
      </c>
      <c r="R72">
        <f t="shared" ca="1" si="11"/>
        <v>1</v>
      </c>
      <c r="S72" t="s">
        <v>22</v>
      </c>
      <c r="T72">
        <v>3</v>
      </c>
      <c r="U72" t="s">
        <v>1396</v>
      </c>
      <c r="V72" t="s">
        <v>1394</v>
      </c>
      <c r="W72" t="s">
        <v>1394</v>
      </c>
      <c r="X72" s="3">
        <v>5</v>
      </c>
      <c r="Y72" t="s">
        <v>1395</v>
      </c>
      <c r="Z72">
        <v>30605</v>
      </c>
      <c r="AA72">
        <v>0.1</v>
      </c>
      <c r="AB72">
        <v>33665.5</v>
      </c>
    </row>
    <row r="73" spans="1:28" x14ac:dyDescent="0.35">
      <c r="A73" t="str">
        <f t="shared" si="6"/>
        <v>EMP0072</v>
      </c>
      <c r="B73" t="str" cm="1">
        <f t="array" ref="B73">_xlfn.IFS(
ROW()&lt;=421,"NA",
ROW()&lt;=781,"LATAM",
ROW()&lt;=1021,"EMEA",
TRUE,"APAC"
)</f>
        <v>NA</v>
      </c>
      <c r="C73" t="str">
        <f t="shared" si="7"/>
        <v>USA</v>
      </c>
      <c r="D73" t="s">
        <v>35</v>
      </c>
      <c r="E73" t="s">
        <v>380</v>
      </c>
      <c r="F73" t="s">
        <v>508</v>
      </c>
      <c r="G73" t="s">
        <v>28</v>
      </c>
      <c r="H73" s="2">
        <v>45909</v>
      </c>
      <c r="I73" t="s">
        <v>29</v>
      </c>
      <c r="J73" t="s">
        <v>36</v>
      </c>
      <c r="K73" t="str">
        <f t="shared" ca="1" si="10"/>
        <v>OK</v>
      </c>
      <c r="L73" t="s">
        <v>509</v>
      </c>
      <c r="M73">
        <v>5</v>
      </c>
      <c r="N73" s="2">
        <v>45996</v>
      </c>
      <c r="O73" s="2" t="s">
        <v>22</v>
      </c>
      <c r="P73" s="4">
        <f t="shared" ca="1" si="8"/>
        <v>0</v>
      </c>
      <c r="Q73" s="4" t="str">
        <f t="shared" ca="1" si="9"/>
        <v>0-2 Years</v>
      </c>
      <c r="R73">
        <f t="shared" ca="1" si="11"/>
        <v>1</v>
      </c>
      <c r="S73" t="s">
        <v>22</v>
      </c>
      <c r="T73">
        <v>4</v>
      </c>
      <c r="U73" t="s">
        <v>1394</v>
      </c>
      <c r="V73" t="s">
        <v>1396</v>
      </c>
      <c r="W73" t="s">
        <v>1396</v>
      </c>
      <c r="X73" s="3">
        <v>4</v>
      </c>
      <c r="Y73" t="s">
        <v>1395</v>
      </c>
      <c r="Z73">
        <v>30352</v>
      </c>
      <c r="AA73">
        <v>0.1</v>
      </c>
      <c r="AB73">
        <v>33387.200000000004</v>
      </c>
    </row>
    <row r="74" spans="1:28" x14ac:dyDescent="0.35">
      <c r="A74" t="str">
        <f t="shared" si="6"/>
        <v>EMP0073</v>
      </c>
      <c r="B74" t="str" cm="1">
        <f t="array" ref="B74">_xlfn.IFS(
ROW()&lt;=421,"NA",
ROW()&lt;=781,"LATAM",
ROW()&lt;=1021,"EMEA",
TRUE,"APAC"
)</f>
        <v>NA</v>
      </c>
      <c r="C74" t="str">
        <f t="shared" si="7"/>
        <v>USA</v>
      </c>
      <c r="D74" t="s">
        <v>38</v>
      </c>
      <c r="E74" t="s">
        <v>380</v>
      </c>
      <c r="F74" t="s">
        <v>395</v>
      </c>
      <c r="G74" t="s">
        <v>28</v>
      </c>
      <c r="H74" s="2">
        <v>45909</v>
      </c>
      <c r="I74" t="s">
        <v>29</v>
      </c>
      <c r="J74" t="s">
        <v>39</v>
      </c>
      <c r="K74" t="str">
        <f t="shared" ca="1" si="10"/>
        <v>OK</v>
      </c>
      <c r="L74" t="s">
        <v>396</v>
      </c>
      <c r="M74">
        <v>5</v>
      </c>
      <c r="N74" s="2">
        <v>46053</v>
      </c>
      <c r="O74" s="2" t="s">
        <v>22</v>
      </c>
      <c r="P74" s="4">
        <f t="shared" ca="1" si="8"/>
        <v>0</v>
      </c>
      <c r="Q74" s="4" t="str">
        <f t="shared" ca="1" si="9"/>
        <v>0-2 Years</v>
      </c>
      <c r="R74">
        <f t="shared" ca="1" si="11"/>
        <v>1</v>
      </c>
      <c r="S74" t="s">
        <v>22</v>
      </c>
      <c r="T74">
        <v>4</v>
      </c>
      <c r="U74" t="s">
        <v>1394</v>
      </c>
      <c r="V74" t="s">
        <v>1394</v>
      </c>
      <c r="W74" t="s">
        <v>1394</v>
      </c>
      <c r="X74" s="3">
        <v>5</v>
      </c>
      <c r="Y74" t="s">
        <v>1395</v>
      </c>
      <c r="Z74">
        <v>34311</v>
      </c>
      <c r="AA74">
        <v>0.1</v>
      </c>
      <c r="AB74">
        <v>37742.100000000006</v>
      </c>
    </row>
    <row r="75" spans="1:28" x14ac:dyDescent="0.35">
      <c r="A75" t="str">
        <f t="shared" si="6"/>
        <v>EMP0074</v>
      </c>
      <c r="B75" t="str" cm="1">
        <f t="array" ref="B75">_xlfn.IFS(
ROW()&lt;=421,"NA",
ROW()&lt;=781,"LATAM",
ROW()&lt;=1021,"EMEA",
TRUE,"APAC"
)</f>
        <v>NA</v>
      </c>
      <c r="C75" t="str">
        <f t="shared" si="7"/>
        <v>USA</v>
      </c>
      <c r="D75" t="s">
        <v>26</v>
      </c>
      <c r="E75" t="s">
        <v>380</v>
      </c>
      <c r="F75" t="s">
        <v>621</v>
      </c>
      <c r="G75" t="s">
        <v>53</v>
      </c>
      <c r="H75" s="2">
        <v>45906</v>
      </c>
      <c r="I75" t="s">
        <v>29</v>
      </c>
      <c r="J75" t="s">
        <v>30</v>
      </c>
      <c r="K75" t="str">
        <f t="shared" ca="1" si="10"/>
        <v>OK</v>
      </c>
      <c r="L75" t="s">
        <v>797</v>
      </c>
      <c r="M75">
        <v>5</v>
      </c>
      <c r="N75" s="2">
        <v>46010</v>
      </c>
      <c r="O75" s="2" t="s">
        <v>22</v>
      </c>
      <c r="P75" s="4">
        <f t="shared" ca="1" si="8"/>
        <v>0</v>
      </c>
      <c r="Q75" s="4" t="str">
        <f t="shared" ca="1" si="9"/>
        <v>0-2 Years</v>
      </c>
      <c r="R75">
        <f t="shared" ca="1" si="11"/>
        <v>1</v>
      </c>
      <c r="S75" t="s">
        <v>22</v>
      </c>
      <c r="T75">
        <v>3</v>
      </c>
      <c r="U75" t="s">
        <v>1394</v>
      </c>
      <c r="V75" t="s">
        <v>1394</v>
      </c>
      <c r="W75" t="s">
        <v>1394</v>
      </c>
      <c r="X75" s="3">
        <v>2</v>
      </c>
      <c r="Y75" t="s">
        <v>1397</v>
      </c>
      <c r="Z75">
        <v>35045</v>
      </c>
      <c r="AA75">
        <v>0.1</v>
      </c>
      <c r="AB75">
        <v>38549.5</v>
      </c>
    </row>
    <row r="76" spans="1:28" x14ac:dyDescent="0.35">
      <c r="A76" t="str">
        <f t="shared" si="6"/>
        <v>EMP0075</v>
      </c>
      <c r="B76" t="str" cm="1">
        <f t="array" ref="B76">_xlfn.IFS(
ROW()&lt;=421,"NA",
ROW()&lt;=781,"LATAM",
ROW()&lt;=1021,"EMEA",
TRUE,"APAC"
)</f>
        <v>NA</v>
      </c>
      <c r="C76" t="str">
        <f t="shared" si="7"/>
        <v>USA</v>
      </c>
      <c r="D76" t="s">
        <v>44</v>
      </c>
      <c r="E76" t="s">
        <v>380</v>
      </c>
      <c r="F76" t="s">
        <v>1136</v>
      </c>
      <c r="G76" t="s">
        <v>28</v>
      </c>
      <c r="H76" s="2">
        <v>45904</v>
      </c>
      <c r="I76" t="s">
        <v>29</v>
      </c>
      <c r="J76" t="s">
        <v>47</v>
      </c>
      <c r="K76" t="str">
        <f t="shared" ca="1" si="10"/>
        <v>OK</v>
      </c>
      <c r="L76" t="s">
        <v>1337</v>
      </c>
      <c r="M76">
        <v>5</v>
      </c>
      <c r="N76" s="2">
        <v>45996</v>
      </c>
      <c r="O76" s="2" t="s">
        <v>22</v>
      </c>
      <c r="P76" s="4">
        <f t="shared" ca="1" si="8"/>
        <v>0</v>
      </c>
      <c r="Q76" s="4" t="str">
        <f t="shared" ca="1" si="9"/>
        <v>0-2 Years</v>
      </c>
      <c r="R76">
        <f t="shared" ca="1" si="11"/>
        <v>1</v>
      </c>
      <c r="S76" t="s">
        <v>22</v>
      </c>
      <c r="T76">
        <v>2</v>
      </c>
      <c r="U76" t="s">
        <v>1396</v>
      </c>
      <c r="V76" t="s">
        <v>1394</v>
      </c>
      <c r="W76" t="s">
        <v>1394</v>
      </c>
      <c r="X76" s="3">
        <v>5</v>
      </c>
      <c r="Y76" t="s">
        <v>1395</v>
      </c>
      <c r="Z76">
        <v>39122</v>
      </c>
      <c r="AA76">
        <v>0.1</v>
      </c>
      <c r="AB76">
        <v>43034.200000000004</v>
      </c>
    </row>
    <row r="77" spans="1:28" x14ac:dyDescent="0.35">
      <c r="A77" t="str">
        <f t="shared" si="6"/>
        <v>EMP0076</v>
      </c>
      <c r="B77" t="str" cm="1">
        <f t="array" ref="B77">_xlfn.IFS(
ROW()&lt;=421,"NA",
ROW()&lt;=781,"LATAM",
ROW()&lt;=1021,"EMEA",
TRUE,"APAC"
)</f>
        <v>NA</v>
      </c>
      <c r="C77" t="str">
        <f t="shared" si="7"/>
        <v>USA</v>
      </c>
      <c r="D77" t="s">
        <v>26</v>
      </c>
      <c r="E77" t="s">
        <v>380</v>
      </c>
      <c r="F77" t="s">
        <v>623</v>
      </c>
      <c r="G77" t="s">
        <v>28</v>
      </c>
      <c r="H77" s="2">
        <v>45903</v>
      </c>
      <c r="I77" t="s">
        <v>29</v>
      </c>
      <c r="J77" t="s">
        <v>30</v>
      </c>
      <c r="K77" t="str">
        <f t="shared" ca="1" si="10"/>
        <v>OK</v>
      </c>
      <c r="L77" t="s">
        <v>922</v>
      </c>
      <c r="M77">
        <v>5</v>
      </c>
      <c r="N77" s="2">
        <v>46029</v>
      </c>
      <c r="O77" s="2" t="s">
        <v>22</v>
      </c>
      <c r="P77" s="4">
        <f t="shared" ca="1" si="8"/>
        <v>0</v>
      </c>
      <c r="Q77" s="4" t="str">
        <f t="shared" ca="1" si="9"/>
        <v>0-2 Years</v>
      </c>
      <c r="R77">
        <f t="shared" ca="1" si="11"/>
        <v>1</v>
      </c>
      <c r="S77" t="s">
        <v>22</v>
      </c>
      <c r="T77">
        <v>1</v>
      </c>
      <c r="U77" t="s">
        <v>1394</v>
      </c>
      <c r="V77" t="s">
        <v>1394</v>
      </c>
      <c r="W77" t="s">
        <v>1394</v>
      </c>
      <c r="X77" s="3">
        <v>2</v>
      </c>
      <c r="Y77" t="s">
        <v>1397</v>
      </c>
      <c r="Z77">
        <v>22199</v>
      </c>
      <c r="AA77">
        <v>0.1</v>
      </c>
      <c r="AB77">
        <v>24418.9</v>
      </c>
    </row>
    <row r="78" spans="1:28" x14ac:dyDescent="0.35">
      <c r="A78" t="str">
        <f t="shared" si="6"/>
        <v>EMP0077</v>
      </c>
      <c r="B78" t="str" cm="1">
        <f t="array" ref="B78">_xlfn.IFS(
ROW()&lt;=421,"NA",
ROW()&lt;=781,"LATAM",
ROW()&lt;=1021,"EMEA",
TRUE,"APAC"
)</f>
        <v>NA</v>
      </c>
      <c r="C78" t="str">
        <f t="shared" si="7"/>
        <v>USA</v>
      </c>
      <c r="D78" t="s">
        <v>44</v>
      </c>
      <c r="E78" t="s">
        <v>145</v>
      </c>
      <c r="F78" t="s">
        <v>152</v>
      </c>
      <c r="G78" t="s">
        <v>28</v>
      </c>
      <c r="H78" s="2">
        <v>45895</v>
      </c>
      <c r="I78" t="s">
        <v>29</v>
      </c>
      <c r="J78" t="s">
        <v>47</v>
      </c>
      <c r="K78" t="str">
        <f t="shared" ca="1" si="10"/>
        <v>OK</v>
      </c>
      <c r="L78" t="s">
        <v>352</v>
      </c>
      <c r="M78">
        <v>4</v>
      </c>
      <c r="N78" s="2">
        <v>46067</v>
      </c>
      <c r="O78" s="2" t="s">
        <v>22</v>
      </c>
      <c r="P78" s="4">
        <f t="shared" ca="1" si="8"/>
        <v>0</v>
      </c>
      <c r="Q78" s="4" t="str">
        <f t="shared" ca="1" si="9"/>
        <v>0-2 Years</v>
      </c>
      <c r="R78">
        <f t="shared" ca="1" si="11"/>
        <v>1</v>
      </c>
      <c r="S78" t="s">
        <v>22</v>
      </c>
      <c r="T78">
        <v>3</v>
      </c>
      <c r="U78" t="s">
        <v>1396</v>
      </c>
      <c r="V78" t="s">
        <v>1394</v>
      </c>
      <c r="W78" t="s">
        <v>1394</v>
      </c>
      <c r="X78" s="3">
        <v>4</v>
      </c>
      <c r="Y78" t="s">
        <v>1395</v>
      </c>
      <c r="Z78">
        <v>81061</v>
      </c>
      <c r="AA78">
        <v>0.15</v>
      </c>
      <c r="AB78">
        <v>93220.15</v>
      </c>
    </row>
    <row r="79" spans="1:28" x14ac:dyDescent="0.35">
      <c r="A79" t="str">
        <f t="shared" si="6"/>
        <v>EMP0078</v>
      </c>
      <c r="B79" t="str" cm="1">
        <f t="array" ref="B79">_xlfn.IFS(
ROW()&lt;=421,"NA",
ROW()&lt;=781,"LATAM",
ROW()&lt;=1021,"EMEA",
TRUE,"APAC"
)</f>
        <v>NA</v>
      </c>
      <c r="C79" t="str">
        <f t="shared" si="7"/>
        <v>USA</v>
      </c>
      <c r="D79" t="s">
        <v>32</v>
      </c>
      <c r="E79" t="s">
        <v>380</v>
      </c>
      <c r="F79" t="s">
        <v>591</v>
      </c>
      <c r="G79" t="s">
        <v>28</v>
      </c>
      <c r="H79" s="2">
        <v>45895</v>
      </c>
      <c r="I79" t="s">
        <v>29</v>
      </c>
      <c r="J79" t="s">
        <v>33</v>
      </c>
      <c r="K79" t="str">
        <f t="shared" ca="1" si="10"/>
        <v>OK</v>
      </c>
      <c r="L79" t="s">
        <v>1085</v>
      </c>
      <c r="M79">
        <v>5</v>
      </c>
      <c r="N79" s="2">
        <v>46050</v>
      </c>
      <c r="O79" s="2" t="s">
        <v>22</v>
      </c>
      <c r="P79" s="4">
        <f t="shared" ca="1" si="8"/>
        <v>0</v>
      </c>
      <c r="Q79" s="4" t="str">
        <f t="shared" ca="1" si="9"/>
        <v>0-2 Years</v>
      </c>
      <c r="R79">
        <f t="shared" ca="1" si="11"/>
        <v>1</v>
      </c>
      <c r="S79" t="s">
        <v>22</v>
      </c>
      <c r="T79">
        <v>3</v>
      </c>
      <c r="U79" t="s">
        <v>1394</v>
      </c>
      <c r="V79" t="s">
        <v>1396</v>
      </c>
      <c r="W79" t="s">
        <v>1394</v>
      </c>
      <c r="X79" s="3">
        <v>4</v>
      </c>
      <c r="Y79" t="s">
        <v>1395</v>
      </c>
      <c r="Z79">
        <v>39442</v>
      </c>
      <c r="AA79">
        <v>0.1</v>
      </c>
      <c r="AB79">
        <v>43386.200000000004</v>
      </c>
    </row>
    <row r="80" spans="1:28" x14ac:dyDescent="0.35">
      <c r="A80" t="str">
        <f t="shared" si="6"/>
        <v>EMP0079</v>
      </c>
      <c r="B80" t="str" cm="1">
        <f t="array" ref="B80">_xlfn.IFS(
ROW()&lt;=421,"NA",
ROW()&lt;=781,"LATAM",
ROW()&lt;=1021,"EMEA",
TRUE,"APAC"
)</f>
        <v>NA</v>
      </c>
      <c r="C80" t="str">
        <f t="shared" si="7"/>
        <v>USA</v>
      </c>
      <c r="D80" t="s">
        <v>35</v>
      </c>
      <c r="E80" t="s">
        <v>380</v>
      </c>
      <c r="F80" t="s">
        <v>502</v>
      </c>
      <c r="G80" t="s">
        <v>28</v>
      </c>
      <c r="H80" s="2">
        <v>45893</v>
      </c>
      <c r="I80" t="s">
        <v>29</v>
      </c>
      <c r="J80" t="s">
        <v>36</v>
      </c>
      <c r="K80" t="str">
        <f t="shared" ca="1" si="10"/>
        <v>OK</v>
      </c>
      <c r="L80" t="s">
        <v>1334</v>
      </c>
      <c r="M80">
        <v>5</v>
      </c>
      <c r="N80" s="2">
        <v>46029</v>
      </c>
      <c r="O80" s="2" t="s">
        <v>22</v>
      </c>
      <c r="P80" s="4">
        <f t="shared" ca="1" si="8"/>
        <v>0</v>
      </c>
      <c r="Q80" s="4" t="str">
        <f t="shared" ca="1" si="9"/>
        <v>0-2 Years</v>
      </c>
      <c r="R80">
        <f t="shared" ca="1" si="11"/>
        <v>1</v>
      </c>
      <c r="S80" t="s">
        <v>22</v>
      </c>
      <c r="T80">
        <v>4</v>
      </c>
      <c r="U80" t="s">
        <v>1394</v>
      </c>
      <c r="V80" t="s">
        <v>1396</v>
      </c>
      <c r="W80" t="s">
        <v>1394</v>
      </c>
      <c r="X80" s="3">
        <v>3</v>
      </c>
      <c r="Y80" t="s">
        <v>1398</v>
      </c>
      <c r="Z80">
        <v>49168</v>
      </c>
      <c r="AA80">
        <v>0.1</v>
      </c>
      <c r="AB80">
        <v>54084.800000000003</v>
      </c>
    </row>
    <row r="81" spans="1:28" x14ac:dyDescent="0.35">
      <c r="A81" t="str">
        <f t="shared" si="6"/>
        <v>EMP0080</v>
      </c>
      <c r="B81" t="str" cm="1">
        <f t="array" ref="B81">_xlfn.IFS(
ROW()&lt;=421,"NA",
ROW()&lt;=781,"LATAM",
ROW()&lt;=1021,"EMEA",
TRUE,"APAC"
)</f>
        <v>NA</v>
      </c>
      <c r="C81" t="str">
        <f t="shared" si="7"/>
        <v>USA</v>
      </c>
      <c r="D81" t="s">
        <v>38</v>
      </c>
      <c r="E81" t="s">
        <v>380</v>
      </c>
      <c r="F81" t="s">
        <v>1341</v>
      </c>
      <c r="G81" t="s">
        <v>28</v>
      </c>
      <c r="H81" s="2">
        <v>45893</v>
      </c>
      <c r="I81" t="s">
        <v>57</v>
      </c>
      <c r="J81" t="s">
        <v>39</v>
      </c>
      <c r="K81" t="str">
        <f t="shared" ca="1" si="10"/>
        <v>OK</v>
      </c>
      <c r="L81" t="s">
        <v>1342</v>
      </c>
      <c r="M81">
        <v>5</v>
      </c>
      <c r="N81" s="2">
        <v>46001</v>
      </c>
      <c r="O81" s="2">
        <v>46071</v>
      </c>
      <c r="P81" s="4">
        <f t="shared" ca="1" si="8"/>
        <v>0</v>
      </c>
      <c r="Q81" s="4" t="str">
        <f t="shared" ca="1" si="9"/>
        <v>0-2 Years</v>
      </c>
      <c r="R81">
        <f t="shared" ca="1" si="11"/>
        <v>1</v>
      </c>
      <c r="S81" t="s">
        <v>23</v>
      </c>
      <c r="T81">
        <v>3</v>
      </c>
      <c r="U81" t="s">
        <v>1394</v>
      </c>
      <c r="V81" t="s">
        <v>1394</v>
      </c>
      <c r="W81" t="s">
        <v>1394</v>
      </c>
      <c r="X81" s="3">
        <v>1</v>
      </c>
      <c r="Y81" t="s">
        <v>1397</v>
      </c>
      <c r="Z81">
        <v>29046</v>
      </c>
      <c r="AA81">
        <v>0.1</v>
      </c>
      <c r="AB81">
        <v>31950.600000000002</v>
      </c>
    </row>
    <row r="82" spans="1:28" x14ac:dyDescent="0.35">
      <c r="A82" t="str">
        <f t="shared" si="6"/>
        <v>EMP0081</v>
      </c>
      <c r="B82" t="str" cm="1">
        <f t="array" ref="B82">_xlfn.IFS(
ROW()&lt;=421,"NA",
ROW()&lt;=781,"LATAM",
ROW()&lt;=1021,"EMEA",
TRUE,"APAC"
)</f>
        <v>NA</v>
      </c>
      <c r="C82" t="str">
        <f t="shared" si="7"/>
        <v>USA</v>
      </c>
      <c r="D82" t="s">
        <v>35</v>
      </c>
      <c r="E82" t="s">
        <v>380</v>
      </c>
      <c r="F82" t="s">
        <v>811</v>
      </c>
      <c r="G82" t="s">
        <v>53</v>
      </c>
      <c r="H82" s="2">
        <v>45892</v>
      </c>
      <c r="I82" t="s">
        <v>57</v>
      </c>
      <c r="J82" t="s">
        <v>36</v>
      </c>
      <c r="K82" t="str">
        <f t="shared" ca="1" si="10"/>
        <v>OK</v>
      </c>
      <c r="L82" t="s">
        <v>873</v>
      </c>
      <c r="M82">
        <v>5</v>
      </c>
      <c r="N82" s="2">
        <v>46045</v>
      </c>
      <c r="O82" s="2">
        <v>46071</v>
      </c>
      <c r="P82" s="4">
        <f t="shared" ca="1" si="8"/>
        <v>0</v>
      </c>
      <c r="Q82" s="4" t="str">
        <f t="shared" ca="1" si="9"/>
        <v>0-2 Years</v>
      </c>
      <c r="R82">
        <f t="shared" ca="1" si="11"/>
        <v>1</v>
      </c>
      <c r="S82" t="s">
        <v>23</v>
      </c>
      <c r="T82">
        <v>3</v>
      </c>
      <c r="U82" t="s">
        <v>1394</v>
      </c>
      <c r="V82" t="s">
        <v>1394</v>
      </c>
      <c r="W82" t="s">
        <v>1394</v>
      </c>
      <c r="X82" s="3">
        <v>2</v>
      </c>
      <c r="Y82" t="s">
        <v>1397</v>
      </c>
      <c r="Z82">
        <v>35020</v>
      </c>
      <c r="AA82">
        <v>0.1</v>
      </c>
      <c r="AB82">
        <v>38522</v>
      </c>
    </row>
    <row r="83" spans="1:28" x14ac:dyDescent="0.35">
      <c r="A83" t="str">
        <f t="shared" si="6"/>
        <v>EMP0082</v>
      </c>
      <c r="B83" t="str" cm="1">
        <f t="array" ref="B83">_xlfn.IFS(
ROW()&lt;=421,"NA",
ROW()&lt;=781,"LATAM",
ROW()&lt;=1021,"EMEA",
TRUE,"APAC"
)</f>
        <v>NA</v>
      </c>
      <c r="C83" t="str">
        <f t="shared" si="7"/>
        <v>USA</v>
      </c>
      <c r="D83" t="s">
        <v>41</v>
      </c>
      <c r="E83" t="s">
        <v>380</v>
      </c>
      <c r="F83" t="s">
        <v>424</v>
      </c>
      <c r="G83" t="s">
        <v>28</v>
      </c>
      <c r="H83" s="2">
        <v>45891</v>
      </c>
      <c r="I83" t="s">
        <v>29</v>
      </c>
      <c r="J83" t="s">
        <v>42</v>
      </c>
      <c r="K83" t="str">
        <f ca="1">IF(
OR(
H83="",
I83="",
AND(I83="Inactive",O83=""),
H83&gt;TODAY(),
Z83="",
F83="",
D83="",
X83&lt;1
),
"⚠ Review",
"OK"
)</f>
        <v>⚠ Review</v>
      </c>
      <c r="L83" t="s">
        <v>735</v>
      </c>
      <c r="M83">
        <v>5</v>
      </c>
      <c r="N83" s="2">
        <v>46030</v>
      </c>
      <c r="O83" s="2" t="s">
        <v>22</v>
      </c>
      <c r="P83" s="4">
        <f t="shared" ca="1" si="8"/>
        <v>0</v>
      </c>
      <c r="Q83" s="4" t="str">
        <f t="shared" ca="1" si="9"/>
        <v>0-2 Years</v>
      </c>
      <c r="R83">
        <f t="shared" ca="1" si="11"/>
        <v>1</v>
      </c>
      <c r="S83" t="s">
        <v>22</v>
      </c>
      <c r="T83">
        <v>3</v>
      </c>
      <c r="U83" t="s">
        <v>1394</v>
      </c>
      <c r="V83" t="s">
        <v>1394</v>
      </c>
      <c r="W83" t="s">
        <v>1394</v>
      </c>
      <c r="X83" s="3">
        <v>0</v>
      </c>
      <c r="Y83" t="s">
        <v>1398</v>
      </c>
      <c r="Z83">
        <v>31160</v>
      </c>
      <c r="AA83">
        <v>0.1</v>
      </c>
      <c r="AB83">
        <v>34276</v>
      </c>
    </row>
    <row r="84" spans="1:28" x14ac:dyDescent="0.35">
      <c r="A84" t="str">
        <f t="shared" si="6"/>
        <v>EMP0083</v>
      </c>
      <c r="B84" t="str" cm="1">
        <f t="array" ref="B84">_xlfn.IFS(
ROW()&lt;=421,"NA",
ROW()&lt;=781,"LATAM",
ROW()&lt;=1021,"EMEA",
TRUE,"APAC"
)</f>
        <v>NA</v>
      </c>
      <c r="C84" t="str">
        <f t="shared" si="7"/>
        <v>USA</v>
      </c>
      <c r="D84" t="s">
        <v>38</v>
      </c>
      <c r="E84" t="s">
        <v>380</v>
      </c>
      <c r="F84" t="s">
        <v>404</v>
      </c>
      <c r="G84" t="s">
        <v>28</v>
      </c>
      <c r="H84" s="2">
        <v>45882</v>
      </c>
      <c r="I84" t="s">
        <v>29</v>
      </c>
      <c r="J84" t="s">
        <v>39</v>
      </c>
      <c r="K84" t="str">
        <f t="shared" ca="1" si="10"/>
        <v>OK</v>
      </c>
      <c r="L84" t="s">
        <v>712</v>
      </c>
      <c r="M84">
        <v>5</v>
      </c>
      <c r="N84" s="2">
        <v>46009</v>
      </c>
      <c r="O84" s="2" t="s">
        <v>22</v>
      </c>
      <c r="P84" s="4">
        <f t="shared" ca="1" si="8"/>
        <v>0</v>
      </c>
      <c r="Q84" s="4" t="str">
        <f t="shared" ca="1" si="9"/>
        <v>0-2 Years</v>
      </c>
      <c r="R84">
        <f t="shared" ca="1" si="11"/>
        <v>1</v>
      </c>
      <c r="S84" t="s">
        <v>22</v>
      </c>
      <c r="T84">
        <v>4</v>
      </c>
      <c r="U84" t="s">
        <v>1396</v>
      </c>
      <c r="V84" t="s">
        <v>1394</v>
      </c>
      <c r="W84" t="s">
        <v>1394</v>
      </c>
      <c r="X84" s="3">
        <v>4</v>
      </c>
      <c r="Y84" t="s">
        <v>1395</v>
      </c>
      <c r="Z84">
        <v>22095</v>
      </c>
      <c r="AA84">
        <v>0.1</v>
      </c>
      <c r="AB84">
        <v>24304.500000000004</v>
      </c>
    </row>
    <row r="85" spans="1:28" x14ac:dyDescent="0.35">
      <c r="A85" t="str">
        <f t="shared" si="6"/>
        <v>EMP0084</v>
      </c>
      <c r="B85" t="str" cm="1">
        <f t="array" ref="B85">_xlfn.IFS(
ROW()&lt;=421,"NA",
ROW()&lt;=781,"LATAM",
ROW()&lt;=1021,"EMEA",
TRUE,"APAC"
)</f>
        <v>NA</v>
      </c>
      <c r="C85" t="str">
        <f t="shared" si="7"/>
        <v>USA</v>
      </c>
      <c r="D85" t="s">
        <v>32</v>
      </c>
      <c r="E85" t="s">
        <v>380</v>
      </c>
      <c r="F85" t="s">
        <v>452</v>
      </c>
      <c r="G85" t="s">
        <v>28</v>
      </c>
      <c r="H85" s="2">
        <v>45882</v>
      </c>
      <c r="I85" t="s">
        <v>29</v>
      </c>
      <c r="J85" t="s">
        <v>33</v>
      </c>
      <c r="K85" t="str">
        <f t="shared" ca="1" si="10"/>
        <v>OK</v>
      </c>
      <c r="L85" t="s">
        <v>1385</v>
      </c>
      <c r="M85">
        <v>5</v>
      </c>
      <c r="N85" s="2">
        <v>46027</v>
      </c>
      <c r="O85" s="2" t="s">
        <v>22</v>
      </c>
      <c r="P85" s="4">
        <f t="shared" ca="1" si="8"/>
        <v>0</v>
      </c>
      <c r="Q85" s="4" t="str">
        <f t="shared" ca="1" si="9"/>
        <v>0-2 Years</v>
      </c>
      <c r="R85">
        <f t="shared" ca="1" si="11"/>
        <v>1</v>
      </c>
      <c r="S85" t="s">
        <v>22</v>
      </c>
      <c r="T85">
        <v>3</v>
      </c>
      <c r="U85" t="s">
        <v>1394</v>
      </c>
      <c r="V85" t="s">
        <v>1394</v>
      </c>
      <c r="W85" t="s">
        <v>1394</v>
      </c>
      <c r="X85" s="3">
        <v>5</v>
      </c>
      <c r="Y85" t="s">
        <v>1395</v>
      </c>
      <c r="Z85">
        <v>40507</v>
      </c>
      <c r="AA85">
        <v>0.1</v>
      </c>
      <c r="AB85">
        <v>44557.700000000004</v>
      </c>
    </row>
    <row r="86" spans="1:28" x14ac:dyDescent="0.35">
      <c r="A86" t="str">
        <f t="shared" si="6"/>
        <v>EMP0085</v>
      </c>
      <c r="B86" t="str" cm="1">
        <f t="array" ref="B86">_xlfn.IFS(
ROW()&lt;=421,"NA",
ROW()&lt;=781,"LATAM",
ROW()&lt;=1021,"EMEA",
TRUE,"APAC"
)</f>
        <v>NA</v>
      </c>
      <c r="C86" t="str">
        <f t="shared" si="7"/>
        <v>USA</v>
      </c>
      <c r="D86" t="s">
        <v>35</v>
      </c>
      <c r="E86" t="s">
        <v>380</v>
      </c>
      <c r="F86" t="s">
        <v>506</v>
      </c>
      <c r="G86" t="s">
        <v>53</v>
      </c>
      <c r="H86" s="2">
        <v>45880</v>
      </c>
      <c r="I86" t="s">
        <v>29</v>
      </c>
      <c r="J86" t="s">
        <v>36</v>
      </c>
      <c r="K86" t="str">
        <f t="shared" ca="1" si="10"/>
        <v>OK</v>
      </c>
      <c r="L86" t="s">
        <v>534</v>
      </c>
      <c r="M86">
        <v>5</v>
      </c>
      <c r="N86" s="2">
        <v>46071</v>
      </c>
      <c r="O86" s="2" t="s">
        <v>22</v>
      </c>
      <c r="P86" s="4">
        <f t="shared" ca="1" si="8"/>
        <v>0</v>
      </c>
      <c r="Q86" s="4" t="str">
        <f t="shared" ca="1" si="9"/>
        <v>0-2 Years</v>
      </c>
      <c r="R86">
        <f t="shared" ca="1" si="11"/>
        <v>1</v>
      </c>
      <c r="S86" t="s">
        <v>22</v>
      </c>
      <c r="T86">
        <v>4</v>
      </c>
      <c r="U86" t="s">
        <v>1394</v>
      </c>
      <c r="V86" t="s">
        <v>1394</v>
      </c>
      <c r="W86" t="s">
        <v>1394</v>
      </c>
      <c r="X86" s="3">
        <v>5</v>
      </c>
      <c r="Y86" t="s">
        <v>1395</v>
      </c>
      <c r="Z86">
        <v>28054</v>
      </c>
      <c r="AA86">
        <v>0.1</v>
      </c>
      <c r="AB86">
        <v>30859.4</v>
      </c>
    </row>
    <row r="87" spans="1:28" x14ac:dyDescent="0.35">
      <c r="A87" t="str">
        <f t="shared" si="6"/>
        <v>EMP0086</v>
      </c>
      <c r="B87" t="str" cm="1">
        <f t="array" ref="B87">_xlfn.IFS(
ROW()&lt;=421,"NA",
ROW()&lt;=781,"LATAM",
ROW()&lt;=1021,"EMEA",
TRUE,"APAC"
)</f>
        <v>NA</v>
      </c>
      <c r="C87" t="str">
        <f t="shared" si="7"/>
        <v>USA</v>
      </c>
      <c r="D87" t="s">
        <v>41</v>
      </c>
      <c r="E87" t="s">
        <v>69</v>
      </c>
      <c r="F87" t="s">
        <v>98</v>
      </c>
      <c r="G87" t="s">
        <v>28</v>
      </c>
      <c r="H87" s="2">
        <v>45877</v>
      </c>
      <c r="I87" t="s">
        <v>29</v>
      </c>
      <c r="J87" t="s">
        <v>42</v>
      </c>
      <c r="K87" t="str">
        <f t="shared" ca="1" si="10"/>
        <v>OK</v>
      </c>
      <c r="L87" t="s">
        <v>103</v>
      </c>
      <c r="M87">
        <v>3</v>
      </c>
      <c r="N87" s="2">
        <v>46057</v>
      </c>
      <c r="O87" s="2" t="s">
        <v>22</v>
      </c>
      <c r="P87" s="4">
        <f t="shared" ca="1" si="8"/>
        <v>0</v>
      </c>
      <c r="Q87" s="4" t="str">
        <f t="shared" ca="1" si="9"/>
        <v>0-2 Years</v>
      </c>
      <c r="R87">
        <f t="shared" ca="1" si="11"/>
        <v>1</v>
      </c>
      <c r="S87" t="s">
        <v>22</v>
      </c>
      <c r="T87">
        <v>3</v>
      </c>
      <c r="U87" t="s">
        <v>1394</v>
      </c>
      <c r="V87" t="s">
        <v>1396</v>
      </c>
      <c r="W87" t="s">
        <v>1396</v>
      </c>
      <c r="X87" s="3">
        <v>5</v>
      </c>
      <c r="Y87" t="s">
        <v>1395</v>
      </c>
      <c r="Z87">
        <v>103096</v>
      </c>
      <c r="AA87">
        <v>0.2</v>
      </c>
      <c r="AB87">
        <v>123715.2</v>
      </c>
    </row>
    <row r="88" spans="1:28" x14ac:dyDescent="0.35">
      <c r="A88" t="str">
        <f t="shared" si="6"/>
        <v>EMP0087</v>
      </c>
      <c r="B88" t="str" cm="1">
        <f t="array" ref="B88">_xlfn.IFS(
ROW()&lt;=421,"NA",
ROW()&lt;=781,"LATAM",
ROW()&lt;=1021,"EMEA",
TRUE,"APAC"
)</f>
        <v>NA</v>
      </c>
      <c r="C88" t="str">
        <f t="shared" si="7"/>
        <v>USA</v>
      </c>
      <c r="D88" t="s">
        <v>38</v>
      </c>
      <c r="E88" t="s">
        <v>145</v>
      </c>
      <c r="F88" t="s">
        <v>309</v>
      </c>
      <c r="G88" t="s">
        <v>28</v>
      </c>
      <c r="H88" s="2">
        <v>45877</v>
      </c>
      <c r="I88" t="s">
        <v>29</v>
      </c>
      <c r="J88" t="s">
        <v>39</v>
      </c>
      <c r="K88" t="str">
        <f t="shared" ca="1" si="10"/>
        <v>OK</v>
      </c>
      <c r="L88" t="s">
        <v>310</v>
      </c>
      <c r="M88">
        <v>4</v>
      </c>
      <c r="N88" s="2">
        <v>46024</v>
      </c>
      <c r="O88" s="2" t="s">
        <v>22</v>
      </c>
      <c r="P88" s="4">
        <f t="shared" ca="1" si="8"/>
        <v>0</v>
      </c>
      <c r="Q88" s="4" t="str">
        <f t="shared" ca="1" si="9"/>
        <v>0-2 Years</v>
      </c>
      <c r="R88">
        <f t="shared" ca="1" si="11"/>
        <v>1</v>
      </c>
      <c r="S88" t="s">
        <v>22</v>
      </c>
      <c r="T88">
        <v>3</v>
      </c>
      <c r="U88" t="s">
        <v>1396</v>
      </c>
      <c r="V88" t="s">
        <v>1394</v>
      </c>
      <c r="W88" t="s">
        <v>1394</v>
      </c>
      <c r="X88" s="3">
        <v>5</v>
      </c>
      <c r="Y88" t="s">
        <v>1395</v>
      </c>
      <c r="Z88">
        <v>82524</v>
      </c>
      <c r="AA88">
        <v>0.15</v>
      </c>
      <c r="AB88">
        <v>94902.599999999991</v>
      </c>
    </row>
    <row r="89" spans="1:28" x14ac:dyDescent="0.35">
      <c r="A89" t="str">
        <f t="shared" si="6"/>
        <v>EMP0088</v>
      </c>
      <c r="B89" t="str" cm="1">
        <f t="array" ref="B89">_xlfn.IFS(
ROW()&lt;=421,"NA",
ROW()&lt;=781,"LATAM",
ROW()&lt;=1021,"EMEA",
TRUE,"APAC"
)</f>
        <v>NA</v>
      </c>
      <c r="C89" t="str">
        <f t="shared" si="7"/>
        <v>USA</v>
      </c>
      <c r="D89" t="s">
        <v>35</v>
      </c>
      <c r="E89" t="s">
        <v>380</v>
      </c>
      <c r="F89" t="s">
        <v>661</v>
      </c>
      <c r="G89" t="s">
        <v>28</v>
      </c>
      <c r="H89" s="2">
        <v>45876</v>
      </c>
      <c r="I89" t="s">
        <v>29</v>
      </c>
      <c r="J89" t="s">
        <v>36</v>
      </c>
      <c r="K89" t="str">
        <f t="shared" ca="1" si="10"/>
        <v>OK</v>
      </c>
      <c r="L89" t="s">
        <v>1285</v>
      </c>
      <c r="M89">
        <v>5</v>
      </c>
      <c r="N89" s="2">
        <v>46002</v>
      </c>
      <c r="O89" s="2" t="s">
        <v>22</v>
      </c>
      <c r="P89" s="4">
        <f t="shared" ca="1" si="8"/>
        <v>0</v>
      </c>
      <c r="Q89" s="4" t="str">
        <f t="shared" ca="1" si="9"/>
        <v>0-2 Years</v>
      </c>
      <c r="R89">
        <f t="shared" ca="1" si="11"/>
        <v>1</v>
      </c>
      <c r="S89" t="s">
        <v>22</v>
      </c>
      <c r="T89">
        <v>4</v>
      </c>
      <c r="U89" t="s">
        <v>1394</v>
      </c>
      <c r="V89" t="s">
        <v>1394</v>
      </c>
      <c r="W89" t="s">
        <v>1394</v>
      </c>
      <c r="X89" s="3">
        <v>1</v>
      </c>
      <c r="Y89" t="s">
        <v>1397</v>
      </c>
      <c r="Z89">
        <v>43724</v>
      </c>
      <c r="AA89">
        <v>0.1</v>
      </c>
      <c r="AB89">
        <v>48096.4</v>
      </c>
    </row>
    <row r="90" spans="1:28" x14ac:dyDescent="0.35">
      <c r="A90" t="str">
        <f t="shared" si="6"/>
        <v>EMP0089</v>
      </c>
      <c r="B90" t="str" cm="1">
        <f t="array" ref="B90">_xlfn.IFS(
ROW()&lt;=421,"NA",
ROW()&lt;=781,"LATAM",
ROW()&lt;=1021,"EMEA",
TRUE,"APAC"
)</f>
        <v>NA</v>
      </c>
      <c r="C90" t="str">
        <f t="shared" si="7"/>
        <v>USA</v>
      </c>
      <c r="D90" t="s">
        <v>26</v>
      </c>
      <c r="E90" t="s">
        <v>380</v>
      </c>
      <c r="F90" t="s">
        <v>402</v>
      </c>
      <c r="G90" t="s">
        <v>28</v>
      </c>
      <c r="H90" s="2">
        <v>45875</v>
      </c>
      <c r="I90" t="s">
        <v>29</v>
      </c>
      <c r="J90" t="s">
        <v>30</v>
      </c>
      <c r="K90" t="str">
        <f t="shared" ca="1" si="10"/>
        <v>OK</v>
      </c>
      <c r="L90" t="s">
        <v>634</v>
      </c>
      <c r="M90">
        <v>5</v>
      </c>
      <c r="N90" s="2">
        <v>46014</v>
      </c>
      <c r="O90" s="2" t="s">
        <v>22</v>
      </c>
      <c r="P90" s="4">
        <f t="shared" ca="1" si="8"/>
        <v>0</v>
      </c>
      <c r="Q90" s="4" t="str">
        <f t="shared" ca="1" si="9"/>
        <v>0-2 Years</v>
      </c>
      <c r="R90">
        <f t="shared" ca="1" si="11"/>
        <v>1</v>
      </c>
      <c r="S90" t="s">
        <v>22</v>
      </c>
      <c r="T90">
        <v>3</v>
      </c>
      <c r="U90" t="s">
        <v>1394</v>
      </c>
      <c r="V90" t="s">
        <v>1394</v>
      </c>
      <c r="W90" t="s">
        <v>1394</v>
      </c>
      <c r="X90" s="3">
        <v>1</v>
      </c>
      <c r="Y90" t="s">
        <v>1397</v>
      </c>
      <c r="Z90">
        <v>25971</v>
      </c>
      <c r="AA90">
        <v>0.1</v>
      </c>
      <c r="AB90">
        <v>28568.100000000002</v>
      </c>
    </row>
    <row r="91" spans="1:28" x14ac:dyDescent="0.35">
      <c r="A91" t="str">
        <f t="shared" si="6"/>
        <v>EMP0090</v>
      </c>
      <c r="B91" t="str" cm="1">
        <f t="array" ref="B91">_xlfn.IFS(
ROW()&lt;=421,"NA",
ROW()&lt;=781,"LATAM",
ROW()&lt;=1021,"EMEA",
TRUE,"APAC"
)</f>
        <v>NA</v>
      </c>
      <c r="C91" t="str">
        <f t="shared" si="7"/>
        <v>USA</v>
      </c>
      <c r="D91" t="s">
        <v>32</v>
      </c>
      <c r="E91" t="s">
        <v>380</v>
      </c>
      <c r="G91" t="s">
        <v>28</v>
      </c>
      <c r="H91" s="2">
        <v>43195</v>
      </c>
      <c r="I91" t="s">
        <v>29</v>
      </c>
      <c r="J91" t="s">
        <v>33</v>
      </c>
      <c r="K91" t="str">
        <f t="shared" ca="1" si="10"/>
        <v>⚠ Review</v>
      </c>
      <c r="L91" t="s">
        <v>448</v>
      </c>
      <c r="M91">
        <v>5</v>
      </c>
      <c r="N91" s="2">
        <v>46025</v>
      </c>
      <c r="O91" s="2" t="s">
        <v>22</v>
      </c>
      <c r="P91" s="4">
        <f t="shared" ca="1" si="8"/>
        <v>7</v>
      </c>
      <c r="Q91" s="4" t="str">
        <f t="shared" ca="1" si="9"/>
        <v>6-10 Years</v>
      </c>
      <c r="R91">
        <f t="shared" ca="1" si="11"/>
        <v>0</v>
      </c>
      <c r="S91" t="s">
        <v>22</v>
      </c>
      <c r="T91">
        <v>3</v>
      </c>
      <c r="U91" t="s">
        <v>1394</v>
      </c>
      <c r="V91" t="s">
        <v>1394</v>
      </c>
      <c r="W91" t="s">
        <v>1394</v>
      </c>
      <c r="X91" s="3">
        <v>4</v>
      </c>
      <c r="Y91" t="s">
        <v>1395</v>
      </c>
      <c r="Z91">
        <v>46139</v>
      </c>
      <c r="AA91">
        <v>0.1</v>
      </c>
      <c r="AB91">
        <v>50752.9</v>
      </c>
    </row>
    <row r="92" spans="1:28" x14ac:dyDescent="0.35">
      <c r="A92" t="str">
        <f t="shared" si="6"/>
        <v>EMP0091</v>
      </c>
      <c r="B92" t="str" cm="1">
        <f t="array" ref="B92">_xlfn.IFS(
ROW()&lt;=421,"NA",
ROW()&lt;=781,"LATAM",
ROW()&lt;=1021,"EMEA",
TRUE,"APAC"
)</f>
        <v>NA</v>
      </c>
      <c r="C92" t="str">
        <f t="shared" si="7"/>
        <v>USA</v>
      </c>
      <c r="D92" t="s">
        <v>44</v>
      </c>
      <c r="E92" t="s">
        <v>380</v>
      </c>
      <c r="F92" t="s">
        <v>623</v>
      </c>
      <c r="G92" t="s">
        <v>28</v>
      </c>
      <c r="H92" s="2">
        <v>45866</v>
      </c>
      <c r="I92" t="s">
        <v>29</v>
      </c>
      <c r="J92" t="s">
        <v>47</v>
      </c>
      <c r="K92" t="str">
        <f t="shared" ca="1" si="10"/>
        <v>OK</v>
      </c>
      <c r="L92" t="s">
        <v>624</v>
      </c>
      <c r="M92">
        <v>5</v>
      </c>
      <c r="N92" s="2">
        <v>46029</v>
      </c>
      <c r="O92" s="2" t="s">
        <v>22</v>
      </c>
      <c r="P92" s="4">
        <f t="shared" ca="1" si="8"/>
        <v>0</v>
      </c>
      <c r="Q92" s="4" t="str">
        <f t="shared" ca="1" si="9"/>
        <v>0-2 Years</v>
      </c>
      <c r="R92">
        <f t="shared" ca="1" si="11"/>
        <v>1</v>
      </c>
      <c r="S92" t="s">
        <v>22</v>
      </c>
      <c r="T92">
        <v>3</v>
      </c>
      <c r="U92" t="s">
        <v>1396</v>
      </c>
      <c r="V92" t="s">
        <v>1394</v>
      </c>
      <c r="W92" t="s">
        <v>1394</v>
      </c>
      <c r="X92" s="3">
        <v>1</v>
      </c>
      <c r="Y92" t="s">
        <v>1397</v>
      </c>
      <c r="Z92">
        <v>21827</v>
      </c>
      <c r="AA92">
        <v>0.1</v>
      </c>
      <c r="AB92">
        <v>24009.7</v>
      </c>
    </row>
    <row r="93" spans="1:28" x14ac:dyDescent="0.35">
      <c r="A93" t="str">
        <f t="shared" si="6"/>
        <v>EMP0092</v>
      </c>
      <c r="B93" t="str" cm="1">
        <f t="array" ref="B93">_xlfn.IFS(
ROW()&lt;=421,"NA",
ROW()&lt;=781,"LATAM",
ROW()&lt;=1021,"EMEA",
TRUE,"APAC"
)</f>
        <v>NA</v>
      </c>
      <c r="C93" t="str">
        <f t="shared" si="7"/>
        <v>USA</v>
      </c>
      <c r="D93" t="s">
        <v>35</v>
      </c>
      <c r="E93" t="s">
        <v>380</v>
      </c>
      <c r="F93" t="s">
        <v>506</v>
      </c>
      <c r="G93" t="s">
        <v>28</v>
      </c>
      <c r="H93" s="2">
        <v>45862</v>
      </c>
      <c r="I93" t="s">
        <v>29</v>
      </c>
      <c r="J93" t="s">
        <v>36</v>
      </c>
      <c r="K93" t="str">
        <f t="shared" ca="1" si="10"/>
        <v>OK</v>
      </c>
      <c r="L93" t="s">
        <v>1044</v>
      </c>
      <c r="M93">
        <v>5</v>
      </c>
      <c r="N93" s="2">
        <v>45996</v>
      </c>
      <c r="O93" s="2" t="s">
        <v>22</v>
      </c>
      <c r="P93" s="4">
        <f t="shared" ca="1" si="8"/>
        <v>0</v>
      </c>
      <c r="Q93" s="4" t="str">
        <f t="shared" ca="1" si="9"/>
        <v>0-2 Years</v>
      </c>
      <c r="R93">
        <f t="shared" ca="1" si="11"/>
        <v>1</v>
      </c>
      <c r="S93" t="s">
        <v>22</v>
      </c>
      <c r="T93">
        <v>3</v>
      </c>
      <c r="U93" t="s">
        <v>1394</v>
      </c>
      <c r="V93" t="s">
        <v>1394</v>
      </c>
      <c r="W93" t="s">
        <v>1394</v>
      </c>
      <c r="X93" s="3">
        <v>1</v>
      </c>
      <c r="Y93" t="s">
        <v>1397</v>
      </c>
      <c r="Z93">
        <v>36004</v>
      </c>
      <c r="AA93">
        <v>0.1</v>
      </c>
      <c r="AB93">
        <v>39604.400000000001</v>
      </c>
    </row>
    <row r="94" spans="1:28" x14ac:dyDescent="0.35">
      <c r="A94" t="str">
        <f t="shared" si="6"/>
        <v>EMP0093</v>
      </c>
      <c r="B94" t="str" cm="1">
        <f t="array" ref="B94">_xlfn.IFS(
ROW()&lt;=421,"NA",
ROW()&lt;=781,"LATAM",
ROW()&lt;=1021,"EMEA",
TRUE,"APAC"
)</f>
        <v>NA</v>
      </c>
      <c r="C94" t="str">
        <f t="shared" si="7"/>
        <v>USA</v>
      </c>
      <c r="D94" t="s">
        <v>38</v>
      </c>
      <c r="E94" t="s">
        <v>380</v>
      </c>
      <c r="F94" t="s">
        <v>851</v>
      </c>
      <c r="G94" t="s">
        <v>28</v>
      </c>
      <c r="H94" s="2">
        <v>45861</v>
      </c>
      <c r="I94" t="s">
        <v>29</v>
      </c>
      <c r="J94" t="s">
        <v>39</v>
      </c>
      <c r="K94" t="str">
        <f t="shared" ca="1" si="10"/>
        <v>OK</v>
      </c>
      <c r="L94" t="s">
        <v>1247</v>
      </c>
      <c r="M94">
        <v>5</v>
      </c>
      <c r="N94" s="2">
        <v>45993</v>
      </c>
      <c r="O94" s="2" t="s">
        <v>22</v>
      </c>
      <c r="P94" s="4">
        <f t="shared" ca="1" si="8"/>
        <v>0</v>
      </c>
      <c r="Q94" s="4" t="str">
        <f t="shared" ca="1" si="9"/>
        <v>0-2 Years</v>
      </c>
      <c r="R94">
        <f t="shared" ca="1" si="11"/>
        <v>1</v>
      </c>
      <c r="S94" t="s">
        <v>22</v>
      </c>
      <c r="T94">
        <v>3</v>
      </c>
      <c r="U94" t="s">
        <v>1394</v>
      </c>
      <c r="V94" t="s">
        <v>1396</v>
      </c>
      <c r="W94" t="s">
        <v>1396</v>
      </c>
      <c r="X94" s="3">
        <v>4</v>
      </c>
      <c r="Y94" t="s">
        <v>1395</v>
      </c>
      <c r="Z94">
        <v>37438</v>
      </c>
      <c r="AA94">
        <v>0.1</v>
      </c>
      <c r="AB94">
        <v>41181.800000000003</v>
      </c>
    </row>
    <row r="95" spans="1:28" x14ac:dyDescent="0.35">
      <c r="A95" t="str">
        <f t="shared" si="6"/>
        <v>EMP0094</v>
      </c>
      <c r="B95" t="str" cm="1">
        <f t="array" ref="B95">_xlfn.IFS(
ROW()&lt;=421,"NA",
ROW()&lt;=781,"LATAM",
ROW()&lt;=1021,"EMEA",
TRUE,"APAC"
)</f>
        <v>NA</v>
      </c>
      <c r="C95" t="str">
        <f t="shared" si="7"/>
        <v>USA</v>
      </c>
      <c r="D95" t="s">
        <v>38</v>
      </c>
      <c r="E95" t="s">
        <v>145</v>
      </c>
      <c r="F95" t="s">
        <v>190</v>
      </c>
      <c r="G95" t="s">
        <v>28</v>
      </c>
      <c r="H95" s="2">
        <v>45860</v>
      </c>
      <c r="I95" t="s">
        <v>29</v>
      </c>
      <c r="J95" t="s">
        <v>39</v>
      </c>
      <c r="K95" t="str">
        <f t="shared" ca="1" si="10"/>
        <v>OK</v>
      </c>
      <c r="L95" t="s">
        <v>191</v>
      </c>
      <c r="M95">
        <v>4</v>
      </c>
      <c r="N95" s="2">
        <v>46011</v>
      </c>
      <c r="O95" s="2" t="s">
        <v>22</v>
      </c>
      <c r="P95" s="4">
        <f t="shared" ca="1" si="8"/>
        <v>0</v>
      </c>
      <c r="Q95" s="4" t="str">
        <f t="shared" ca="1" si="9"/>
        <v>0-2 Years</v>
      </c>
      <c r="R95">
        <f t="shared" ca="1" si="11"/>
        <v>1</v>
      </c>
      <c r="S95" t="s">
        <v>22</v>
      </c>
      <c r="T95">
        <v>4</v>
      </c>
      <c r="U95" t="s">
        <v>1394</v>
      </c>
      <c r="V95" t="s">
        <v>1394</v>
      </c>
      <c r="W95" t="s">
        <v>1394</v>
      </c>
      <c r="X95" s="3">
        <v>2</v>
      </c>
      <c r="Y95" t="s">
        <v>1397</v>
      </c>
      <c r="Z95">
        <v>66955</v>
      </c>
      <c r="AA95">
        <v>0.15</v>
      </c>
      <c r="AB95">
        <v>76998.25</v>
      </c>
    </row>
    <row r="96" spans="1:28" x14ac:dyDescent="0.35">
      <c r="A96" t="str">
        <f t="shared" si="6"/>
        <v>EMP0095</v>
      </c>
      <c r="B96" t="str" cm="1">
        <f t="array" ref="B96">_xlfn.IFS(
ROW()&lt;=421,"NA",
ROW()&lt;=781,"LATAM",
ROW()&lt;=1021,"EMEA",
TRUE,"APAC"
)</f>
        <v>NA</v>
      </c>
      <c r="C96" t="str">
        <f t="shared" si="7"/>
        <v>USA</v>
      </c>
      <c r="D96" t="s">
        <v>44</v>
      </c>
      <c r="E96" t="s">
        <v>145</v>
      </c>
      <c r="F96" t="s">
        <v>158</v>
      </c>
      <c r="G96" t="s">
        <v>28</v>
      </c>
      <c r="H96" s="2">
        <v>45859</v>
      </c>
      <c r="I96" t="s">
        <v>29</v>
      </c>
      <c r="J96" t="s">
        <v>47</v>
      </c>
      <c r="K96" t="str">
        <f t="shared" ca="1" si="10"/>
        <v>OK</v>
      </c>
      <c r="L96" t="s">
        <v>164</v>
      </c>
      <c r="M96">
        <v>4</v>
      </c>
      <c r="N96" s="2">
        <v>46027</v>
      </c>
      <c r="O96" s="2" t="s">
        <v>22</v>
      </c>
      <c r="P96" s="4">
        <f t="shared" ca="1" si="8"/>
        <v>0</v>
      </c>
      <c r="Q96" s="4" t="str">
        <f t="shared" ca="1" si="9"/>
        <v>0-2 Years</v>
      </c>
      <c r="R96">
        <f t="shared" ca="1" si="11"/>
        <v>1</v>
      </c>
      <c r="S96" t="s">
        <v>22</v>
      </c>
      <c r="T96">
        <v>4</v>
      </c>
      <c r="U96" t="s">
        <v>1396</v>
      </c>
      <c r="V96" t="s">
        <v>1394</v>
      </c>
      <c r="W96" t="s">
        <v>1394</v>
      </c>
      <c r="X96" s="3">
        <v>1</v>
      </c>
      <c r="Y96" t="s">
        <v>1397</v>
      </c>
      <c r="Z96">
        <v>63810</v>
      </c>
      <c r="AA96">
        <v>0.15</v>
      </c>
      <c r="AB96">
        <v>73381.5</v>
      </c>
    </row>
    <row r="97" spans="1:28" x14ac:dyDescent="0.35">
      <c r="A97" t="str">
        <f t="shared" si="6"/>
        <v>EMP0096</v>
      </c>
      <c r="B97" t="str" cm="1">
        <f t="array" ref="B97">_xlfn.IFS(
ROW()&lt;=421,"NA",
ROW()&lt;=781,"LATAM",
ROW()&lt;=1021,"EMEA",
TRUE,"APAC"
)</f>
        <v>NA</v>
      </c>
      <c r="C97" t="str">
        <f t="shared" si="7"/>
        <v>USA</v>
      </c>
      <c r="D97" t="s">
        <v>44</v>
      </c>
      <c r="E97" t="s">
        <v>380</v>
      </c>
      <c r="F97" t="s">
        <v>595</v>
      </c>
      <c r="G97" t="s">
        <v>53</v>
      </c>
      <c r="H97" s="2">
        <v>45858</v>
      </c>
      <c r="I97" t="s">
        <v>29</v>
      </c>
      <c r="J97" t="s">
        <v>47</v>
      </c>
      <c r="K97" t="str">
        <f t="shared" ca="1" si="10"/>
        <v>OK</v>
      </c>
      <c r="L97" t="s">
        <v>944</v>
      </c>
      <c r="M97">
        <v>5</v>
      </c>
      <c r="N97" s="2">
        <v>46009</v>
      </c>
      <c r="O97" s="2" t="s">
        <v>22</v>
      </c>
      <c r="P97" s="4">
        <f t="shared" ca="1" si="8"/>
        <v>0</v>
      </c>
      <c r="Q97" s="4" t="str">
        <f t="shared" ca="1" si="9"/>
        <v>0-2 Years</v>
      </c>
      <c r="R97">
        <f t="shared" ca="1" si="11"/>
        <v>1</v>
      </c>
      <c r="S97" t="s">
        <v>22</v>
      </c>
      <c r="T97">
        <v>3</v>
      </c>
      <c r="U97" t="s">
        <v>1396</v>
      </c>
      <c r="V97" t="s">
        <v>1394</v>
      </c>
      <c r="W97" t="s">
        <v>1394</v>
      </c>
      <c r="X97" s="3">
        <v>5</v>
      </c>
      <c r="Y97" t="s">
        <v>1395</v>
      </c>
      <c r="Z97">
        <v>38466</v>
      </c>
      <c r="AA97">
        <v>0.1</v>
      </c>
      <c r="AB97">
        <v>42312.600000000006</v>
      </c>
    </row>
    <row r="98" spans="1:28" x14ac:dyDescent="0.35">
      <c r="A98" t="str">
        <f t="shared" si="6"/>
        <v>EMP0097</v>
      </c>
      <c r="B98" t="str" cm="1">
        <f t="array" ref="B98">_xlfn.IFS(
ROW()&lt;=421,"NA",
ROW()&lt;=781,"LATAM",
ROW()&lt;=1021,"EMEA",
TRUE,"APAC"
)</f>
        <v>NA</v>
      </c>
      <c r="C98" t="str">
        <f t="shared" si="7"/>
        <v>USA</v>
      </c>
      <c r="D98" t="s">
        <v>38</v>
      </c>
      <c r="E98" t="s">
        <v>380</v>
      </c>
      <c r="F98" t="s">
        <v>492</v>
      </c>
      <c r="G98" t="s">
        <v>28</v>
      </c>
      <c r="H98" s="2">
        <v>45857</v>
      </c>
      <c r="I98" t="s">
        <v>29</v>
      </c>
      <c r="J98" t="s">
        <v>39</v>
      </c>
      <c r="K98" t="str">
        <f t="shared" ca="1" si="10"/>
        <v>OK</v>
      </c>
      <c r="L98" t="s">
        <v>493</v>
      </c>
      <c r="M98">
        <v>5</v>
      </c>
      <c r="N98" s="2">
        <v>45996</v>
      </c>
      <c r="O98" s="2" t="s">
        <v>22</v>
      </c>
      <c r="P98" s="4">
        <f t="shared" ca="1" si="8"/>
        <v>0</v>
      </c>
      <c r="Q98" s="4" t="str">
        <f t="shared" ca="1" si="9"/>
        <v>0-2 Years</v>
      </c>
      <c r="R98">
        <f t="shared" ca="1" si="11"/>
        <v>1</v>
      </c>
      <c r="S98" t="s">
        <v>22</v>
      </c>
      <c r="T98">
        <v>3</v>
      </c>
      <c r="U98" t="s">
        <v>1394</v>
      </c>
      <c r="V98" t="s">
        <v>1394</v>
      </c>
      <c r="W98" t="s">
        <v>1394</v>
      </c>
      <c r="X98" s="3">
        <v>3</v>
      </c>
      <c r="Y98" t="s">
        <v>1398</v>
      </c>
      <c r="Z98">
        <v>38934</v>
      </c>
      <c r="AA98">
        <v>0.1</v>
      </c>
      <c r="AB98">
        <v>42827.4</v>
      </c>
    </row>
    <row r="99" spans="1:28" x14ac:dyDescent="0.35">
      <c r="A99" t="str">
        <f t="shared" si="6"/>
        <v>EMP0098</v>
      </c>
      <c r="B99" t="str" cm="1">
        <f t="array" ref="B99">_xlfn.IFS(
ROW()&lt;=421,"NA",
ROW()&lt;=781,"LATAM",
ROW()&lt;=1021,"EMEA",
TRUE,"APAC"
)</f>
        <v>NA</v>
      </c>
      <c r="C99" t="str">
        <f t="shared" si="7"/>
        <v>USA</v>
      </c>
      <c r="D99" t="s">
        <v>38</v>
      </c>
      <c r="E99" t="s">
        <v>380</v>
      </c>
      <c r="F99" t="s">
        <v>1106</v>
      </c>
      <c r="G99" t="s">
        <v>28</v>
      </c>
      <c r="H99" s="2">
        <v>45856</v>
      </c>
      <c r="I99" t="s">
        <v>57</v>
      </c>
      <c r="J99" t="s">
        <v>39</v>
      </c>
      <c r="K99" t="str">
        <f t="shared" ca="1" si="10"/>
        <v>OK</v>
      </c>
      <c r="L99" t="s">
        <v>1141</v>
      </c>
      <c r="M99">
        <v>5</v>
      </c>
      <c r="N99" s="2">
        <v>46062</v>
      </c>
      <c r="O99" s="2">
        <v>46071</v>
      </c>
      <c r="P99" s="4">
        <f t="shared" ca="1" si="8"/>
        <v>0</v>
      </c>
      <c r="Q99" s="4" t="str">
        <f t="shared" ca="1" si="9"/>
        <v>0-2 Years</v>
      </c>
      <c r="R99">
        <f t="shared" ca="1" si="11"/>
        <v>1</v>
      </c>
      <c r="S99" t="s">
        <v>23</v>
      </c>
      <c r="T99">
        <v>2</v>
      </c>
      <c r="U99" t="s">
        <v>1394</v>
      </c>
      <c r="V99" t="s">
        <v>1394</v>
      </c>
      <c r="W99" t="s">
        <v>1394</v>
      </c>
      <c r="X99" s="3">
        <v>3</v>
      </c>
      <c r="Y99" t="s">
        <v>1398</v>
      </c>
      <c r="Z99">
        <v>34199</v>
      </c>
      <c r="AA99">
        <v>0.1</v>
      </c>
      <c r="AB99">
        <v>37618.9</v>
      </c>
    </row>
    <row r="100" spans="1:28" x14ac:dyDescent="0.35">
      <c r="A100" t="str">
        <f t="shared" si="6"/>
        <v>EMP0099</v>
      </c>
      <c r="B100" t="str" cm="1">
        <f t="array" ref="B100">_xlfn.IFS(
ROW()&lt;=421,"NA",
ROW()&lt;=781,"LATAM",
ROW()&lt;=1021,"EMEA",
TRUE,"APAC"
)</f>
        <v>NA</v>
      </c>
      <c r="C100" t="str">
        <f t="shared" si="7"/>
        <v>USA</v>
      </c>
      <c r="D100" t="s">
        <v>38</v>
      </c>
      <c r="E100" t="s">
        <v>145</v>
      </c>
      <c r="F100" t="s">
        <v>192</v>
      </c>
      <c r="G100" t="s">
        <v>28</v>
      </c>
      <c r="H100" s="2">
        <v>45855</v>
      </c>
      <c r="I100" t="s">
        <v>29</v>
      </c>
      <c r="J100" t="s">
        <v>39</v>
      </c>
      <c r="K100" t="str">
        <f t="shared" ca="1" si="10"/>
        <v>OK</v>
      </c>
      <c r="L100" t="s">
        <v>227</v>
      </c>
      <c r="M100">
        <v>4</v>
      </c>
      <c r="N100" s="2">
        <v>45997</v>
      </c>
      <c r="O100" s="2" t="s">
        <v>22</v>
      </c>
      <c r="P100" s="4">
        <f t="shared" ca="1" si="8"/>
        <v>0</v>
      </c>
      <c r="Q100" s="4" t="str">
        <f t="shared" ca="1" si="9"/>
        <v>0-2 Years</v>
      </c>
      <c r="R100">
        <f t="shared" ca="1" si="11"/>
        <v>1</v>
      </c>
      <c r="S100" t="s">
        <v>22</v>
      </c>
      <c r="T100">
        <v>3</v>
      </c>
      <c r="U100" t="s">
        <v>1394</v>
      </c>
      <c r="V100" t="s">
        <v>1394</v>
      </c>
      <c r="W100" t="s">
        <v>1394</v>
      </c>
      <c r="X100" s="3">
        <v>2</v>
      </c>
      <c r="Y100" t="s">
        <v>1397</v>
      </c>
      <c r="Z100">
        <v>52539</v>
      </c>
      <c r="AA100">
        <v>0.15</v>
      </c>
      <c r="AB100">
        <v>60419.85</v>
      </c>
    </row>
    <row r="101" spans="1:28" x14ac:dyDescent="0.35">
      <c r="A101" t="str">
        <f t="shared" si="6"/>
        <v>EMP0100</v>
      </c>
      <c r="B101" t="str" cm="1">
        <f t="array" ref="B101">_xlfn.IFS(
ROW()&lt;=421,"NA",
ROW()&lt;=781,"LATAM",
ROW()&lt;=1021,"EMEA",
TRUE,"APAC"
)</f>
        <v>NA</v>
      </c>
      <c r="C101" t="str">
        <f t="shared" si="7"/>
        <v>USA</v>
      </c>
      <c r="D101" t="s">
        <v>35</v>
      </c>
      <c r="E101" t="s">
        <v>380</v>
      </c>
      <c r="F101" t="s">
        <v>693</v>
      </c>
      <c r="G101" t="s">
        <v>28</v>
      </c>
      <c r="H101" s="2">
        <v>45855</v>
      </c>
      <c r="I101" t="s">
        <v>29</v>
      </c>
      <c r="J101" t="s">
        <v>36</v>
      </c>
      <c r="K101" t="str">
        <f t="shared" ca="1" si="10"/>
        <v>OK</v>
      </c>
      <c r="L101" t="s">
        <v>694</v>
      </c>
      <c r="M101">
        <v>5</v>
      </c>
      <c r="N101" s="2">
        <v>45999</v>
      </c>
      <c r="O101" s="2" t="s">
        <v>22</v>
      </c>
      <c r="P101" s="4">
        <f t="shared" ca="1" si="8"/>
        <v>0</v>
      </c>
      <c r="Q101" s="4" t="str">
        <f t="shared" ca="1" si="9"/>
        <v>0-2 Years</v>
      </c>
      <c r="R101">
        <f t="shared" ca="1" si="11"/>
        <v>1</v>
      </c>
      <c r="S101" t="s">
        <v>22</v>
      </c>
      <c r="T101">
        <v>3</v>
      </c>
      <c r="U101" t="s">
        <v>1394</v>
      </c>
      <c r="V101" t="s">
        <v>1394</v>
      </c>
      <c r="W101" t="s">
        <v>1394</v>
      </c>
      <c r="X101" s="3">
        <v>5</v>
      </c>
      <c r="Y101" t="s">
        <v>1395</v>
      </c>
      <c r="Z101">
        <v>33706</v>
      </c>
      <c r="AA101">
        <v>0.1</v>
      </c>
      <c r="AB101">
        <v>37076.600000000006</v>
      </c>
    </row>
    <row r="102" spans="1:28" x14ac:dyDescent="0.35">
      <c r="A102" t="str">
        <f t="shared" si="6"/>
        <v>EMP0101</v>
      </c>
      <c r="B102" t="str" cm="1">
        <f t="array" ref="B102">_xlfn.IFS(
ROW()&lt;=421,"NA",
ROW()&lt;=781,"LATAM",
ROW()&lt;=1021,"EMEA",
TRUE,"APAC"
)</f>
        <v>NA</v>
      </c>
      <c r="C102" t="str">
        <f t="shared" si="7"/>
        <v>USA</v>
      </c>
      <c r="D102" t="s">
        <v>35</v>
      </c>
      <c r="E102" t="s">
        <v>380</v>
      </c>
      <c r="F102" t="s">
        <v>575</v>
      </c>
      <c r="G102" t="s">
        <v>28</v>
      </c>
      <c r="H102" s="2">
        <v>45854</v>
      </c>
      <c r="I102" t="s">
        <v>29</v>
      </c>
      <c r="J102" t="s">
        <v>36</v>
      </c>
      <c r="K102" t="str">
        <f t="shared" ca="1" si="10"/>
        <v>OK</v>
      </c>
      <c r="L102" t="s">
        <v>1057</v>
      </c>
      <c r="M102">
        <v>5</v>
      </c>
      <c r="N102" s="2">
        <v>45995</v>
      </c>
      <c r="O102" s="2" t="s">
        <v>22</v>
      </c>
      <c r="P102" s="4">
        <f t="shared" ca="1" si="8"/>
        <v>0</v>
      </c>
      <c r="Q102" s="4" t="str">
        <f t="shared" ca="1" si="9"/>
        <v>0-2 Years</v>
      </c>
      <c r="R102">
        <f t="shared" ca="1" si="11"/>
        <v>1</v>
      </c>
      <c r="S102" t="s">
        <v>22</v>
      </c>
      <c r="T102">
        <v>4</v>
      </c>
      <c r="U102" t="s">
        <v>1394</v>
      </c>
      <c r="V102" t="s">
        <v>1394</v>
      </c>
      <c r="W102" t="s">
        <v>1394</v>
      </c>
      <c r="X102" s="3">
        <v>3</v>
      </c>
      <c r="Y102" t="s">
        <v>1398</v>
      </c>
      <c r="Z102">
        <v>45759</v>
      </c>
      <c r="AA102">
        <v>0.1</v>
      </c>
      <c r="AB102">
        <v>50334.9</v>
      </c>
    </row>
    <row r="103" spans="1:28" x14ac:dyDescent="0.35">
      <c r="A103" t="str">
        <f t="shared" si="6"/>
        <v>EMP0102</v>
      </c>
      <c r="B103" t="str" cm="1">
        <f t="array" ref="B103">_xlfn.IFS(
ROW()&lt;=421,"NA",
ROW()&lt;=781,"LATAM",
ROW()&lt;=1021,"EMEA",
TRUE,"APAC"
)</f>
        <v>NA</v>
      </c>
      <c r="C103" t="str">
        <f t="shared" si="7"/>
        <v>USA</v>
      </c>
      <c r="D103" t="s">
        <v>41</v>
      </c>
      <c r="E103" t="s">
        <v>380</v>
      </c>
      <c r="F103" t="s">
        <v>1341</v>
      </c>
      <c r="G103" t="s">
        <v>53</v>
      </c>
      <c r="H103" s="2">
        <v>45852</v>
      </c>
      <c r="I103" t="s">
        <v>29</v>
      </c>
      <c r="J103" t="s">
        <v>42</v>
      </c>
      <c r="K103" t="str">
        <f t="shared" ca="1" si="10"/>
        <v>OK</v>
      </c>
      <c r="L103" t="s">
        <v>1343</v>
      </c>
      <c r="M103">
        <v>5</v>
      </c>
      <c r="N103" s="2">
        <v>46026</v>
      </c>
      <c r="O103" s="2" t="s">
        <v>22</v>
      </c>
      <c r="P103" s="4">
        <f t="shared" ca="1" si="8"/>
        <v>0</v>
      </c>
      <c r="Q103" s="4" t="str">
        <f t="shared" ca="1" si="9"/>
        <v>0-2 Years</v>
      </c>
      <c r="R103">
        <f t="shared" ca="1" si="11"/>
        <v>1</v>
      </c>
      <c r="S103" t="s">
        <v>22</v>
      </c>
      <c r="T103">
        <v>4</v>
      </c>
      <c r="U103" t="s">
        <v>1394</v>
      </c>
      <c r="V103" t="s">
        <v>1394</v>
      </c>
      <c r="W103" t="s">
        <v>1394</v>
      </c>
      <c r="X103" s="3">
        <v>1</v>
      </c>
      <c r="Y103" t="s">
        <v>1397</v>
      </c>
      <c r="Z103">
        <v>37885</v>
      </c>
      <c r="AA103">
        <v>0.1</v>
      </c>
      <c r="AB103">
        <v>41673.5</v>
      </c>
    </row>
    <row r="104" spans="1:28" x14ac:dyDescent="0.35">
      <c r="A104" t="str">
        <f t="shared" si="6"/>
        <v>EMP0103</v>
      </c>
      <c r="B104" t="str" cm="1">
        <f t="array" ref="B104">_xlfn.IFS(
ROW()&lt;=421,"NA",
ROW()&lt;=781,"LATAM",
ROW()&lt;=1021,"EMEA",
TRUE,"APAC"
)</f>
        <v>NA</v>
      </c>
      <c r="C104" t="str">
        <f t="shared" si="7"/>
        <v>USA</v>
      </c>
      <c r="D104" t="s">
        <v>44</v>
      </c>
      <c r="E104" t="s">
        <v>380</v>
      </c>
      <c r="F104" t="s">
        <v>570</v>
      </c>
      <c r="G104" t="s">
        <v>28</v>
      </c>
      <c r="H104" s="2">
        <v>45847</v>
      </c>
      <c r="I104" t="s">
        <v>29</v>
      </c>
      <c r="J104" t="s">
        <v>47</v>
      </c>
      <c r="K104" t="str">
        <f t="shared" ca="1" si="10"/>
        <v>OK</v>
      </c>
      <c r="L104" t="s">
        <v>581</v>
      </c>
      <c r="M104">
        <v>5</v>
      </c>
      <c r="N104" s="2">
        <v>46009</v>
      </c>
      <c r="O104" s="2" t="s">
        <v>22</v>
      </c>
      <c r="P104" s="4">
        <f t="shared" ca="1" si="8"/>
        <v>0</v>
      </c>
      <c r="Q104" s="4" t="str">
        <f t="shared" ca="1" si="9"/>
        <v>0-2 Years</v>
      </c>
      <c r="R104">
        <f t="shared" ca="1" si="11"/>
        <v>1</v>
      </c>
      <c r="S104" t="s">
        <v>22</v>
      </c>
      <c r="T104">
        <v>4</v>
      </c>
      <c r="U104" t="s">
        <v>1396</v>
      </c>
      <c r="V104" t="s">
        <v>1394</v>
      </c>
      <c r="W104" t="s">
        <v>1394</v>
      </c>
      <c r="X104" s="3">
        <v>2</v>
      </c>
      <c r="Y104" t="s">
        <v>1397</v>
      </c>
      <c r="Z104">
        <v>35111</v>
      </c>
      <c r="AA104">
        <v>0.1</v>
      </c>
      <c r="AB104">
        <v>38622.100000000006</v>
      </c>
    </row>
    <row r="105" spans="1:28" x14ac:dyDescent="0.35">
      <c r="A105" t="str">
        <f t="shared" si="6"/>
        <v>EMP0104</v>
      </c>
      <c r="B105" t="str" cm="1">
        <f t="array" ref="B105">_xlfn.IFS(
ROW()&lt;=421,"NA",
ROW()&lt;=781,"LATAM",
ROW()&lt;=1021,"EMEA",
TRUE,"APAC"
)</f>
        <v>NA</v>
      </c>
      <c r="C105" t="str">
        <f t="shared" si="7"/>
        <v>USA</v>
      </c>
      <c r="D105" t="s">
        <v>32</v>
      </c>
      <c r="E105" t="s">
        <v>145</v>
      </c>
      <c r="F105" t="s">
        <v>247</v>
      </c>
      <c r="G105" t="s">
        <v>28</v>
      </c>
      <c r="H105" s="2">
        <v>45845</v>
      </c>
      <c r="I105" t="s">
        <v>29</v>
      </c>
      <c r="J105" t="s">
        <v>33</v>
      </c>
      <c r="K105" t="str">
        <f t="shared" ca="1" si="10"/>
        <v>OK</v>
      </c>
      <c r="L105" t="s">
        <v>248</v>
      </c>
      <c r="M105">
        <v>4</v>
      </c>
      <c r="N105" s="2">
        <v>46073</v>
      </c>
      <c r="O105" s="2" t="s">
        <v>22</v>
      </c>
      <c r="P105" s="4">
        <f t="shared" ca="1" si="8"/>
        <v>0</v>
      </c>
      <c r="Q105" s="4" t="str">
        <f t="shared" ca="1" si="9"/>
        <v>0-2 Years</v>
      </c>
      <c r="R105">
        <f t="shared" ca="1" si="11"/>
        <v>1</v>
      </c>
      <c r="S105" t="s">
        <v>22</v>
      </c>
      <c r="T105">
        <v>5</v>
      </c>
      <c r="U105" t="s">
        <v>1394</v>
      </c>
      <c r="V105" t="s">
        <v>1394</v>
      </c>
      <c r="W105" t="s">
        <v>1394</v>
      </c>
      <c r="X105" s="3">
        <v>4</v>
      </c>
      <c r="Y105" t="s">
        <v>1395</v>
      </c>
      <c r="Z105">
        <v>74315</v>
      </c>
      <c r="AA105">
        <v>0.15</v>
      </c>
      <c r="AB105">
        <v>85462.25</v>
      </c>
    </row>
    <row r="106" spans="1:28" x14ac:dyDescent="0.35">
      <c r="A106" t="str">
        <f t="shared" si="6"/>
        <v>EMP0105</v>
      </c>
      <c r="B106" t="str" cm="1">
        <f t="array" ref="B106">_xlfn.IFS(
ROW()&lt;=421,"NA",
ROW()&lt;=781,"LATAM",
ROW()&lt;=1021,"EMEA",
TRUE,"APAC"
)</f>
        <v>NA</v>
      </c>
      <c r="C106" t="str">
        <f t="shared" si="7"/>
        <v>USA</v>
      </c>
      <c r="D106" t="s">
        <v>41</v>
      </c>
      <c r="E106" t="s">
        <v>380</v>
      </c>
      <c r="F106" t="s">
        <v>545</v>
      </c>
      <c r="G106" t="s">
        <v>28</v>
      </c>
      <c r="H106" s="2">
        <v>45844</v>
      </c>
      <c r="I106" t="s">
        <v>29</v>
      </c>
      <c r="J106" t="s">
        <v>42</v>
      </c>
      <c r="K106" t="str">
        <f t="shared" ca="1" si="10"/>
        <v>OK</v>
      </c>
      <c r="L106" t="s">
        <v>967</v>
      </c>
      <c r="M106">
        <v>5</v>
      </c>
      <c r="N106" s="2">
        <v>46037</v>
      </c>
      <c r="O106" s="2" t="s">
        <v>22</v>
      </c>
      <c r="P106" s="4">
        <f t="shared" ca="1" si="8"/>
        <v>0</v>
      </c>
      <c r="Q106" s="4" t="str">
        <f t="shared" ca="1" si="9"/>
        <v>0-2 Years</v>
      </c>
      <c r="R106">
        <f t="shared" ca="1" si="11"/>
        <v>1</v>
      </c>
      <c r="S106" t="s">
        <v>22</v>
      </c>
      <c r="T106">
        <v>2</v>
      </c>
      <c r="U106" t="s">
        <v>1396</v>
      </c>
      <c r="V106" t="s">
        <v>1394</v>
      </c>
      <c r="W106" t="s">
        <v>1394</v>
      </c>
      <c r="X106" s="3">
        <v>2</v>
      </c>
      <c r="Y106" t="s">
        <v>1397</v>
      </c>
      <c r="Z106">
        <v>41698</v>
      </c>
      <c r="AA106">
        <v>0.1</v>
      </c>
      <c r="AB106">
        <v>45867.8</v>
      </c>
    </row>
    <row r="107" spans="1:28" x14ac:dyDescent="0.35">
      <c r="A107" t="str">
        <f t="shared" si="6"/>
        <v>EMP0106</v>
      </c>
      <c r="B107" t="str" cm="1">
        <f t="array" ref="B107">_xlfn.IFS(
ROW()&lt;=421,"NA",
ROW()&lt;=781,"LATAM",
ROW()&lt;=1021,"EMEA",
TRUE,"APAC"
)</f>
        <v>NA</v>
      </c>
      <c r="C107" t="str">
        <f t="shared" si="7"/>
        <v>USA</v>
      </c>
      <c r="D107" t="s">
        <v>38</v>
      </c>
      <c r="E107" t="s">
        <v>380</v>
      </c>
      <c r="F107" t="s">
        <v>531</v>
      </c>
      <c r="G107" t="s">
        <v>28</v>
      </c>
      <c r="H107" s="2">
        <v>45843</v>
      </c>
      <c r="I107" t="s">
        <v>29</v>
      </c>
      <c r="J107" t="s">
        <v>39</v>
      </c>
      <c r="K107" t="str">
        <f t="shared" ca="1" si="10"/>
        <v>OK</v>
      </c>
      <c r="L107" t="s">
        <v>1320</v>
      </c>
      <c r="M107">
        <v>5</v>
      </c>
      <c r="N107" s="2">
        <v>46072</v>
      </c>
      <c r="O107" s="2" t="s">
        <v>22</v>
      </c>
      <c r="P107" s="4">
        <f t="shared" ca="1" si="8"/>
        <v>0</v>
      </c>
      <c r="Q107" s="4" t="str">
        <f t="shared" ca="1" si="9"/>
        <v>0-2 Years</v>
      </c>
      <c r="R107">
        <f t="shared" ca="1" si="11"/>
        <v>1</v>
      </c>
      <c r="S107" t="s">
        <v>22</v>
      </c>
      <c r="T107">
        <v>3</v>
      </c>
      <c r="U107" t="s">
        <v>1394</v>
      </c>
      <c r="V107" t="s">
        <v>1394</v>
      </c>
      <c r="W107" t="s">
        <v>1394</v>
      </c>
      <c r="X107" s="3">
        <v>3</v>
      </c>
      <c r="Y107" t="s">
        <v>1398</v>
      </c>
      <c r="Z107">
        <v>22786</v>
      </c>
      <c r="AA107">
        <v>0.1</v>
      </c>
      <c r="AB107">
        <v>25064.600000000002</v>
      </c>
    </row>
    <row r="108" spans="1:28" x14ac:dyDescent="0.35">
      <c r="A108" t="str">
        <f t="shared" si="6"/>
        <v>EMP0107</v>
      </c>
      <c r="B108" t="str" cm="1">
        <f t="array" ref="B108">_xlfn.IFS(
ROW()&lt;=421,"NA",
ROW()&lt;=781,"LATAM",
ROW()&lt;=1021,"EMEA",
TRUE,"APAC"
)</f>
        <v>NA</v>
      </c>
      <c r="C108" t="str">
        <f t="shared" si="7"/>
        <v>USA</v>
      </c>
      <c r="D108" t="s">
        <v>41</v>
      </c>
      <c r="E108" t="s">
        <v>380</v>
      </c>
      <c r="F108" t="s">
        <v>482</v>
      </c>
      <c r="G108" t="s">
        <v>28</v>
      </c>
      <c r="H108" s="2">
        <v>45843</v>
      </c>
      <c r="I108" t="s">
        <v>29</v>
      </c>
      <c r="J108" t="s">
        <v>42</v>
      </c>
      <c r="K108" t="str">
        <f t="shared" ca="1" si="10"/>
        <v>OK</v>
      </c>
      <c r="L108" t="s">
        <v>1148</v>
      </c>
      <c r="M108">
        <v>5</v>
      </c>
      <c r="N108" s="2">
        <v>46077</v>
      </c>
      <c r="O108" s="2" t="s">
        <v>22</v>
      </c>
      <c r="P108" s="4">
        <f t="shared" ca="1" si="8"/>
        <v>0</v>
      </c>
      <c r="Q108" s="4" t="str">
        <f t="shared" ca="1" si="9"/>
        <v>0-2 Years</v>
      </c>
      <c r="R108">
        <f t="shared" ca="1" si="11"/>
        <v>1</v>
      </c>
      <c r="S108" t="s">
        <v>22</v>
      </c>
      <c r="T108">
        <v>4</v>
      </c>
      <c r="U108" t="s">
        <v>1394</v>
      </c>
      <c r="V108" t="s">
        <v>1394</v>
      </c>
      <c r="W108" t="s">
        <v>1394</v>
      </c>
      <c r="X108" s="3">
        <v>2</v>
      </c>
      <c r="Y108" t="s">
        <v>1397</v>
      </c>
      <c r="Z108">
        <v>30541</v>
      </c>
      <c r="AA108">
        <v>0.1</v>
      </c>
      <c r="AB108">
        <v>33595.100000000006</v>
      </c>
    </row>
    <row r="109" spans="1:28" x14ac:dyDescent="0.35">
      <c r="A109" t="str">
        <f t="shared" si="6"/>
        <v>EMP0108</v>
      </c>
      <c r="B109" t="str" cm="1">
        <f t="array" ref="B109">_xlfn.IFS(
ROW()&lt;=421,"NA",
ROW()&lt;=781,"LATAM",
ROW()&lt;=1021,"EMEA",
TRUE,"APAC"
)</f>
        <v>NA</v>
      </c>
      <c r="C109" t="str">
        <f t="shared" si="7"/>
        <v>USA</v>
      </c>
      <c r="D109" t="s">
        <v>26</v>
      </c>
      <c r="E109" t="s">
        <v>380</v>
      </c>
      <c r="G109" t="s">
        <v>28</v>
      </c>
      <c r="H109" s="2">
        <v>45842</v>
      </c>
      <c r="I109" t="s">
        <v>29</v>
      </c>
      <c r="J109" t="s">
        <v>30</v>
      </c>
      <c r="K109" t="str">
        <f t="shared" ca="1" si="10"/>
        <v>⚠ Review</v>
      </c>
      <c r="L109" t="s">
        <v>1186</v>
      </c>
      <c r="M109">
        <v>5</v>
      </c>
      <c r="N109" s="2">
        <v>46056</v>
      </c>
      <c r="O109" s="2" t="s">
        <v>22</v>
      </c>
      <c r="P109" s="4">
        <f t="shared" ca="1" si="8"/>
        <v>0</v>
      </c>
      <c r="Q109" s="4" t="str">
        <f t="shared" ca="1" si="9"/>
        <v>0-2 Years</v>
      </c>
      <c r="R109">
        <f t="shared" ca="1" si="11"/>
        <v>1</v>
      </c>
      <c r="S109" t="s">
        <v>22</v>
      </c>
      <c r="T109">
        <v>3</v>
      </c>
      <c r="U109" t="s">
        <v>1394</v>
      </c>
      <c r="V109" t="s">
        <v>1394</v>
      </c>
      <c r="W109" t="s">
        <v>1394</v>
      </c>
      <c r="X109" s="3">
        <v>2</v>
      </c>
      <c r="Y109" t="s">
        <v>1397</v>
      </c>
      <c r="Z109">
        <v>33594</v>
      </c>
      <c r="AA109">
        <v>0.1</v>
      </c>
      <c r="AB109">
        <v>36953.4</v>
      </c>
    </row>
    <row r="110" spans="1:28" x14ac:dyDescent="0.35">
      <c r="A110" t="str">
        <f t="shared" si="6"/>
        <v>EMP0109</v>
      </c>
      <c r="B110" t="str" cm="1">
        <f t="array" ref="B110">_xlfn.IFS(
ROW()&lt;=421,"NA",
ROW()&lt;=781,"LATAM",
ROW()&lt;=1021,"EMEA",
TRUE,"APAC"
)</f>
        <v>NA</v>
      </c>
      <c r="C110" t="str">
        <f t="shared" si="7"/>
        <v>USA</v>
      </c>
      <c r="D110" t="s">
        <v>26</v>
      </c>
      <c r="E110" t="s">
        <v>380</v>
      </c>
      <c r="F110" t="s">
        <v>514</v>
      </c>
      <c r="G110" t="s">
        <v>28</v>
      </c>
      <c r="H110" s="2">
        <v>45834</v>
      </c>
      <c r="I110" t="s">
        <v>29</v>
      </c>
      <c r="J110" t="s">
        <v>30</v>
      </c>
      <c r="K110" t="str">
        <f t="shared" ca="1" si="10"/>
        <v>OK</v>
      </c>
      <c r="L110" t="s">
        <v>962</v>
      </c>
      <c r="M110">
        <v>5</v>
      </c>
      <c r="N110" s="2">
        <v>46078</v>
      </c>
      <c r="O110" s="2" t="s">
        <v>22</v>
      </c>
      <c r="P110" s="4">
        <f t="shared" ca="1" si="8"/>
        <v>0</v>
      </c>
      <c r="Q110" s="4" t="str">
        <f t="shared" ca="1" si="9"/>
        <v>0-2 Years</v>
      </c>
      <c r="R110">
        <f t="shared" ca="1" si="11"/>
        <v>1</v>
      </c>
      <c r="S110" t="s">
        <v>22</v>
      </c>
      <c r="T110">
        <v>3</v>
      </c>
      <c r="U110" t="s">
        <v>1394</v>
      </c>
      <c r="V110" t="s">
        <v>1394</v>
      </c>
      <c r="W110" t="s">
        <v>1394</v>
      </c>
      <c r="X110" s="3">
        <v>2</v>
      </c>
      <c r="Y110" t="s">
        <v>1397</v>
      </c>
      <c r="Z110">
        <v>46628</v>
      </c>
      <c r="AA110">
        <v>0.1</v>
      </c>
      <c r="AB110">
        <v>51290.8</v>
      </c>
    </row>
    <row r="111" spans="1:28" x14ac:dyDescent="0.35">
      <c r="A111" t="str">
        <f t="shared" si="6"/>
        <v>EMP0110</v>
      </c>
      <c r="B111" t="str" cm="1">
        <f t="array" ref="B111">_xlfn.IFS(
ROW()&lt;=421,"NA",
ROW()&lt;=781,"LATAM",
ROW()&lt;=1021,"EMEA",
TRUE,"APAC"
)</f>
        <v>NA</v>
      </c>
      <c r="C111" t="str">
        <f t="shared" si="7"/>
        <v>USA</v>
      </c>
      <c r="D111" t="s">
        <v>32</v>
      </c>
      <c r="E111" t="s">
        <v>380</v>
      </c>
      <c r="F111" t="s">
        <v>412</v>
      </c>
      <c r="G111" t="s">
        <v>28</v>
      </c>
      <c r="H111" s="2">
        <v>45833</v>
      </c>
      <c r="I111" t="s">
        <v>29</v>
      </c>
      <c r="J111" t="s">
        <v>33</v>
      </c>
      <c r="K111" t="str">
        <f t="shared" ca="1" si="10"/>
        <v>OK</v>
      </c>
      <c r="L111" t="s">
        <v>781</v>
      </c>
      <c r="M111">
        <v>5</v>
      </c>
      <c r="N111" s="2">
        <v>45993</v>
      </c>
      <c r="O111" s="2" t="s">
        <v>22</v>
      </c>
      <c r="P111" s="4">
        <f t="shared" ca="1" si="8"/>
        <v>0</v>
      </c>
      <c r="Q111" s="4" t="str">
        <f t="shared" ca="1" si="9"/>
        <v>0-2 Years</v>
      </c>
      <c r="R111">
        <f t="shared" ca="1" si="11"/>
        <v>1</v>
      </c>
      <c r="S111" t="s">
        <v>22</v>
      </c>
      <c r="T111">
        <v>4</v>
      </c>
      <c r="U111" t="s">
        <v>1394</v>
      </c>
      <c r="V111" t="s">
        <v>1394</v>
      </c>
      <c r="W111" t="s">
        <v>1394</v>
      </c>
      <c r="X111" s="3">
        <v>5</v>
      </c>
      <c r="Y111" t="s">
        <v>1395</v>
      </c>
      <c r="Z111">
        <v>26890</v>
      </c>
      <c r="AA111">
        <v>0.1</v>
      </c>
      <c r="AB111">
        <v>29579.000000000004</v>
      </c>
    </row>
    <row r="112" spans="1:28" x14ac:dyDescent="0.35">
      <c r="A112" t="str">
        <f t="shared" si="6"/>
        <v>EMP0111</v>
      </c>
      <c r="B112" t="str" cm="1">
        <f t="array" ref="B112">_xlfn.IFS(
ROW()&lt;=421,"NA",
ROW()&lt;=781,"LATAM",
ROW()&lt;=1021,"EMEA",
TRUE,"APAC"
)</f>
        <v>NA</v>
      </c>
      <c r="C112" t="str">
        <f t="shared" si="7"/>
        <v>USA</v>
      </c>
      <c r="D112" t="s">
        <v>35</v>
      </c>
      <c r="E112" t="s">
        <v>380</v>
      </c>
      <c r="F112" t="s">
        <v>488</v>
      </c>
      <c r="G112" t="s">
        <v>28</v>
      </c>
      <c r="H112" s="2">
        <v>45832</v>
      </c>
      <c r="I112" t="s">
        <v>29</v>
      </c>
      <c r="J112" t="s">
        <v>36</v>
      </c>
      <c r="K112" t="str">
        <f t="shared" ca="1" si="10"/>
        <v>OK</v>
      </c>
      <c r="L112" t="s">
        <v>1200</v>
      </c>
      <c r="M112">
        <v>5</v>
      </c>
      <c r="N112" s="2">
        <v>46071</v>
      </c>
      <c r="O112" s="2" t="s">
        <v>22</v>
      </c>
      <c r="P112" s="4">
        <f t="shared" ca="1" si="8"/>
        <v>0</v>
      </c>
      <c r="Q112" s="4" t="str">
        <f t="shared" ca="1" si="9"/>
        <v>0-2 Years</v>
      </c>
      <c r="R112">
        <f t="shared" ca="1" si="11"/>
        <v>1</v>
      </c>
      <c r="S112" t="s">
        <v>22</v>
      </c>
      <c r="T112">
        <v>4</v>
      </c>
      <c r="U112" t="s">
        <v>1396</v>
      </c>
      <c r="V112" t="s">
        <v>1396</v>
      </c>
      <c r="W112" t="s">
        <v>1396</v>
      </c>
      <c r="X112" s="3">
        <v>1</v>
      </c>
      <c r="Y112" t="s">
        <v>1397</v>
      </c>
      <c r="Z112">
        <v>47697</v>
      </c>
      <c r="AA112">
        <v>0.1</v>
      </c>
      <c r="AB112">
        <v>52466.700000000004</v>
      </c>
    </row>
    <row r="113" spans="1:28" x14ac:dyDescent="0.35">
      <c r="A113" t="str">
        <f t="shared" si="6"/>
        <v>EMP0112</v>
      </c>
      <c r="B113" t="str" cm="1">
        <f t="array" ref="B113">_xlfn.IFS(
ROW()&lt;=421,"NA",
ROW()&lt;=781,"LATAM",
ROW()&lt;=1021,"EMEA",
TRUE,"APAC"
)</f>
        <v>NA</v>
      </c>
      <c r="C113" t="str">
        <f t="shared" si="7"/>
        <v>USA</v>
      </c>
      <c r="D113" t="s">
        <v>35</v>
      </c>
      <c r="E113" t="s">
        <v>380</v>
      </c>
      <c r="F113" t="s">
        <v>845</v>
      </c>
      <c r="G113" t="s">
        <v>28</v>
      </c>
      <c r="H113" s="2">
        <v>45830</v>
      </c>
      <c r="I113" t="s">
        <v>29</v>
      </c>
      <c r="J113" t="s">
        <v>36</v>
      </c>
      <c r="K113" t="str">
        <f t="shared" ca="1" si="10"/>
        <v>OK</v>
      </c>
      <c r="L113" t="s">
        <v>919</v>
      </c>
      <c r="M113">
        <v>5</v>
      </c>
      <c r="N113" s="2">
        <v>46002</v>
      </c>
      <c r="O113" s="2" t="s">
        <v>22</v>
      </c>
      <c r="P113" s="4">
        <f t="shared" ca="1" si="8"/>
        <v>0</v>
      </c>
      <c r="Q113" s="4" t="str">
        <f t="shared" ca="1" si="9"/>
        <v>0-2 Years</v>
      </c>
      <c r="R113">
        <f t="shared" ca="1" si="11"/>
        <v>1</v>
      </c>
      <c r="S113" t="s">
        <v>22</v>
      </c>
      <c r="T113">
        <v>4</v>
      </c>
      <c r="U113" t="s">
        <v>1394</v>
      </c>
      <c r="V113" t="s">
        <v>1394</v>
      </c>
      <c r="W113" t="s">
        <v>1394</v>
      </c>
      <c r="X113" s="3">
        <v>2</v>
      </c>
      <c r="Y113" t="s">
        <v>1397</v>
      </c>
      <c r="Z113">
        <v>22662</v>
      </c>
      <c r="AA113">
        <v>0.1</v>
      </c>
      <c r="AB113">
        <v>24928.2</v>
      </c>
    </row>
    <row r="114" spans="1:28" x14ac:dyDescent="0.35">
      <c r="A114" t="str">
        <f t="shared" si="6"/>
        <v>EMP0113</v>
      </c>
      <c r="B114" t="str" cm="1">
        <f t="array" ref="B114">_xlfn.IFS(
ROW()&lt;=421,"NA",
ROW()&lt;=781,"LATAM",
ROW()&lt;=1021,"EMEA",
TRUE,"APAC"
)</f>
        <v>NA</v>
      </c>
      <c r="C114" t="str">
        <f t="shared" si="7"/>
        <v>USA</v>
      </c>
      <c r="D114" t="s">
        <v>26</v>
      </c>
      <c r="E114" t="s">
        <v>145</v>
      </c>
      <c r="F114" t="s">
        <v>156</v>
      </c>
      <c r="G114" t="s">
        <v>28</v>
      </c>
      <c r="H114" s="2">
        <v>45829</v>
      </c>
      <c r="I114" t="s">
        <v>57</v>
      </c>
      <c r="J114" t="s">
        <v>30</v>
      </c>
      <c r="K114" t="str">
        <f t="shared" ca="1" si="10"/>
        <v>OK</v>
      </c>
      <c r="L114" t="s">
        <v>346</v>
      </c>
      <c r="M114">
        <v>4</v>
      </c>
      <c r="N114" s="2">
        <v>46078</v>
      </c>
      <c r="O114" s="2">
        <v>46071</v>
      </c>
      <c r="P114" s="4">
        <f t="shared" ca="1" si="8"/>
        <v>0</v>
      </c>
      <c r="Q114" s="4" t="str">
        <f t="shared" ca="1" si="9"/>
        <v>0-2 Years</v>
      </c>
      <c r="R114">
        <f t="shared" ca="1" si="11"/>
        <v>1</v>
      </c>
      <c r="S114" t="s">
        <v>23</v>
      </c>
      <c r="T114">
        <v>5</v>
      </c>
      <c r="U114" t="s">
        <v>1394</v>
      </c>
      <c r="V114" t="s">
        <v>1394</v>
      </c>
      <c r="W114" t="s">
        <v>1394</v>
      </c>
      <c r="X114" s="3">
        <v>3</v>
      </c>
      <c r="Y114" t="s">
        <v>1398</v>
      </c>
      <c r="Z114">
        <v>66880</v>
      </c>
      <c r="AA114">
        <v>0.15</v>
      </c>
      <c r="AB114">
        <v>76912</v>
      </c>
    </row>
    <row r="115" spans="1:28" x14ac:dyDescent="0.35">
      <c r="A115" t="str">
        <f t="shared" si="6"/>
        <v>EMP0114</v>
      </c>
      <c r="B115" t="str" cm="1">
        <f t="array" ref="B115">_xlfn.IFS(
ROW()&lt;=421,"NA",
ROW()&lt;=781,"LATAM",
ROW()&lt;=1021,"EMEA",
TRUE,"APAC"
)</f>
        <v>NA</v>
      </c>
      <c r="C115" t="str">
        <f t="shared" si="7"/>
        <v>USA</v>
      </c>
      <c r="D115" t="s">
        <v>38</v>
      </c>
      <c r="E115" t="s">
        <v>380</v>
      </c>
      <c r="F115" t="s">
        <v>913</v>
      </c>
      <c r="G115" t="s">
        <v>53</v>
      </c>
      <c r="H115" s="2">
        <v>45829</v>
      </c>
      <c r="I115" t="s">
        <v>29</v>
      </c>
      <c r="J115" t="s">
        <v>39</v>
      </c>
      <c r="K115" t="str">
        <f t="shared" ca="1" si="10"/>
        <v>OK</v>
      </c>
      <c r="L115" t="s">
        <v>914</v>
      </c>
      <c r="M115">
        <v>5</v>
      </c>
      <c r="N115" s="2">
        <v>46062</v>
      </c>
      <c r="O115" s="2" t="s">
        <v>22</v>
      </c>
      <c r="P115" s="4">
        <f t="shared" ca="1" si="8"/>
        <v>0</v>
      </c>
      <c r="Q115" s="4" t="str">
        <f t="shared" ca="1" si="9"/>
        <v>0-2 Years</v>
      </c>
      <c r="R115">
        <f t="shared" ca="1" si="11"/>
        <v>1</v>
      </c>
      <c r="S115" t="s">
        <v>22</v>
      </c>
      <c r="T115">
        <v>4</v>
      </c>
      <c r="U115" t="s">
        <v>1394</v>
      </c>
      <c r="V115" t="s">
        <v>1394</v>
      </c>
      <c r="W115" t="s">
        <v>1394</v>
      </c>
      <c r="X115" s="3">
        <v>2</v>
      </c>
      <c r="Y115" t="s">
        <v>1397</v>
      </c>
      <c r="Z115">
        <v>37724</v>
      </c>
      <c r="AA115">
        <v>0.1</v>
      </c>
      <c r="AB115">
        <v>41496.400000000001</v>
      </c>
    </row>
    <row r="116" spans="1:28" x14ac:dyDescent="0.35">
      <c r="A116" t="str">
        <f t="shared" si="6"/>
        <v>EMP0115</v>
      </c>
      <c r="B116" t="str" cm="1">
        <f t="array" ref="B116">_xlfn.IFS(
ROW()&lt;=421,"NA",
ROW()&lt;=781,"LATAM",
ROW()&lt;=1021,"EMEA",
TRUE,"APAC"
)</f>
        <v>NA</v>
      </c>
      <c r="C116" t="str">
        <f t="shared" si="7"/>
        <v>USA</v>
      </c>
      <c r="D116" t="s">
        <v>26</v>
      </c>
      <c r="E116" t="s">
        <v>380</v>
      </c>
      <c r="F116" t="s">
        <v>579</v>
      </c>
      <c r="G116" t="s">
        <v>28</v>
      </c>
      <c r="H116" s="2">
        <v>45827</v>
      </c>
      <c r="I116" t="s">
        <v>29</v>
      </c>
      <c r="J116" t="s">
        <v>30</v>
      </c>
      <c r="K116" t="str">
        <f t="shared" ca="1" si="10"/>
        <v>OK</v>
      </c>
      <c r="L116" t="s">
        <v>817</v>
      </c>
      <c r="M116">
        <v>5</v>
      </c>
      <c r="N116" s="2">
        <v>46003</v>
      </c>
      <c r="O116" s="2" t="s">
        <v>22</v>
      </c>
      <c r="P116" s="4">
        <f t="shared" ca="1" si="8"/>
        <v>0</v>
      </c>
      <c r="Q116" s="4" t="str">
        <f t="shared" ca="1" si="9"/>
        <v>0-2 Years</v>
      </c>
      <c r="R116">
        <f t="shared" ca="1" si="11"/>
        <v>1</v>
      </c>
      <c r="S116" t="s">
        <v>22</v>
      </c>
      <c r="T116">
        <v>2</v>
      </c>
      <c r="U116" t="s">
        <v>1396</v>
      </c>
      <c r="V116" t="s">
        <v>1394</v>
      </c>
      <c r="W116" t="s">
        <v>1394</v>
      </c>
      <c r="X116" s="3">
        <v>2</v>
      </c>
      <c r="Y116" t="s">
        <v>1397</v>
      </c>
      <c r="Z116">
        <v>40883</v>
      </c>
      <c r="AA116">
        <v>0.1</v>
      </c>
      <c r="AB116">
        <v>44971.3</v>
      </c>
    </row>
    <row r="117" spans="1:28" x14ac:dyDescent="0.35">
      <c r="A117" t="str">
        <f t="shared" si="6"/>
        <v>EMP0116</v>
      </c>
      <c r="B117" t="str" cm="1">
        <f t="array" ref="B117">_xlfn.IFS(
ROW()&lt;=421,"NA",
ROW()&lt;=781,"LATAM",
ROW()&lt;=1021,"EMEA",
TRUE,"APAC"
)</f>
        <v>NA</v>
      </c>
      <c r="C117" t="str">
        <f t="shared" si="7"/>
        <v>USA</v>
      </c>
      <c r="D117" t="s">
        <v>32</v>
      </c>
      <c r="E117" t="s">
        <v>145</v>
      </c>
      <c r="F117" t="s">
        <v>198</v>
      </c>
      <c r="G117" t="s">
        <v>28</v>
      </c>
      <c r="H117" s="2">
        <v>45825</v>
      </c>
      <c r="I117" t="s">
        <v>29</v>
      </c>
      <c r="J117" t="s">
        <v>33</v>
      </c>
      <c r="K117" t="str">
        <f t="shared" ca="1" si="10"/>
        <v>OK</v>
      </c>
      <c r="L117" t="s">
        <v>199</v>
      </c>
      <c r="M117">
        <v>4</v>
      </c>
      <c r="N117" s="2">
        <v>46037</v>
      </c>
      <c r="O117" s="2" t="s">
        <v>22</v>
      </c>
      <c r="P117" s="4">
        <f t="shared" ca="1" si="8"/>
        <v>0</v>
      </c>
      <c r="Q117" s="4" t="str">
        <f t="shared" ca="1" si="9"/>
        <v>0-2 Years</v>
      </c>
      <c r="R117">
        <f t="shared" ca="1" si="11"/>
        <v>1</v>
      </c>
      <c r="S117" t="s">
        <v>22</v>
      </c>
      <c r="T117">
        <v>3</v>
      </c>
      <c r="U117" t="s">
        <v>1394</v>
      </c>
      <c r="V117" t="s">
        <v>1394</v>
      </c>
      <c r="W117" t="s">
        <v>1394</v>
      </c>
      <c r="X117" s="3">
        <v>4</v>
      </c>
      <c r="Y117" t="s">
        <v>1395</v>
      </c>
      <c r="Z117">
        <v>56030</v>
      </c>
      <c r="AA117">
        <v>0.15</v>
      </c>
      <c r="AB117">
        <v>64434.499999999993</v>
      </c>
    </row>
    <row r="118" spans="1:28" x14ac:dyDescent="0.35">
      <c r="A118" t="str">
        <f t="shared" si="6"/>
        <v>EMP0117</v>
      </c>
      <c r="B118" t="str" cm="1">
        <f t="array" ref="B118">_xlfn.IFS(
ROW()&lt;=421,"NA",
ROW()&lt;=781,"LATAM",
ROW()&lt;=1021,"EMEA",
TRUE,"APAC"
)</f>
        <v>NA</v>
      </c>
      <c r="C118" t="str">
        <f t="shared" si="7"/>
        <v>USA</v>
      </c>
      <c r="D118" t="s">
        <v>26</v>
      </c>
      <c r="E118" t="s">
        <v>380</v>
      </c>
      <c r="F118" t="s">
        <v>695</v>
      </c>
      <c r="G118" t="s">
        <v>28</v>
      </c>
      <c r="H118" s="2">
        <v>45825</v>
      </c>
      <c r="I118" t="s">
        <v>29</v>
      </c>
      <c r="J118" t="s">
        <v>30</v>
      </c>
      <c r="K118" t="str">
        <f t="shared" ca="1" si="10"/>
        <v>OK</v>
      </c>
      <c r="L118" t="s">
        <v>708</v>
      </c>
      <c r="M118">
        <v>5</v>
      </c>
      <c r="N118" s="2">
        <v>45998</v>
      </c>
      <c r="O118" s="2" t="s">
        <v>22</v>
      </c>
      <c r="P118" s="4">
        <f t="shared" ca="1" si="8"/>
        <v>0</v>
      </c>
      <c r="Q118" s="4" t="str">
        <f t="shared" ca="1" si="9"/>
        <v>0-2 Years</v>
      </c>
      <c r="R118">
        <f t="shared" ca="1" si="11"/>
        <v>1</v>
      </c>
      <c r="S118" t="s">
        <v>22</v>
      </c>
      <c r="T118">
        <v>3</v>
      </c>
      <c r="U118" t="s">
        <v>1394</v>
      </c>
      <c r="V118" t="s">
        <v>1394</v>
      </c>
      <c r="W118" t="s">
        <v>1394</v>
      </c>
      <c r="X118" s="3">
        <v>2</v>
      </c>
      <c r="Y118" t="s">
        <v>1397</v>
      </c>
      <c r="Z118">
        <v>40893</v>
      </c>
      <c r="AA118">
        <v>0.1</v>
      </c>
      <c r="AB118">
        <v>44982.3</v>
      </c>
    </row>
    <row r="119" spans="1:28" x14ac:dyDescent="0.35">
      <c r="A119" t="str">
        <f t="shared" si="6"/>
        <v>EMP0118</v>
      </c>
      <c r="B119" t="str" cm="1">
        <f t="array" ref="B119">_xlfn.IFS(
ROW()&lt;=421,"NA",
ROW()&lt;=781,"LATAM",
ROW()&lt;=1021,"EMEA",
TRUE,"APAC"
)</f>
        <v>NA</v>
      </c>
      <c r="C119" t="str">
        <f t="shared" si="7"/>
        <v>USA</v>
      </c>
      <c r="D119" t="s">
        <v>44</v>
      </c>
      <c r="E119" t="s">
        <v>380</v>
      </c>
      <c r="F119" t="s">
        <v>1185</v>
      </c>
      <c r="G119" t="s">
        <v>28</v>
      </c>
      <c r="H119" s="2">
        <v>45823</v>
      </c>
      <c r="I119" t="s">
        <v>29</v>
      </c>
      <c r="J119" t="s">
        <v>47</v>
      </c>
      <c r="K119" t="str">
        <f t="shared" ca="1" si="10"/>
        <v>OK</v>
      </c>
      <c r="L119" t="s">
        <v>313</v>
      </c>
      <c r="M119">
        <v>5</v>
      </c>
      <c r="N119" s="2">
        <v>46076</v>
      </c>
      <c r="O119" s="2" t="s">
        <v>22</v>
      </c>
      <c r="P119" s="4">
        <f t="shared" ca="1" si="8"/>
        <v>0</v>
      </c>
      <c r="Q119" s="4" t="str">
        <f t="shared" ca="1" si="9"/>
        <v>0-2 Years</v>
      </c>
      <c r="R119">
        <f t="shared" ca="1" si="11"/>
        <v>1</v>
      </c>
      <c r="S119" t="s">
        <v>22</v>
      </c>
      <c r="T119">
        <v>3</v>
      </c>
      <c r="U119" t="s">
        <v>1396</v>
      </c>
      <c r="V119" t="s">
        <v>1396</v>
      </c>
      <c r="W119" t="s">
        <v>1394</v>
      </c>
      <c r="X119" s="3">
        <v>5</v>
      </c>
      <c r="Y119" t="s">
        <v>1395</v>
      </c>
      <c r="Z119">
        <v>39909</v>
      </c>
      <c r="AA119">
        <v>0.1</v>
      </c>
      <c r="AB119">
        <v>43899.9</v>
      </c>
    </row>
    <row r="120" spans="1:28" x14ac:dyDescent="0.35">
      <c r="A120" t="str">
        <f t="shared" si="6"/>
        <v>EMP0119</v>
      </c>
      <c r="B120" t="str" cm="1">
        <f t="array" ref="B120">_xlfn.IFS(
ROW()&lt;=421,"NA",
ROW()&lt;=781,"LATAM",
ROW()&lt;=1021,"EMEA",
TRUE,"APAC"
)</f>
        <v>NA</v>
      </c>
      <c r="C120" t="str">
        <f t="shared" si="7"/>
        <v>USA</v>
      </c>
      <c r="D120" t="s">
        <v>32</v>
      </c>
      <c r="E120" t="s">
        <v>380</v>
      </c>
      <c r="F120" t="s">
        <v>418</v>
      </c>
      <c r="G120" t="s">
        <v>28</v>
      </c>
      <c r="H120" s="2">
        <v>45821</v>
      </c>
      <c r="I120" t="s">
        <v>57</v>
      </c>
      <c r="J120" t="s">
        <v>33</v>
      </c>
      <c r="K120" t="str">
        <f t="shared" ca="1" si="10"/>
        <v>OK</v>
      </c>
      <c r="L120" t="s">
        <v>540</v>
      </c>
      <c r="M120">
        <v>5</v>
      </c>
      <c r="N120" s="2">
        <v>46044</v>
      </c>
      <c r="O120" s="2">
        <v>46071</v>
      </c>
      <c r="P120" s="4">
        <f t="shared" ca="1" si="8"/>
        <v>0</v>
      </c>
      <c r="Q120" s="4" t="str">
        <f t="shared" ca="1" si="9"/>
        <v>0-2 Years</v>
      </c>
      <c r="R120">
        <f t="shared" ca="1" si="11"/>
        <v>1</v>
      </c>
      <c r="S120" t="s">
        <v>23</v>
      </c>
      <c r="T120">
        <v>4</v>
      </c>
      <c r="U120" t="s">
        <v>1394</v>
      </c>
      <c r="V120" t="s">
        <v>1394</v>
      </c>
      <c r="W120" t="s">
        <v>1394</v>
      </c>
      <c r="X120" s="3">
        <v>5</v>
      </c>
      <c r="Y120" t="s">
        <v>1395</v>
      </c>
      <c r="Z120">
        <v>47489</v>
      </c>
      <c r="AA120">
        <v>0.1</v>
      </c>
      <c r="AB120">
        <v>52237.9</v>
      </c>
    </row>
    <row r="121" spans="1:28" x14ac:dyDescent="0.35">
      <c r="A121" t="str">
        <f t="shared" si="6"/>
        <v>EMP0120</v>
      </c>
      <c r="B121" t="str" cm="1">
        <f t="array" ref="B121">_xlfn.IFS(
ROW()&lt;=421,"NA",
ROW()&lt;=781,"LATAM",
ROW()&lt;=1021,"EMEA",
TRUE,"APAC"
)</f>
        <v>NA</v>
      </c>
      <c r="C121" t="str">
        <f t="shared" si="7"/>
        <v>USA</v>
      </c>
      <c r="D121" t="s">
        <v>26</v>
      </c>
      <c r="E121" t="s">
        <v>380</v>
      </c>
      <c r="F121" t="s">
        <v>447</v>
      </c>
      <c r="G121" t="s">
        <v>28</v>
      </c>
      <c r="H121" s="2">
        <v>45820</v>
      </c>
      <c r="I121" t="s">
        <v>29</v>
      </c>
      <c r="J121" t="s">
        <v>30</v>
      </c>
      <c r="K121" t="str">
        <f t="shared" ca="1" si="10"/>
        <v>OK</v>
      </c>
      <c r="L121" t="s">
        <v>498</v>
      </c>
      <c r="M121">
        <v>5</v>
      </c>
      <c r="N121" s="2">
        <v>46036</v>
      </c>
      <c r="O121" s="2" t="s">
        <v>22</v>
      </c>
      <c r="P121" s="4">
        <f t="shared" ca="1" si="8"/>
        <v>0</v>
      </c>
      <c r="Q121" s="4" t="str">
        <f t="shared" ca="1" si="9"/>
        <v>0-2 Years</v>
      </c>
      <c r="R121">
        <f t="shared" ca="1" si="11"/>
        <v>1</v>
      </c>
      <c r="S121" t="s">
        <v>22</v>
      </c>
      <c r="T121">
        <v>3</v>
      </c>
      <c r="U121" t="s">
        <v>1394</v>
      </c>
      <c r="V121" t="s">
        <v>1394</v>
      </c>
      <c r="W121" t="s">
        <v>1394</v>
      </c>
      <c r="X121" s="3">
        <v>1</v>
      </c>
      <c r="Y121" t="s">
        <v>1397</v>
      </c>
      <c r="Z121">
        <v>29922</v>
      </c>
      <c r="AA121">
        <v>0.1</v>
      </c>
      <c r="AB121">
        <v>32914.200000000004</v>
      </c>
    </row>
    <row r="122" spans="1:28" x14ac:dyDescent="0.35">
      <c r="A122" t="str">
        <f t="shared" si="6"/>
        <v>EMP0121</v>
      </c>
      <c r="B122" t="str" cm="1">
        <f t="array" ref="B122">_xlfn.IFS(
ROW()&lt;=421,"NA",
ROW()&lt;=781,"LATAM",
ROW()&lt;=1021,"EMEA",
TRUE,"APAC"
)</f>
        <v>NA</v>
      </c>
      <c r="C122" t="str">
        <f t="shared" si="7"/>
        <v>USA</v>
      </c>
      <c r="D122" t="s">
        <v>35</v>
      </c>
      <c r="E122" t="s">
        <v>380</v>
      </c>
      <c r="F122" t="s">
        <v>393</v>
      </c>
      <c r="G122" t="s">
        <v>28</v>
      </c>
      <c r="H122" s="2">
        <v>45816</v>
      </c>
      <c r="I122" t="s">
        <v>29</v>
      </c>
      <c r="J122" t="s">
        <v>36</v>
      </c>
      <c r="K122" t="str">
        <f t="shared" ca="1" si="10"/>
        <v>OK</v>
      </c>
      <c r="L122" t="s">
        <v>428</v>
      </c>
      <c r="M122">
        <v>5</v>
      </c>
      <c r="N122" s="2">
        <v>46037</v>
      </c>
      <c r="O122" s="2" t="s">
        <v>22</v>
      </c>
      <c r="P122" s="4">
        <f t="shared" ca="1" si="8"/>
        <v>0</v>
      </c>
      <c r="Q122" s="4" t="str">
        <f t="shared" ca="1" si="9"/>
        <v>0-2 Years</v>
      </c>
      <c r="R122">
        <f t="shared" ca="1" si="11"/>
        <v>1</v>
      </c>
      <c r="S122" t="s">
        <v>22</v>
      </c>
      <c r="T122">
        <v>3</v>
      </c>
      <c r="U122" t="s">
        <v>1394</v>
      </c>
      <c r="V122" t="s">
        <v>1394</v>
      </c>
      <c r="W122" t="s">
        <v>1394</v>
      </c>
      <c r="X122" s="3">
        <v>2</v>
      </c>
      <c r="Y122" t="s">
        <v>1397</v>
      </c>
      <c r="Z122">
        <v>27258</v>
      </c>
      <c r="AA122">
        <v>0.1</v>
      </c>
      <c r="AB122">
        <v>29983.800000000003</v>
      </c>
    </row>
    <row r="123" spans="1:28" x14ac:dyDescent="0.35">
      <c r="A123" t="str">
        <f t="shared" si="6"/>
        <v>EMP0122</v>
      </c>
      <c r="B123" t="str" cm="1">
        <f t="array" ref="B123">_xlfn.IFS(
ROW()&lt;=421,"NA",
ROW()&lt;=781,"LATAM",
ROW()&lt;=1021,"EMEA",
TRUE,"APAC"
)</f>
        <v>NA</v>
      </c>
      <c r="C123" t="str">
        <f t="shared" si="7"/>
        <v>USA</v>
      </c>
      <c r="D123" t="s">
        <v>41</v>
      </c>
      <c r="E123" t="s">
        <v>145</v>
      </c>
      <c r="F123" t="s">
        <v>236</v>
      </c>
      <c r="G123" t="s">
        <v>28</v>
      </c>
      <c r="H123" s="2">
        <v>45812</v>
      </c>
      <c r="I123" t="s">
        <v>29</v>
      </c>
      <c r="J123" t="s">
        <v>42</v>
      </c>
      <c r="K123" t="str">
        <f t="shared" ca="1" si="10"/>
        <v>OK</v>
      </c>
      <c r="L123" t="s">
        <v>237</v>
      </c>
      <c r="M123">
        <v>4</v>
      </c>
      <c r="N123" s="2">
        <v>46061</v>
      </c>
      <c r="O123" s="2" t="s">
        <v>22</v>
      </c>
      <c r="P123" s="4">
        <f t="shared" ca="1" si="8"/>
        <v>0</v>
      </c>
      <c r="Q123" s="4" t="str">
        <f t="shared" ca="1" si="9"/>
        <v>0-2 Years</v>
      </c>
      <c r="R123">
        <f t="shared" ca="1" si="11"/>
        <v>1</v>
      </c>
      <c r="S123" t="s">
        <v>22</v>
      </c>
      <c r="T123">
        <v>3</v>
      </c>
      <c r="U123" t="s">
        <v>1394</v>
      </c>
      <c r="V123" t="s">
        <v>1394</v>
      </c>
      <c r="W123" t="s">
        <v>1394</v>
      </c>
      <c r="X123" s="3">
        <v>3</v>
      </c>
      <c r="Y123" t="s">
        <v>1398</v>
      </c>
      <c r="Z123">
        <v>76427</v>
      </c>
      <c r="AA123">
        <v>0.15</v>
      </c>
      <c r="AB123">
        <v>87891.049999999988</v>
      </c>
    </row>
    <row r="124" spans="1:28" x14ac:dyDescent="0.35">
      <c r="A124" t="str">
        <f t="shared" si="6"/>
        <v>EMP0123</v>
      </c>
      <c r="B124" t="str" cm="1">
        <f t="array" ref="B124">_xlfn.IFS(
ROW()&lt;=421,"NA",
ROW()&lt;=781,"LATAM",
ROW()&lt;=1021,"EMEA",
TRUE,"APAC"
)</f>
        <v>NA</v>
      </c>
      <c r="C124" t="str">
        <f t="shared" si="7"/>
        <v>USA</v>
      </c>
      <c r="D124" t="s">
        <v>26</v>
      </c>
      <c r="E124" t="s">
        <v>380</v>
      </c>
      <c r="F124" t="s">
        <v>399</v>
      </c>
      <c r="G124" t="s">
        <v>28</v>
      </c>
      <c r="H124" s="2">
        <v>45810</v>
      </c>
      <c r="I124" t="s">
        <v>29</v>
      </c>
      <c r="J124" t="s">
        <v>30</v>
      </c>
      <c r="K124" t="str">
        <f t="shared" ca="1" si="10"/>
        <v>OK</v>
      </c>
      <c r="L124" t="s">
        <v>446</v>
      </c>
      <c r="M124">
        <v>5</v>
      </c>
      <c r="N124" s="2">
        <v>45991</v>
      </c>
      <c r="O124" s="2" t="s">
        <v>22</v>
      </c>
      <c r="P124" s="4">
        <f t="shared" ca="1" si="8"/>
        <v>0</v>
      </c>
      <c r="Q124" s="4" t="str">
        <f t="shared" ca="1" si="9"/>
        <v>0-2 Years</v>
      </c>
      <c r="R124">
        <f t="shared" ca="1" si="11"/>
        <v>1</v>
      </c>
      <c r="S124" t="s">
        <v>22</v>
      </c>
      <c r="T124">
        <v>4</v>
      </c>
      <c r="U124" t="s">
        <v>1394</v>
      </c>
      <c r="V124" t="s">
        <v>1394</v>
      </c>
      <c r="W124" t="s">
        <v>1394</v>
      </c>
      <c r="X124" s="3">
        <v>2</v>
      </c>
      <c r="Y124" t="s">
        <v>1397</v>
      </c>
      <c r="Z124">
        <v>41655</v>
      </c>
      <c r="AA124">
        <v>0.1</v>
      </c>
      <c r="AB124">
        <v>45820.500000000007</v>
      </c>
    </row>
    <row r="125" spans="1:28" x14ac:dyDescent="0.35">
      <c r="A125" t="str">
        <f t="shared" si="6"/>
        <v>EMP0124</v>
      </c>
      <c r="B125" t="str" cm="1">
        <f t="array" ref="B125">_xlfn.IFS(
ROW()&lt;=421,"NA",
ROW()&lt;=781,"LATAM",
ROW()&lt;=1021,"EMEA",
TRUE,"APAC"
)</f>
        <v>NA</v>
      </c>
      <c r="C125" t="str">
        <f t="shared" si="7"/>
        <v>USA</v>
      </c>
      <c r="D125" t="s">
        <v>38</v>
      </c>
      <c r="E125" t="s">
        <v>380</v>
      </c>
      <c r="F125" t="s">
        <v>543</v>
      </c>
      <c r="G125" t="s">
        <v>28</v>
      </c>
      <c r="H125" s="2">
        <v>45809</v>
      </c>
      <c r="I125" t="s">
        <v>29</v>
      </c>
      <c r="J125" t="s">
        <v>39</v>
      </c>
      <c r="K125" t="str">
        <f t="shared" ca="1" si="10"/>
        <v>OK</v>
      </c>
      <c r="L125" t="s">
        <v>544</v>
      </c>
      <c r="M125">
        <v>5</v>
      </c>
      <c r="N125" s="2">
        <v>46056</v>
      </c>
      <c r="O125" s="2" t="s">
        <v>22</v>
      </c>
      <c r="P125" s="4">
        <f t="shared" ca="1" si="8"/>
        <v>0</v>
      </c>
      <c r="Q125" s="4" t="str">
        <f t="shared" ca="1" si="9"/>
        <v>0-2 Years</v>
      </c>
      <c r="R125">
        <f t="shared" ca="1" si="11"/>
        <v>1</v>
      </c>
      <c r="S125" t="s">
        <v>22</v>
      </c>
      <c r="T125">
        <v>4</v>
      </c>
      <c r="U125" t="s">
        <v>1394</v>
      </c>
      <c r="V125" t="s">
        <v>1394</v>
      </c>
      <c r="W125" t="s">
        <v>1394</v>
      </c>
      <c r="X125" s="3">
        <v>3</v>
      </c>
      <c r="Y125" t="s">
        <v>1398</v>
      </c>
      <c r="Z125">
        <v>33441</v>
      </c>
      <c r="AA125">
        <v>0.1</v>
      </c>
      <c r="AB125">
        <v>36785.100000000006</v>
      </c>
    </row>
    <row r="126" spans="1:28" x14ac:dyDescent="0.35">
      <c r="A126" t="str">
        <f t="shared" si="6"/>
        <v>EMP0125</v>
      </c>
      <c r="B126" t="str" cm="1">
        <f t="array" ref="B126">_xlfn.IFS(
ROW()&lt;=421,"NA",
ROW()&lt;=781,"LATAM",
ROW()&lt;=1021,"EMEA",
TRUE,"APAC"
)</f>
        <v>NA</v>
      </c>
      <c r="C126" t="str">
        <f t="shared" si="7"/>
        <v>USA</v>
      </c>
      <c r="D126" t="s">
        <v>32</v>
      </c>
      <c r="E126" t="s">
        <v>380</v>
      </c>
      <c r="F126" t="s">
        <v>490</v>
      </c>
      <c r="G126" t="s">
        <v>28</v>
      </c>
      <c r="H126" s="2">
        <v>45803</v>
      </c>
      <c r="I126" t="s">
        <v>29</v>
      </c>
      <c r="J126" t="s">
        <v>33</v>
      </c>
      <c r="K126" t="str">
        <f t="shared" ca="1" si="10"/>
        <v>OK</v>
      </c>
      <c r="L126" t="s">
        <v>1019</v>
      </c>
      <c r="M126">
        <v>5</v>
      </c>
      <c r="N126" s="2">
        <v>46012</v>
      </c>
      <c r="O126" s="2" t="s">
        <v>22</v>
      </c>
      <c r="P126" s="4">
        <f t="shared" ca="1" si="8"/>
        <v>0</v>
      </c>
      <c r="Q126" s="4" t="str">
        <f t="shared" ca="1" si="9"/>
        <v>0-2 Years</v>
      </c>
      <c r="R126">
        <f t="shared" ca="1" si="11"/>
        <v>1</v>
      </c>
      <c r="S126" t="s">
        <v>22</v>
      </c>
      <c r="T126">
        <v>3</v>
      </c>
      <c r="U126" t="s">
        <v>1394</v>
      </c>
      <c r="V126" t="s">
        <v>1394</v>
      </c>
      <c r="W126" t="s">
        <v>1394</v>
      </c>
      <c r="X126" s="3">
        <v>5</v>
      </c>
      <c r="Y126" t="s">
        <v>1395</v>
      </c>
      <c r="Z126">
        <v>36023</v>
      </c>
      <c r="AA126">
        <v>0.1</v>
      </c>
      <c r="AB126">
        <v>39625.300000000003</v>
      </c>
    </row>
    <row r="127" spans="1:28" x14ac:dyDescent="0.35">
      <c r="A127" t="str">
        <f t="shared" si="6"/>
        <v>EMP0126</v>
      </c>
      <c r="B127" t="str" cm="1">
        <f t="array" ref="B127">_xlfn.IFS(
ROW()&lt;=421,"NA",
ROW()&lt;=781,"LATAM",
ROW()&lt;=1021,"EMEA",
TRUE,"APAC"
)</f>
        <v>NA</v>
      </c>
      <c r="C127" t="str">
        <f t="shared" si="7"/>
        <v>USA</v>
      </c>
      <c r="D127" t="s">
        <v>35</v>
      </c>
      <c r="E127" t="s">
        <v>380</v>
      </c>
      <c r="G127" t="s">
        <v>28</v>
      </c>
      <c r="H127" s="2">
        <v>45801</v>
      </c>
      <c r="I127" t="s">
        <v>57</v>
      </c>
      <c r="J127" t="s">
        <v>36</v>
      </c>
      <c r="K127" t="str">
        <f t="shared" ca="1" si="10"/>
        <v>⚠ Review</v>
      </c>
      <c r="L127" t="s">
        <v>1194</v>
      </c>
      <c r="M127">
        <v>5</v>
      </c>
      <c r="N127" s="2">
        <v>46040</v>
      </c>
      <c r="O127" s="2">
        <v>46071</v>
      </c>
      <c r="P127" s="4">
        <f t="shared" ca="1" si="8"/>
        <v>0</v>
      </c>
      <c r="Q127" s="4" t="str">
        <f t="shared" ca="1" si="9"/>
        <v>0-2 Years</v>
      </c>
      <c r="R127">
        <f t="shared" ca="1" si="11"/>
        <v>1</v>
      </c>
      <c r="S127" t="s">
        <v>23</v>
      </c>
      <c r="T127">
        <v>3</v>
      </c>
      <c r="U127" t="s">
        <v>1394</v>
      </c>
      <c r="V127" t="s">
        <v>1394</v>
      </c>
      <c r="W127" t="s">
        <v>1394</v>
      </c>
      <c r="X127" s="3">
        <v>5</v>
      </c>
      <c r="Y127" t="s">
        <v>1395</v>
      </c>
      <c r="Z127">
        <v>44041</v>
      </c>
      <c r="AA127">
        <v>0.1</v>
      </c>
      <c r="AB127">
        <v>48445.100000000006</v>
      </c>
    </row>
    <row r="128" spans="1:28" x14ac:dyDescent="0.35">
      <c r="A128" t="str">
        <f t="shared" si="6"/>
        <v>EMP0127</v>
      </c>
      <c r="B128" t="str" cm="1">
        <f t="array" ref="B128">_xlfn.IFS(
ROW()&lt;=421,"NA",
ROW()&lt;=781,"LATAM",
ROW()&lt;=1021,"EMEA",
TRUE,"APAC"
)</f>
        <v>NA</v>
      </c>
      <c r="C128" t="str">
        <f t="shared" si="7"/>
        <v>USA</v>
      </c>
      <c r="D128" t="s">
        <v>38</v>
      </c>
      <c r="E128" t="s">
        <v>380</v>
      </c>
      <c r="F128" t="s">
        <v>636</v>
      </c>
      <c r="G128" t="s">
        <v>28</v>
      </c>
      <c r="H128" s="2">
        <v>45798</v>
      </c>
      <c r="I128" t="s">
        <v>29</v>
      </c>
      <c r="J128" t="s">
        <v>39</v>
      </c>
      <c r="K128" t="str">
        <f t="shared" ca="1" si="10"/>
        <v>OK</v>
      </c>
      <c r="L128" t="s">
        <v>1006</v>
      </c>
      <c r="M128">
        <v>5</v>
      </c>
      <c r="N128" s="2">
        <v>46020</v>
      </c>
      <c r="O128" s="2" t="s">
        <v>22</v>
      </c>
      <c r="P128" s="4">
        <f t="shared" ca="1" si="8"/>
        <v>0</v>
      </c>
      <c r="Q128" s="4" t="str">
        <f t="shared" ca="1" si="9"/>
        <v>0-2 Years</v>
      </c>
      <c r="R128">
        <f t="shared" ca="1" si="11"/>
        <v>1</v>
      </c>
      <c r="S128" t="s">
        <v>22</v>
      </c>
      <c r="T128">
        <v>3</v>
      </c>
      <c r="U128" t="s">
        <v>1394</v>
      </c>
      <c r="V128" t="s">
        <v>1394</v>
      </c>
      <c r="W128" t="s">
        <v>1394</v>
      </c>
      <c r="X128" s="3">
        <v>2</v>
      </c>
      <c r="Y128" t="s">
        <v>1397</v>
      </c>
      <c r="Z128">
        <v>49641</v>
      </c>
      <c r="AA128">
        <v>0.1</v>
      </c>
      <c r="AB128">
        <v>54605.100000000006</v>
      </c>
    </row>
    <row r="129" spans="1:28" x14ac:dyDescent="0.35">
      <c r="A129" t="str">
        <f t="shared" si="6"/>
        <v>EMP0128</v>
      </c>
      <c r="B129" t="str" cm="1">
        <f t="array" ref="B129">_xlfn.IFS(
ROW()&lt;=421,"NA",
ROW()&lt;=781,"LATAM",
ROW()&lt;=1021,"EMEA",
TRUE,"APAC"
)</f>
        <v>NA</v>
      </c>
      <c r="C129" t="str">
        <f t="shared" si="7"/>
        <v>USA</v>
      </c>
      <c r="D129" t="s">
        <v>44</v>
      </c>
      <c r="E129" t="s">
        <v>69</v>
      </c>
      <c r="F129" t="s">
        <v>86</v>
      </c>
      <c r="G129" t="s">
        <v>28</v>
      </c>
      <c r="H129" s="2">
        <v>45798</v>
      </c>
      <c r="I129" t="s">
        <v>29</v>
      </c>
      <c r="J129" t="s">
        <v>47</v>
      </c>
      <c r="K129" t="str">
        <f t="shared" ca="1" si="10"/>
        <v>OK</v>
      </c>
      <c r="L129" t="s">
        <v>87</v>
      </c>
      <c r="M129">
        <v>3</v>
      </c>
      <c r="N129" s="2">
        <v>46007</v>
      </c>
      <c r="O129" s="2" t="s">
        <v>22</v>
      </c>
      <c r="P129" s="4">
        <f t="shared" ca="1" si="8"/>
        <v>0</v>
      </c>
      <c r="Q129" s="4" t="str">
        <f t="shared" ca="1" si="9"/>
        <v>0-2 Years</v>
      </c>
      <c r="R129">
        <f t="shared" ca="1" si="11"/>
        <v>1</v>
      </c>
      <c r="S129" t="s">
        <v>22</v>
      </c>
      <c r="T129">
        <v>4</v>
      </c>
      <c r="U129" t="s">
        <v>1394</v>
      </c>
      <c r="V129" t="s">
        <v>1394</v>
      </c>
      <c r="W129" t="s">
        <v>1394</v>
      </c>
      <c r="X129" s="3">
        <v>4</v>
      </c>
      <c r="Y129" t="s">
        <v>1395</v>
      </c>
      <c r="Z129">
        <v>133335</v>
      </c>
      <c r="AA129">
        <v>0.2</v>
      </c>
      <c r="AB129">
        <v>160002</v>
      </c>
    </row>
    <row r="130" spans="1:28" x14ac:dyDescent="0.35">
      <c r="A130" t="str">
        <f t="shared" ref="A130:A193" si="12">"EMP"&amp;TEXT(ROW()-1,"0000")</f>
        <v>EMP0129</v>
      </c>
      <c r="B130" t="str" cm="1">
        <f t="array" ref="B130">_xlfn.IFS(
ROW()&lt;=421,"NA",
ROW()&lt;=781,"LATAM",
ROW()&lt;=1021,"EMEA",
TRUE,"APAC"
)</f>
        <v>NA</v>
      </c>
      <c r="C130" t="str">
        <f t="shared" ref="C130:C193" si="13">IF(B130="NA","USA",
IF(B130="LATAM","Mexico",
IF(B130="EMEA","Germany","Singapore")))</f>
        <v>USA</v>
      </c>
      <c r="D130" t="s">
        <v>44</v>
      </c>
      <c r="E130" t="s">
        <v>380</v>
      </c>
      <c r="F130" t="s">
        <v>600</v>
      </c>
      <c r="G130" t="s">
        <v>28</v>
      </c>
      <c r="H130" s="2">
        <v>45797</v>
      </c>
      <c r="I130" t="s">
        <v>29</v>
      </c>
      <c r="J130" t="s">
        <v>47</v>
      </c>
      <c r="K130" t="str">
        <f t="shared" ca="1" si="10"/>
        <v>OK</v>
      </c>
      <c r="L130" t="s">
        <v>1089</v>
      </c>
      <c r="M130">
        <v>5</v>
      </c>
      <c r="N130" s="2">
        <v>46062</v>
      </c>
      <c r="O130" s="2" t="s">
        <v>22</v>
      </c>
      <c r="P130" s="4">
        <f t="shared" ref="P130:P193" ca="1" si="14">IF(H130&gt;TODAY(),
"",
IF(I130="Active",
DATEDIF(H130,TODAY(),"Y"),
DATEDIF(H130,O130,"Y")
))</f>
        <v>0</v>
      </c>
      <c r="Q130" s="4" t="str">
        <f t="shared" ref="Q130:Q193" ca="1" si="15">IF(P130&lt;=2,"0-2 Years",
IF(P130&lt;=5,"3-5 Years",
IF(P130&lt;=10,"6-10 Years","10+ Years")))</f>
        <v>0-2 Years</v>
      </c>
      <c r="R130">
        <f t="shared" ca="1" si="11"/>
        <v>1</v>
      </c>
      <c r="S130" t="s">
        <v>22</v>
      </c>
      <c r="T130">
        <v>2</v>
      </c>
      <c r="U130" t="s">
        <v>1394</v>
      </c>
      <c r="V130" t="s">
        <v>1394</v>
      </c>
      <c r="W130" t="s">
        <v>1394</v>
      </c>
      <c r="X130" s="3">
        <v>3</v>
      </c>
      <c r="Y130" t="s">
        <v>1398</v>
      </c>
      <c r="Z130">
        <v>40805</v>
      </c>
      <c r="AA130">
        <v>0.1</v>
      </c>
      <c r="AB130">
        <v>44885.5</v>
      </c>
    </row>
    <row r="131" spans="1:28" x14ac:dyDescent="0.35">
      <c r="A131" t="str">
        <f t="shared" si="12"/>
        <v>EMP0130</v>
      </c>
      <c r="B131" t="str" cm="1">
        <f t="array" ref="B131">_xlfn.IFS(
ROW()&lt;=421,"NA",
ROW()&lt;=781,"LATAM",
ROW()&lt;=1021,"EMEA",
TRUE,"APAC"
)</f>
        <v>NA</v>
      </c>
      <c r="C131" t="str">
        <f t="shared" si="13"/>
        <v>USA</v>
      </c>
      <c r="D131" t="s">
        <v>26</v>
      </c>
      <c r="E131" t="s">
        <v>145</v>
      </c>
      <c r="F131" t="s">
        <v>212</v>
      </c>
      <c r="G131" t="s">
        <v>28</v>
      </c>
      <c r="H131" s="2">
        <v>45796</v>
      </c>
      <c r="I131" t="s">
        <v>29</v>
      </c>
      <c r="J131" t="s">
        <v>30</v>
      </c>
      <c r="K131" t="str">
        <f t="shared" ref="K131:K194" ca="1" si="16">IF(
OR(
H131="",
I131="",
AND(I131="Inactive",O131=""),
H131&gt;TODAY(),
Z131="",
F131="",
D131="",
X131&lt;1
),
"⚠ Review",
"OK"
)</f>
        <v>OK</v>
      </c>
      <c r="L131" t="s">
        <v>254</v>
      </c>
      <c r="M131">
        <v>4</v>
      </c>
      <c r="N131" s="2">
        <v>46000</v>
      </c>
      <c r="O131" s="2" t="s">
        <v>22</v>
      </c>
      <c r="P131" s="4">
        <f t="shared" ca="1" si="14"/>
        <v>0</v>
      </c>
      <c r="Q131" s="4" t="str">
        <f t="shared" ca="1" si="15"/>
        <v>0-2 Years</v>
      </c>
      <c r="R131">
        <f t="shared" ref="R131:R194" ca="1" si="17">IF(P131&lt;=2,1,0)</f>
        <v>1</v>
      </c>
      <c r="S131" t="s">
        <v>22</v>
      </c>
      <c r="T131">
        <v>4</v>
      </c>
      <c r="U131" t="s">
        <v>1394</v>
      </c>
      <c r="V131" t="s">
        <v>1394</v>
      </c>
      <c r="W131" t="s">
        <v>1394</v>
      </c>
      <c r="X131" s="3">
        <v>3</v>
      </c>
      <c r="Y131" t="s">
        <v>1398</v>
      </c>
      <c r="Z131">
        <v>84048</v>
      </c>
      <c r="AA131">
        <v>0.15</v>
      </c>
      <c r="AB131">
        <v>96655.2</v>
      </c>
    </row>
    <row r="132" spans="1:28" x14ac:dyDescent="0.35">
      <c r="A132" t="str">
        <f t="shared" si="12"/>
        <v>EMP0131</v>
      </c>
      <c r="B132" t="str" cm="1">
        <f t="array" ref="B132">_xlfn.IFS(
ROW()&lt;=421,"NA",
ROW()&lt;=781,"LATAM",
ROW()&lt;=1021,"EMEA",
TRUE,"APAC"
)</f>
        <v>NA</v>
      </c>
      <c r="C132" t="str">
        <f t="shared" si="13"/>
        <v>USA</v>
      </c>
      <c r="D132" t="s">
        <v>44</v>
      </c>
      <c r="E132" t="s">
        <v>145</v>
      </c>
      <c r="F132" t="s">
        <v>198</v>
      </c>
      <c r="G132" t="s">
        <v>28</v>
      </c>
      <c r="H132" s="2">
        <v>45786</v>
      </c>
      <c r="I132" t="s">
        <v>29</v>
      </c>
      <c r="J132" t="s">
        <v>47</v>
      </c>
      <c r="K132" t="str">
        <f t="shared" ca="1" si="16"/>
        <v>OK</v>
      </c>
      <c r="L132" t="s">
        <v>345</v>
      </c>
      <c r="M132">
        <v>4</v>
      </c>
      <c r="N132" s="2">
        <v>46041</v>
      </c>
      <c r="O132" s="2" t="s">
        <v>22</v>
      </c>
      <c r="P132" s="4">
        <f t="shared" ca="1" si="14"/>
        <v>0</v>
      </c>
      <c r="Q132" s="4" t="str">
        <f t="shared" ca="1" si="15"/>
        <v>0-2 Years</v>
      </c>
      <c r="R132">
        <f t="shared" ca="1" si="17"/>
        <v>1</v>
      </c>
      <c r="S132" t="s">
        <v>22</v>
      </c>
      <c r="T132">
        <v>4</v>
      </c>
      <c r="U132" t="s">
        <v>1396</v>
      </c>
      <c r="V132" t="s">
        <v>1394</v>
      </c>
      <c r="W132" t="s">
        <v>1394</v>
      </c>
      <c r="X132" s="3">
        <v>5</v>
      </c>
      <c r="Y132" t="s">
        <v>1395</v>
      </c>
      <c r="Z132">
        <v>59451</v>
      </c>
      <c r="AA132">
        <v>0.15</v>
      </c>
      <c r="AB132">
        <v>68368.649999999994</v>
      </c>
    </row>
    <row r="133" spans="1:28" x14ac:dyDescent="0.35">
      <c r="A133" t="str">
        <f t="shared" si="12"/>
        <v>EMP0132</v>
      </c>
      <c r="B133" t="str" cm="1">
        <f t="array" ref="B133">_xlfn.IFS(
ROW()&lt;=421,"NA",
ROW()&lt;=781,"LATAM",
ROW()&lt;=1021,"EMEA",
TRUE,"APAC"
)</f>
        <v>NA</v>
      </c>
      <c r="C133" t="str">
        <f t="shared" si="13"/>
        <v>USA</v>
      </c>
      <c r="D133" t="s">
        <v>44</v>
      </c>
      <c r="E133" t="s">
        <v>380</v>
      </c>
      <c r="F133" t="s">
        <v>553</v>
      </c>
      <c r="G133" t="s">
        <v>28</v>
      </c>
      <c r="H133" s="2">
        <v>45785</v>
      </c>
      <c r="I133" t="s">
        <v>29</v>
      </c>
      <c r="J133" t="s">
        <v>47</v>
      </c>
      <c r="K133" t="str">
        <f t="shared" ca="1" si="16"/>
        <v>OK</v>
      </c>
      <c r="L133" t="s">
        <v>554</v>
      </c>
      <c r="M133">
        <v>5</v>
      </c>
      <c r="N133" s="2">
        <v>45992</v>
      </c>
      <c r="O133" s="2" t="s">
        <v>22</v>
      </c>
      <c r="P133" s="4">
        <f t="shared" ca="1" si="14"/>
        <v>0</v>
      </c>
      <c r="Q133" s="4" t="str">
        <f t="shared" ca="1" si="15"/>
        <v>0-2 Years</v>
      </c>
      <c r="R133">
        <f t="shared" ca="1" si="17"/>
        <v>1</v>
      </c>
      <c r="S133" t="s">
        <v>22</v>
      </c>
      <c r="T133">
        <v>4</v>
      </c>
      <c r="U133" t="s">
        <v>1394</v>
      </c>
      <c r="V133" t="s">
        <v>1394</v>
      </c>
      <c r="W133" t="s">
        <v>1394</v>
      </c>
      <c r="X133" s="3">
        <v>3</v>
      </c>
      <c r="Y133" t="s">
        <v>1398</v>
      </c>
      <c r="Z133">
        <v>41099</v>
      </c>
      <c r="AA133">
        <v>0.1</v>
      </c>
      <c r="AB133">
        <v>45208.9</v>
      </c>
    </row>
    <row r="134" spans="1:28" x14ac:dyDescent="0.35">
      <c r="A134" t="str">
        <f t="shared" si="12"/>
        <v>EMP0133</v>
      </c>
      <c r="B134" t="str" cm="1">
        <f t="array" ref="B134">_xlfn.IFS(
ROW()&lt;=421,"NA",
ROW()&lt;=781,"LATAM",
ROW()&lt;=1021,"EMEA",
TRUE,"APAC"
)</f>
        <v>NA</v>
      </c>
      <c r="C134" t="str">
        <f t="shared" si="13"/>
        <v>USA</v>
      </c>
      <c r="D134" t="s">
        <v>26</v>
      </c>
      <c r="E134" t="s">
        <v>380</v>
      </c>
      <c r="F134" t="s">
        <v>442</v>
      </c>
      <c r="G134" t="s">
        <v>28</v>
      </c>
      <c r="H134" s="2">
        <v>45784</v>
      </c>
      <c r="I134" t="s">
        <v>29</v>
      </c>
      <c r="J134" t="s">
        <v>30</v>
      </c>
      <c r="K134" t="str">
        <f t="shared" ca="1" si="16"/>
        <v>OK</v>
      </c>
      <c r="L134" t="s">
        <v>1384</v>
      </c>
      <c r="M134">
        <v>5</v>
      </c>
      <c r="N134" s="2">
        <v>46048</v>
      </c>
      <c r="O134" s="2" t="s">
        <v>22</v>
      </c>
      <c r="P134" s="4">
        <f t="shared" ca="1" si="14"/>
        <v>0</v>
      </c>
      <c r="Q134" s="4" t="str">
        <f t="shared" ca="1" si="15"/>
        <v>0-2 Years</v>
      </c>
      <c r="R134">
        <f t="shared" ca="1" si="17"/>
        <v>1</v>
      </c>
      <c r="S134" t="s">
        <v>22</v>
      </c>
      <c r="T134">
        <v>3</v>
      </c>
      <c r="U134" t="s">
        <v>1394</v>
      </c>
      <c r="V134" t="s">
        <v>1394</v>
      </c>
      <c r="W134" t="s">
        <v>1394</v>
      </c>
      <c r="X134" s="3">
        <v>2</v>
      </c>
      <c r="Y134" t="s">
        <v>1397</v>
      </c>
      <c r="Z134">
        <v>23120</v>
      </c>
      <c r="AA134">
        <v>0.1</v>
      </c>
      <c r="AB134">
        <v>25432.000000000004</v>
      </c>
    </row>
    <row r="135" spans="1:28" x14ac:dyDescent="0.35">
      <c r="A135" t="str">
        <f t="shared" si="12"/>
        <v>EMP0134</v>
      </c>
      <c r="B135" t="str" cm="1">
        <f t="array" ref="B135">_xlfn.IFS(
ROW()&lt;=421,"NA",
ROW()&lt;=781,"LATAM",
ROW()&lt;=1021,"EMEA",
TRUE,"APAC"
)</f>
        <v>NA</v>
      </c>
      <c r="C135" t="str">
        <f t="shared" si="13"/>
        <v>USA</v>
      </c>
      <c r="D135" t="s">
        <v>26</v>
      </c>
      <c r="E135" t="s">
        <v>380</v>
      </c>
      <c r="F135" t="s">
        <v>479</v>
      </c>
      <c r="G135" t="s">
        <v>28</v>
      </c>
      <c r="H135" s="2">
        <v>45780</v>
      </c>
      <c r="I135" t="s">
        <v>29</v>
      </c>
      <c r="J135" t="s">
        <v>30</v>
      </c>
      <c r="K135" t="str">
        <f t="shared" ca="1" si="16"/>
        <v>OK</v>
      </c>
      <c r="L135" t="s">
        <v>539</v>
      </c>
      <c r="M135">
        <v>5</v>
      </c>
      <c r="N135" s="2">
        <v>46073</v>
      </c>
      <c r="O135" s="2" t="s">
        <v>22</v>
      </c>
      <c r="P135" s="4">
        <f t="shared" ca="1" si="14"/>
        <v>0</v>
      </c>
      <c r="Q135" s="4" t="str">
        <f t="shared" ca="1" si="15"/>
        <v>0-2 Years</v>
      </c>
      <c r="R135">
        <f t="shared" ca="1" si="17"/>
        <v>1</v>
      </c>
      <c r="S135" t="s">
        <v>22</v>
      </c>
      <c r="T135">
        <v>3</v>
      </c>
      <c r="U135" t="s">
        <v>1394</v>
      </c>
      <c r="V135" t="s">
        <v>1394</v>
      </c>
      <c r="W135" t="s">
        <v>1394</v>
      </c>
      <c r="X135" s="3">
        <v>2</v>
      </c>
      <c r="Y135" t="s">
        <v>1397</v>
      </c>
      <c r="Z135">
        <v>22706</v>
      </c>
      <c r="AA135">
        <v>0.1</v>
      </c>
      <c r="AB135">
        <v>24976.600000000002</v>
      </c>
    </row>
    <row r="136" spans="1:28" x14ac:dyDescent="0.35">
      <c r="A136" t="str">
        <f t="shared" si="12"/>
        <v>EMP0135</v>
      </c>
      <c r="B136" t="str" cm="1">
        <f t="array" ref="B136">_xlfn.IFS(
ROW()&lt;=421,"NA",
ROW()&lt;=781,"LATAM",
ROW()&lt;=1021,"EMEA",
TRUE,"APAC"
)</f>
        <v>NA</v>
      </c>
      <c r="C136" t="str">
        <f t="shared" si="13"/>
        <v>USA</v>
      </c>
      <c r="D136" t="s">
        <v>41</v>
      </c>
      <c r="E136" t="s">
        <v>380</v>
      </c>
      <c r="F136" t="s">
        <v>579</v>
      </c>
      <c r="G136" t="s">
        <v>28</v>
      </c>
      <c r="H136" s="2">
        <v>45773</v>
      </c>
      <c r="I136" t="s">
        <v>29</v>
      </c>
      <c r="J136" t="s">
        <v>42</v>
      </c>
      <c r="K136" t="str">
        <f t="shared" ca="1" si="16"/>
        <v>OK</v>
      </c>
      <c r="L136" t="s">
        <v>1234</v>
      </c>
      <c r="M136">
        <v>5</v>
      </c>
      <c r="N136" s="2">
        <v>46016</v>
      </c>
      <c r="O136" s="2" t="s">
        <v>22</v>
      </c>
      <c r="P136" s="4">
        <f t="shared" ca="1" si="14"/>
        <v>0</v>
      </c>
      <c r="Q136" s="4" t="str">
        <f t="shared" ca="1" si="15"/>
        <v>0-2 Years</v>
      </c>
      <c r="R136">
        <f t="shared" ca="1" si="17"/>
        <v>1</v>
      </c>
      <c r="S136" t="s">
        <v>22</v>
      </c>
      <c r="T136">
        <v>3</v>
      </c>
      <c r="U136" t="s">
        <v>1394</v>
      </c>
      <c r="V136" t="s">
        <v>1394</v>
      </c>
      <c r="W136" t="s">
        <v>1394</v>
      </c>
      <c r="X136" s="3">
        <v>3</v>
      </c>
      <c r="Y136" t="s">
        <v>1398</v>
      </c>
      <c r="Z136">
        <v>30328</v>
      </c>
      <c r="AA136">
        <v>0.1</v>
      </c>
      <c r="AB136">
        <v>33360.800000000003</v>
      </c>
    </row>
    <row r="137" spans="1:28" x14ac:dyDescent="0.35">
      <c r="A137" t="str">
        <f t="shared" si="12"/>
        <v>EMP0136</v>
      </c>
      <c r="B137" t="str" cm="1">
        <f t="array" ref="B137">_xlfn.IFS(
ROW()&lt;=421,"NA",
ROW()&lt;=781,"LATAM",
ROW()&lt;=1021,"EMEA",
TRUE,"APAC"
)</f>
        <v>NA</v>
      </c>
      <c r="C137" t="str">
        <f t="shared" si="13"/>
        <v>USA</v>
      </c>
      <c r="D137" t="s">
        <v>38</v>
      </c>
      <c r="E137" t="s">
        <v>380</v>
      </c>
      <c r="F137" t="s">
        <v>784</v>
      </c>
      <c r="G137" t="s">
        <v>28</v>
      </c>
      <c r="H137" s="2">
        <v>45772</v>
      </c>
      <c r="I137" t="s">
        <v>29</v>
      </c>
      <c r="J137" t="s">
        <v>39</v>
      </c>
      <c r="K137" t="str">
        <f t="shared" ca="1" si="16"/>
        <v>OK</v>
      </c>
      <c r="L137" t="s">
        <v>785</v>
      </c>
      <c r="M137">
        <v>5</v>
      </c>
      <c r="N137" s="2">
        <v>46023</v>
      </c>
      <c r="O137" s="2" t="s">
        <v>22</v>
      </c>
      <c r="P137" s="4">
        <f t="shared" ca="1" si="14"/>
        <v>0</v>
      </c>
      <c r="Q137" s="4" t="str">
        <f t="shared" ca="1" si="15"/>
        <v>0-2 Years</v>
      </c>
      <c r="R137">
        <f t="shared" ca="1" si="17"/>
        <v>1</v>
      </c>
      <c r="S137" t="s">
        <v>22</v>
      </c>
      <c r="T137">
        <v>5</v>
      </c>
      <c r="U137" t="s">
        <v>1394</v>
      </c>
      <c r="V137" t="s">
        <v>1394</v>
      </c>
      <c r="W137" t="s">
        <v>1394</v>
      </c>
      <c r="X137" s="3">
        <v>2</v>
      </c>
      <c r="Y137" t="s">
        <v>1397</v>
      </c>
      <c r="Z137">
        <v>45590</v>
      </c>
      <c r="AA137">
        <v>0.1</v>
      </c>
      <c r="AB137">
        <v>50149.000000000007</v>
      </c>
    </row>
    <row r="138" spans="1:28" x14ac:dyDescent="0.35">
      <c r="A138" t="str">
        <f t="shared" si="12"/>
        <v>EMP0137</v>
      </c>
      <c r="B138" t="str" cm="1">
        <f t="array" ref="B138">_xlfn.IFS(
ROW()&lt;=421,"NA",
ROW()&lt;=781,"LATAM",
ROW()&lt;=1021,"EMEA",
TRUE,"APAC"
)</f>
        <v>NA</v>
      </c>
      <c r="C138" t="str">
        <f t="shared" si="13"/>
        <v>USA</v>
      </c>
      <c r="D138" t="s">
        <v>32</v>
      </c>
      <c r="E138" t="s">
        <v>145</v>
      </c>
      <c r="F138" t="s">
        <v>247</v>
      </c>
      <c r="G138" t="s">
        <v>28</v>
      </c>
      <c r="H138" s="2">
        <v>45764</v>
      </c>
      <c r="I138" t="s">
        <v>29</v>
      </c>
      <c r="J138" t="s">
        <v>33</v>
      </c>
      <c r="K138" t="str">
        <f t="shared" ca="1" si="16"/>
        <v>OK</v>
      </c>
      <c r="L138" t="s">
        <v>269</v>
      </c>
      <c r="M138">
        <v>4</v>
      </c>
      <c r="N138" s="2">
        <v>46007</v>
      </c>
      <c r="O138" s="2" t="s">
        <v>22</v>
      </c>
      <c r="P138" s="4">
        <f t="shared" ca="1" si="14"/>
        <v>0</v>
      </c>
      <c r="Q138" s="4" t="str">
        <f t="shared" ca="1" si="15"/>
        <v>0-2 Years</v>
      </c>
      <c r="R138">
        <f t="shared" ca="1" si="17"/>
        <v>1</v>
      </c>
      <c r="S138" t="s">
        <v>22</v>
      </c>
      <c r="T138">
        <v>5</v>
      </c>
      <c r="U138" t="s">
        <v>1396</v>
      </c>
      <c r="V138" t="s">
        <v>1394</v>
      </c>
      <c r="W138" t="s">
        <v>1394</v>
      </c>
      <c r="X138" s="3">
        <v>3</v>
      </c>
      <c r="Y138" t="s">
        <v>1398</v>
      </c>
      <c r="Z138">
        <v>67910</v>
      </c>
      <c r="AA138">
        <v>0.15</v>
      </c>
      <c r="AB138">
        <v>78096.5</v>
      </c>
    </row>
    <row r="139" spans="1:28" x14ac:dyDescent="0.35">
      <c r="A139" t="str">
        <f t="shared" si="12"/>
        <v>EMP0138</v>
      </c>
      <c r="B139" t="str" cm="1">
        <f t="array" ref="B139">_xlfn.IFS(
ROW()&lt;=421,"NA",
ROW()&lt;=781,"LATAM",
ROW()&lt;=1021,"EMEA",
TRUE,"APAC"
)</f>
        <v>NA</v>
      </c>
      <c r="C139" t="str">
        <f t="shared" si="13"/>
        <v>USA</v>
      </c>
      <c r="D139" t="s">
        <v>41</v>
      </c>
      <c r="E139" t="s">
        <v>380</v>
      </c>
      <c r="F139" t="s">
        <v>591</v>
      </c>
      <c r="G139" t="s">
        <v>28</v>
      </c>
      <c r="H139" s="2">
        <v>45763</v>
      </c>
      <c r="I139" t="s">
        <v>57</v>
      </c>
      <c r="J139" t="s">
        <v>42</v>
      </c>
      <c r="K139" t="str">
        <f t="shared" ca="1" si="16"/>
        <v>OK</v>
      </c>
      <c r="L139" t="s">
        <v>689</v>
      </c>
      <c r="M139">
        <v>5</v>
      </c>
      <c r="N139" s="2">
        <v>46039</v>
      </c>
      <c r="O139" s="2">
        <v>46071</v>
      </c>
      <c r="P139" s="4">
        <f t="shared" ca="1" si="14"/>
        <v>0</v>
      </c>
      <c r="Q139" s="4" t="str">
        <f t="shared" ca="1" si="15"/>
        <v>0-2 Years</v>
      </c>
      <c r="R139">
        <f t="shared" ca="1" si="17"/>
        <v>1</v>
      </c>
      <c r="S139" t="s">
        <v>23</v>
      </c>
      <c r="T139">
        <v>3</v>
      </c>
      <c r="U139" t="s">
        <v>1396</v>
      </c>
      <c r="V139" t="s">
        <v>1396</v>
      </c>
      <c r="W139" t="s">
        <v>1394</v>
      </c>
      <c r="X139" s="3">
        <v>2</v>
      </c>
      <c r="Y139" t="s">
        <v>1397</v>
      </c>
      <c r="Z139">
        <v>38368</v>
      </c>
      <c r="AA139">
        <v>0.1</v>
      </c>
      <c r="AB139">
        <v>42204.800000000003</v>
      </c>
    </row>
    <row r="140" spans="1:28" x14ac:dyDescent="0.35">
      <c r="A140" t="str">
        <f t="shared" si="12"/>
        <v>EMP0139</v>
      </c>
      <c r="B140" t="str" cm="1">
        <f t="array" ref="B140">_xlfn.IFS(
ROW()&lt;=421,"NA",
ROW()&lt;=781,"LATAM",
ROW()&lt;=1021,"EMEA",
TRUE,"APAC"
)</f>
        <v>NA</v>
      </c>
      <c r="C140" t="str">
        <f t="shared" si="13"/>
        <v>USA</v>
      </c>
      <c r="D140" t="s">
        <v>26</v>
      </c>
      <c r="E140" t="s">
        <v>380</v>
      </c>
      <c r="F140" t="s">
        <v>545</v>
      </c>
      <c r="G140" t="s">
        <v>53</v>
      </c>
      <c r="H140" s="2">
        <v>45757</v>
      </c>
      <c r="I140" t="s">
        <v>29</v>
      </c>
      <c r="J140" t="s">
        <v>30</v>
      </c>
      <c r="K140" t="str">
        <f t="shared" ca="1" si="16"/>
        <v>OK</v>
      </c>
      <c r="L140" t="s">
        <v>897</v>
      </c>
      <c r="M140">
        <v>5</v>
      </c>
      <c r="N140" s="2">
        <v>46056</v>
      </c>
      <c r="O140" s="2" t="s">
        <v>22</v>
      </c>
      <c r="P140" s="4">
        <f t="shared" ca="1" si="14"/>
        <v>0</v>
      </c>
      <c r="Q140" s="4" t="str">
        <f t="shared" ca="1" si="15"/>
        <v>0-2 Years</v>
      </c>
      <c r="R140">
        <f t="shared" ca="1" si="17"/>
        <v>1</v>
      </c>
      <c r="S140" t="s">
        <v>22</v>
      </c>
      <c r="T140">
        <v>4</v>
      </c>
      <c r="U140" t="s">
        <v>1394</v>
      </c>
      <c r="V140" t="s">
        <v>1394</v>
      </c>
      <c r="W140" t="s">
        <v>1394</v>
      </c>
      <c r="X140" s="3">
        <v>2</v>
      </c>
      <c r="Y140" t="s">
        <v>1397</v>
      </c>
      <c r="Z140">
        <v>27551</v>
      </c>
      <c r="AA140">
        <v>0.1</v>
      </c>
      <c r="AB140">
        <v>30306.100000000002</v>
      </c>
    </row>
    <row r="141" spans="1:28" x14ac:dyDescent="0.35">
      <c r="A141" t="str">
        <f t="shared" si="12"/>
        <v>EMP0140</v>
      </c>
      <c r="B141" t="str" cm="1">
        <f t="array" ref="B141">_xlfn.IFS(
ROW()&lt;=421,"NA",
ROW()&lt;=781,"LATAM",
ROW()&lt;=1021,"EMEA",
TRUE,"APAC"
)</f>
        <v>NA</v>
      </c>
      <c r="C141" t="str">
        <f t="shared" si="13"/>
        <v>USA</v>
      </c>
      <c r="D141" t="s">
        <v>44</v>
      </c>
      <c r="E141" t="s">
        <v>145</v>
      </c>
      <c r="F141" t="s">
        <v>205</v>
      </c>
      <c r="G141" t="s">
        <v>28</v>
      </c>
      <c r="H141" s="2">
        <v>45754</v>
      </c>
      <c r="I141" t="s">
        <v>57</v>
      </c>
      <c r="J141" t="s">
        <v>47</v>
      </c>
      <c r="K141" t="str">
        <f t="shared" ca="1" si="16"/>
        <v>OK</v>
      </c>
      <c r="L141" t="s">
        <v>340</v>
      </c>
      <c r="M141">
        <v>4</v>
      </c>
      <c r="N141" s="2">
        <v>46048</v>
      </c>
      <c r="O141" s="2">
        <v>46071</v>
      </c>
      <c r="P141" s="4">
        <f t="shared" ca="1" si="14"/>
        <v>0</v>
      </c>
      <c r="Q141" s="4" t="str">
        <f t="shared" ca="1" si="15"/>
        <v>0-2 Years</v>
      </c>
      <c r="R141">
        <f t="shared" ca="1" si="17"/>
        <v>1</v>
      </c>
      <c r="S141" t="s">
        <v>23</v>
      </c>
      <c r="T141">
        <v>3</v>
      </c>
      <c r="U141" t="s">
        <v>1396</v>
      </c>
      <c r="V141" t="s">
        <v>1394</v>
      </c>
      <c r="W141" t="s">
        <v>1394</v>
      </c>
      <c r="X141" s="3">
        <v>4</v>
      </c>
      <c r="Y141" t="s">
        <v>1395</v>
      </c>
      <c r="Z141">
        <v>51867</v>
      </c>
      <c r="AA141">
        <v>0.15</v>
      </c>
      <c r="AB141">
        <v>59647.049999999996</v>
      </c>
    </row>
    <row r="142" spans="1:28" x14ac:dyDescent="0.35">
      <c r="A142" t="str">
        <f t="shared" si="12"/>
        <v>EMP0141</v>
      </c>
      <c r="B142" t="str" cm="1">
        <f t="array" ref="B142">_xlfn.IFS(
ROW()&lt;=421,"NA",
ROW()&lt;=781,"LATAM",
ROW()&lt;=1021,"EMEA",
TRUE,"APAC"
)</f>
        <v>NA</v>
      </c>
      <c r="C142" t="str">
        <f t="shared" si="13"/>
        <v>USA</v>
      </c>
      <c r="D142" t="s">
        <v>32</v>
      </c>
      <c r="E142" t="s">
        <v>380</v>
      </c>
      <c r="F142" t="s">
        <v>790</v>
      </c>
      <c r="G142" t="s">
        <v>53</v>
      </c>
      <c r="H142" s="2">
        <v>45752</v>
      </c>
      <c r="I142" t="s">
        <v>29</v>
      </c>
      <c r="J142" t="s">
        <v>33</v>
      </c>
      <c r="K142" t="str">
        <f t="shared" ca="1" si="16"/>
        <v>OK</v>
      </c>
      <c r="L142" t="s">
        <v>1113</v>
      </c>
      <c r="M142">
        <v>5</v>
      </c>
      <c r="N142" s="2">
        <v>46056</v>
      </c>
      <c r="O142" s="2" t="s">
        <v>22</v>
      </c>
      <c r="P142" s="4">
        <f t="shared" ca="1" si="14"/>
        <v>0</v>
      </c>
      <c r="Q142" s="4" t="str">
        <f t="shared" ca="1" si="15"/>
        <v>0-2 Years</v>
      </c>
      <c r="R142">
        <f t="shared" ca="1" si="17"/>
        <v>1</v>
      </c>
      <c r="S142" t="s">
        <v>22</v>
      </c>
      <c r="T142">
        <v>3</v>
      </c>
      <c r="U142" t="s">
        <v>1396</v>
      </c>
      <c r="V142" t="s">
        <v>1394</v>
      </c>
      <c r="W142" t="s">
        <v>1394</v>
      </c>
      <c r="X142" s="3">
        <v>5</v>
      </c>
      <c r="Y142" t="s">
        <v>1395</v>
      </c>
      <c r="Z142">
        <v>21518</v>
      </c>
      <c r="AA142">
        <v>0.1</v>
      </c>
      <c r="AB142">
        <v>23669.800000000003</v>
      </c>
    </row>
    <row r="143" spans="1:28" x14ac:dyDescent="0.35">
      <c r="A143" t="str">
        <f t="shared" si="12"/>
        <v>EMP0142</v>
      </c>
      <c r="B143" t="str" cm="1">
        <f t="array" ref="B143">_xlfn.IFS(
ROW()&lt;=421,"NA",
ROW()&lt;=781,"LATAM",
ROW()&lt;=1021,"EMEA",
TRUE,"APAC"
)</f>
        <v>NA</v>
      </c>
      <c r="C143" t="str">
        <f t="shared" si="13"/>
        <v>USA</v>
      </c>
      <c r="D143" t="s">
        <v>35</v>
      </c>
      <c r="E143" t="s">
        <v>380</v>
      </c>
      <c r="F143" t="s">
        <v>698</v>
      </c>
      <c r="G143" t="s">
        <v>28</v>
      </c>
      <c r="H143" s="2">
        <v>45748</v>
      </c>
      <c r="I143" t="s">
        <v>57</v>
      </c>
      <c r="J143" t="s">
        <v>36</v>
      </c>
      <c r="K143" t="str">
        <f t="shared" ca="1" si="16"/>
        <v>OK</v>
      </c>
      <c r="L143" t="s">
        <v>733</v>
      </c>
      <c r="M143">
        <v>5</v>
      </c>
      <c r="N143" s="2">
        <v>46009</v>
      </c>
      <c r="O143" s="2">
        <v>46071</v>
      </c>
      <c r="P143" s="4">
        <f t="shared" ca="1" si="14"/>
        <v>0</v>
      </c>
      <c r="Q143" s="4" t="str">
        <f t="shared" ca="1" si="15"/>
        <v>0-2 Years</v>
      </c>
      <c r="R143">
        <f t="shared" ca="1" si="17"/>
        <v>1</v>
      </c>
      <c r="S143" t="s">
        <v>23</v>
      </c>
      <c r="T143">
        <v>4</v>
      </c>
      <c r="U143" t="s">
        <v>1394</v>
      </c>
      <c r="V143" t="s">
        <v>1396</v>
      </c>
      <c r="W143" t="s">
        <v>1394</v>
      </c>
      <c r="X143" s="3">
        <v>2</v>
      </c>
      <c r="Y143" t="s">
        <v>1397</v>
      </c>
      <c r="Z143">
        <v>20143</v>
      </c>
      <c r="AA143">
        <v>0.1</v>
      </c>
      <c r="AB143">
        <v>22157.300000000003</v>
      </c>
    </row>
    <row r="144" spans="1:28" x14ac:dyDescent="0.35">
      <c r="A144" t="str">
        <f t="shared" si="12"/>
        <v>EMP0143</v>
      </c>
      <c r="B144" t="str" cm="1">
        <f t="array" ref="B144">_xlfn.IFS(
ROW()&lt;=421,"NA",
ROW()&lt;=781,"LATAM",
ROW()&lt;=1021,"EMEA",
TRUE,"APAC"
)</f>
        <v>NA</v>
      </c>
      <c r="C144" t="str">
        <f t="shared" si="13"/>
        <v>USA</v>
      </c>
      <c r="D144" t="s">
        <v>44</v>
      </c>
      <c r="E144" t="s">
        <v>69</v>
      </c>
      <c r="F144" t="s">
        <v>79</v>
      </c>
      <c r="G144" t="s">
        <v>28</v>
      </c>
      <c r="H144" s="2">
        <v>45741</v>
      </c>
      <c r="I144" t="s">
        <v>57</v>
      </c>
      <c r="J144" t="s">
        <v>47</v>
      </c>
      <c r="K144" t="str">
        <f t="shared" ca="1" si="16"/>
        <v>OK</v>
      </c>
      <c r="L144" t="s">
        <v>96</v>
      </c>
      <c r="M144">
        <v>3</v>
      </c>
      <c r="N144" s="2">
        <v>46028</v>
      </c>
      <c r="O144" s="2">
        <v>46071</v>
      </c>
      <c r="P144" s="4">
        <f t="shared" ca="1" si="14"/>
        <v>0</v>
      </c>
      <c r="Q144" s="4" t="str">
        <f t="shared" ca="1" si="15"/>
        <v>0-2 Years</v>
      </c>
      <c r="R144">
        <f t="shared" ca="1" si="17"/>
        <v>1</v>
      </c>
      <c r="S144" t="s">
        <v>24</v>
      </c>
      <c r="T144">
        <v>3</v>
      </c>
      <c r="U144" t="s">
        <v>1394</v>
      </c>
      <c r="V144" t="s">
        <v>1394</v>
      </c>
      <c r="W144" t="s">
        <v>1394</v>
      </c>
      <c r="X144" s="3">
        <v>3</v>
      </c>
      <c r="Y144" t="s">
        <v>1398</v>
      </c>
      <c r="Z144">
        <v>102606</v>
      </c>
      <c r="AA144">
        <v>0.2</v>
      </c>
      <c r="AB144">
        <v>123127.2</v>
      </c>
    </row>
    <row r="145" spans="1:28" x14ac:dyDescent="0.35">
      <c r="A145" t="str">
        <f t="shared" si="12"/>
        <v>EMP0144</v>
      </c>
      <c r="B145" t="str" cm="1">
        <f t="array" ref="B145">_xlfn.IFS(
ROW()&lt;=421,"NA",
ROW()&lt;=781,"LATAM",
ROW()&lt;=1021,"EMEA",
TRUE,"APAC"
)</f>
        <v>NA</v>
      </c>
      <c r="C145" t="str">
        <f t="shared" si="13"/>
        <v>USA</v>
      </c>
      <c r="D145" t="s">
        <v>44</v>
      </c>
      <c r="E145" t="s">
        <v>145</v>
      </c>
      <c r="F145" t="s">
        <v>166</v>
      </c>
      <c r="G145" t="s">
        <v>28</v>
      </c>
      <c r="H145" s="2">
        <v>45735</v>
      </c>
      <c r="I145" t="s">
        <v>29</v>
      </c>
      <c r="J145" t="s">
        <v>47</v>
      </c>
      <c r="K145" t="str">
        <f t="shared" ca="1" si="16"/>
        <v>OK</v>
      </c>
      <c r="L145" t="s">
        <v>230</v>
      </c>
      <c r="M145">
        <v>4</v>
      </c>
      <c r="N145" s="2">
        <v>46029</v>
      </c>
      <c r="O145" s="2" t="s">
        <v>22</v>
      </c>
      <c r="P145" s="4">
        <f t="shared" ca="1" si="14"/>
        <v>0</v>
      </c>
      <c r="Q145" s="4" t="str">
        <f t="shared" ca="1" si="15"/>
        <v>0-2 Years</v>
      </c>
      <c r="R145">
        <f t="shared" ca="1" si="17"/>
        <v>1</v>
      </c>
      <c r="S145" t="s">
        <v>22</v>
      </c>
      <c r="T145">
        <v>3</v>
      </c>
      <c r="U145" t="s">
        <v>1396</v>
      </c>
      <c r="V145" t="s">
        <v>1394</v>
      </c>
      <c r="W145" t="s">
        <v>1394</v>
      </c>
      <c r="X145" s="3">
        <v>2</v>
      </c>
      <c r="Y145" t="s">
        <v>1397</v>
      </c>
      <c r="Z145">
        <v>54937</v>
      </c>
      <c r="AA145">
        <v>0.15</v>
      </c>
      <c r="AB145">
        <v>63177.549999999996</v>
      </c>
    </row>
    <row r="146" spans="1:28" x14ac:dyDescent="0.35">
      <c r="A146" t="str">
        <f t="shared" si="12"/>
        <v>EMP0145</v>
      </c>
      <c r="B146" t="str" cm="1">
        <f t="array" ref="B146">_xlfn.IFS(
ROW()&lt;=421,"NA",
ROW()&lt;=781,"LATAM",
ROW()&lt;=1021,"EMEA",
TRUE,"APAC"
)</f>
        <v>NA</v>
      </c>
      <c r="C146" t="str">
        <f t="shared" si="13"/>
        <v>USA</v>
      </c>
      <c r="D146" t="s">
        <v>35</v>
      </c>
      <c r="E146" t="s">
        <v>380</v>
      </c>
      <c r="F146" t="s">
        <v>566</v>
      </c>
      <c r="G146" t="s">
        <v>28</v>
      </c>
      <c r="H146" s="2">
        <v>45735</v>
      </c>
      <c r="I146" t="s">
        <v>29</v>
      </c>
      <c r="J146" t="s">
        <v>36</v>
      </c>
      <c r="K146" t="str">
        <f t="shared" ca="1" si="16"/>
        <v>OK</v>
      </c>
      <c r="L146" t="s">
        <v>210</v>
      </c>
      <c r="M146">
        <v>5</v>
      </c>
      <c r="N146" s="2">
        <v>46041</v>
      </c>
      <c r="O146" s="2" t="s">
        <v>22</v>
      </c>
      <c r="P146" s="4">
        <f t="shared" ca="1" si="14"/>
        <v>0</v>
      </c>
      <c r="Q146" s="4" t="str">
        <f t="shared" ca="1" si="15"/>
        <v>0-2 Years</v>
      </c>
      <c r="R146">
        <f t="shared" ca="1" si="17"/>
        <v>1</v>
      </c>
      <c r="S146" t="s">
        <v>22</v>
      </c>
      <c r="T146">
        <v>3</v>
      </c>
      <c r="U146" t="s">
        <v>1394</v>
      </c>
      <c r="V146" t="s">
        <v>1394</v>
      </c>
      <c r="W146" t="s">
        <v>1394</v>
      </c>
      <c r="X146" s="3">
        <v>1</v>
      </c>
      <c r="Y146" t="s">
        <v>1397</v>
      </c>
      <c r="Z146">
        <v>32327</v>
      </c>
      <c r="AA146">
        <v>0.1</v>
      </c>
      <c r="AB146">
        <v>35559.700000000004</v>
      </c>
    </row>
    <row r="147" spans="1:28" x14ac:dyDescent="0.35">
      <c r="A147" t="str">
        <f t="shared" si="12"/>
        <v>EMP0146</v>
      </c>
      <c r="B147" t="str" cm="1">
        <f t="array" ref="B147">_xlfn.IFS(
ROW()&lt;=421,"NA",
ROW()&lt;=781,"LATAM",
ROW()&lt;=1021,"EMEA",
TRUE,"APAC"
)</f>
        <v>NA</v>
      </c>
      <c r="C147" t="str">
        <f t="shared" si="13"/>
        <v>USA</v>
      </c>
      <c r="D147" t="s">
        <v>44</v>
      </c>
      <c r="E147" t="s">
        <v>380</v>
      </c>
      <c r="G147" t="s">
        <v>28</v>
      </c>
      <c r="H147" s="2">
        <v>45732</v>
      </c>
      <c r="I147" t="s">
        <v>29</v>
      </c>
      <c r="J147" t="s">
        <v>47</v>
      </c>
      <c r="K147" t="str">
        <f t="shared" ca="1" si="16"/>
        <v>⚠ Review</v>
      </c>
      <c r="L147" t="s">
        <v>884</v>
      </c>
      <c r="M147">
        <v>5</v>
      </c>
      <c r="N147" s="2">
        <v>45993</v>
      </c>
      <c r="O147" s="2" t="s">
        <v>22</v>
      </c>
      <c r="P147" s="4">
        <f t="shared" ca="1" si="14"/>
        <v>0</v>
      </c>
      <c r="Q147" s="4" t="str">
        <f t="shared" ca="1" si="15"/>
        <v>0-2 Years</v>
      </c>
      <c r="R147">
        <f t="shared" ca="1" si="17"/>
        <v>1</v>
      </c>
      <c r="S147" t="s">
        <v>22</v>
      </c>
      <c r="T147">
        <v>4</v>
      </c>
      <c r="U147" t="s">
        <v>1394</v>
      </c>
      <c r="V147" t="s">
        <v>1394</v>
      </c>
      <c r="W147" t="s">
        <v>1394</v>
      </c>
      <c r="X147" s="3">
        <v>3</v>
      </c>
      <c r="Y147" t="s">
        <v>1398</v>
      </c>
      <c r="Z147">
        <v>32283</v>
      </c>
      <c r="AA147">
        <v>0.1</v>
      </c>
      <c r="AB147">
        <v>35511.300000000003</v>
      </c>
    </row>
    <row r="148" spans="1:28" x14ac:dyDescent="0.35">
      <c r="A148" t="str">
        <f t="shared" si="12"/>
        <v>EMP0147</v>
      </c>
      <c r="B148" t="str" cm="1">
        <f t="array" ref="B148">_xlfn.IFS(
ROW()&lt;=421,"NA",
ROW()&lt;=781,"LATAM",
ROW()&lt;=1021,"EMEA",
TRUE,"APAC"
)</f>
        <v>NA</v>
      </c>
      <c r="C148" t="str">
        <f t="shared" si="13"/>
        <v>USA</v>
      </c>
      <c r="D148" t="s">
        <v>38</v>
      </c>
      <c r="E148" t="s">
        <v>380</v>
      </c>
      <c r="F148" t="s">
        <v>404</v>
      </c>
      <c r="G148" t="s">
        <v>28</v>
      </c>
      <c r="H148" s="2">
        <v>45731</v>
      </c>
      <c r="I148" t="s">
        <v>29</v>
      </c>
      <c r="J148" t="s">
        <v>39</v>
      </c>
      <c r="K148" t="str">
        <f t="shared" ca="1" si="16"/>
        <v>OK</v>
      </c>
      <c r="L148" t="s">
        <v>462</v>
      </c>
      <c r="M148">
        <v>5</v>
      </c>
      <c r="N148" s="2">
        <v>46034</v>
      </c>
      <c r="O148" s="2" t="s">
        <v>22</v>
      </c>
      <c r="P148" s="4">
        <f t="shared" ca="1" si="14"/>
        <v>0</v>
      </c>
      <c r="Q148" s="4" t="str">
        <f t="shared" ca="1" si="15"/>
        <v>0-2 Years</v>
      </c>
      <c r="R148">
        <f t="shared" ca="1" si="17"/>
        <v>1</v>
      </c>
      <c r="S148" t="s">
        <v>22</v>
      </c>
      <c r="T148">
        <v>3</v>
      </c>
      <c r="U148" t="s">
        <v>1394</v>
      </c>
      <c r="V148" t="s">
        <v>1394</v>
      </c>
      <c r="W148" t="s">
        <v>1394</v>
      </c>
      <c r="X148" s="3">
        <v>3</v>
      </c>
      <c r="Y148" t="s">
        <v>1398</v>
      </c>
      <c r="Z148">
        <v>21969</v>
      </c>
      <c r="AA148">
        <v>0.1</v>
      </c>
      <c r="AB148">
        <v>24165.9</v>
      </c>
    </row>
    <row r="149" spans="1:28" x14ac:dyDescent="0.35">
      <c r="A149" t="str">
        <f t="shared" si="12"/>
        <v>EMP0148</v>
      </c>
      <c r="B149" t="str" cm="1">
        <f t="array" ref="B149">_xlfn.IFS(
ROW()&lt;=421,"NA",
ROW()&lt;=781,"LATAM",
ROW()&lt;=1021,"EMEA",
TRUE,"APAC"
)</f>
        <v>NA</v>
      </c>
      <c r="C149" t="str">
        <f t="shared" si="13"/>
        <v>USA</v>
      </c>
      <c r="D149" t="s">
        <v>35</v>
      </c>
      <c r="E149" t="s">
        <v>380</v>
      </c>
      <c r="F149" t="s">
        <v>444</v>
      </c>
      <c r="G149" t="s">
        <v>53</v>
      </c>
      <c r="H149" s="2">
        <v>45729</v>
      </c>
      <c r="I149" t="s">
        <v>29</v>
      </c>
      <c r="J149" t="s">
        <v>36</v>
      </c>
      <c r="K149" t="str">
        <f t="shared" ca="1" si="16"/>
        <v>OK</v>
      </c>
      <c r="L149" t="s">
        <v>1300</v>
      </c>
      <c r="M149">
        <v>5</v>
      </c>
      <c r="N149" s="2">
        <v>46011</v>
      </c>
      <c r="O149" s="2" t="s">
        <v>22</v>
      </c>
      <c r="P149" s="4">
        <f t="shared" ca="1" si="14"/>
        <v>0</v>
      </c>
      <c r="Q149" s="4" t="str">
        <f t="shared" ca="1" si="15"/>
        <v>0-2 Years</v>
      </c>
      <c r="R149">
        <f t="shared" ca="1" si="17"/>
        <v>1</v>
      </c>
      <c r="S149" t="s">
        <v>22</v>
      </c>
      <c r="T149">
        <v>3</v>
      </c>
      <c r="U149" t="s">
        <v>1394</v>
      </c>
      <c r="V149" t="s">
        <v>1394</v>
      </c>
      <c r="W149" t="s">
        <v>1394</v>
      </c>
      <c r="X149" s="3">
        <v>2</v>
      </c>
      <c r="Y149" t="s">
        <v>1397</v>
      </c>
      <c r="Z149">
        <v>25228</v>
      </c>
      <c r="AA149">
        <v>0.1</v>
      </c>
      <c r="AB149">
        <v>27750.800000000003</v>
      </c>
    </row>
    <row r="150" spans="1:28" x14ac:dyDescent="0.35">
      <c r="A150" t="str">
        <f t="shared" si="12"/>
        <v>EMP0149</v>
      </c>
      <c r="B150" t="str" cm="1">
        <f t="array" ref="B150">_xlfn.IFS(
ROW()&lt;=421,"NA",
ROW()&lt;=781,"LATAM",
ROW()&lt;=1021,"EMEA",
TRUE,"APAC"
)</f>
        <v>NA</v>
      </c>
      <c r="C150" t="str">
        <f t="shared" si="13"/>
        <v>USA</v>
      </c>
      <c r="D150" t="s">
        <v>32</v>
      </c>
      <c r="E150" t="s">
        <v>380</v>
      </c>
      <c r="F150" t="s">
        <v>562</v>
      </c>
      <c r="G150" t="s">
        <v>28</v>
      </c>
      <c r="H150" s="2">
        <v>45726</v>
      </c>
      <c r="I150" t="s">
        <v>29</v>
      </c>
      <c r="J150" t="s">
        <v>33</v>
      </c>
      <c r="K150" t="str">
        <f t="shared" ca="1" si="16"/>
        <v>OK</v>
      </c>
      <c r="L150" t="s">
        <v>644</v>
      </c>
      <c r="M150">
        <v>5</v>
      </c>
      <c r="N150" s="2">
        <v>46054</v>
      </c>
      <c r="O150" s="2" t="s">
        <v>22</v>
      </c>
      <c r="P150" s="4">
        <f t="shared" ca="1" si="14"/>
        <v>0</v>
      </c>
      <c r="Q150" s="4" t="str">
        <f t="shared" ca="1" si="15"/>
        <v>0-2 Years</v>
      </c>
      <c r="R150">
        <f t="shared" ca="1" si="17"/>
        <v>1</v>
      </c>
      <c r="S150" t="s">
        <v>22</v>
      </c>
      <c r="T150">
        <v>5</v>
      </c>
      <c r="U150" t="s">
        <v>1394</v>
      </c>
      <c r="V150" t="s">
        <v>1394</v>
      </c>
      <c r="W150" t="s">
        <v>1394</v>
      </c>
      <c r="X150" s="3">
        <v>4</v>
      </c>
      <c r="Y150" t="s">
        <v>1395</v>
      </c>
      <c r="Z150">
        <v>36668</v>
      </c>
      <c r="AA150">
        <v>0.1</v>
      </c>
      <c r="AB150">
        <v>40334.800000000003</v>
      </c>
    </row>
    <row r="151" spans="1:28" x14ac:dyDescent="0.35">
      <c r="A151" t="str">
        <f t="shared" si="12"/>
        <v>EMP0150</v>
      </c>
      <c r="B151" t="str" cm="1">
        <f t="array" ref="B151">_xlfn.IFS(
ROW()&lt;=421,"NA",
ROW()&lt;=781,"LATAM",
ROW()&lt;=1021,"EMEA",
TRUE,"APAC"
)</f>
        <v>NA</v>
      </c>
      <c r="C151" t="str">
        <f t="shared" si="13"/>
        <v>USA</v>
      </c>
      <c r="D151" t="s">
        <v>44</v>
      </c>
      <c r="E151" t="s">
        <v>380</v>
      </c>
      <c r="F151" t="s">
        <v>410</v>
      </c>
      <c r="G151" t="s">
        <v>28</v>
      </c>
      <c r="H151" s="2">
        <v>45724</v>
      </c>
      <c r="I151" t="s">
        <v>57</v>
      </c>
      <c r="J151" t="s">
        <v>47</v>
      </c>
      <c r="K151" t="str">
        <f t="shared" ca="1" si="16"/>
        <v>OK</v>
      </c>
      <c r="L151" t="s">
        <v>1105</v>
      </c>
      <c r="M151">
        <v>5</v>
      </c>
      <c r="N151" s="2">
        <v>46071</v>
      </c>
      <c r="O151" s="2">
        <v>46071</v>
      </c>
      <c r="P151" s="4">
        <f t="shared" ca="1" si="14"/>
        <v>0</v>
      </c>
      <c r="Q151" s="4" t="str">
        <f t="shared" ca="1" si="15"/>
        <v>0-2 Years</v>
      </c>
      <c r="R151">
        <f t="shared" ca="1" si="17"/>
        <v>1</v>
      </c>
      <c r="S151" t="s">
        <v>24</v>
      </c>
      <c r="T151">
        <v>3</v>
      </c>
      <c r="U151" t="s">
        <v>1394</v>
      </c>
      <c r="V151" t="s">
        <v>1394</v>
      </c>
      <c r="W151" t="s">
        <v>1394</v>
      </c>
      <c r="X151" s="3">
        <v>3</v>
      </c>
      <c r="Y151" t="s">
        <v>1398</v>
      </c>
      <c r="Z151">
        <v>45323</v>
      </c>
      <c r="AA151">
        <v>0.1</v>
      </c>
      <c r="AB151">
        <v>49855.3</v>
      </c>
    </row>
    <row r="152" spans="1:28" x14ac:dyDescent="0.35">
      <c r="A152" t="str">
        <f t="shared" si="12"/>
        <v>EMP0151</v>
      </c>
      <c r="B152" t="str" cm="1">
        <f t="array" ref="B152">_xlfn.IFS(
ROW()&lt;=421,"NA",
ROW()&lt;=781,"LATAM",
ROW()&lt;=1021,"EMEA",
TRUE,"APAC"
)</f>
        <v>NA</v>
      </c>
      <c r="C152" t="str">
        <f t="shared" si="13"/>
        <v>USA</v>
      </c>
      <c r="D152" t="s">
        <v>38</v>
      </c>
      <c r="E152" t="s">
        <v>69</v>
      </c>
      <c r="F152" t="s">
        <v>72</v>
      </c>
      <c r="G152" t="s">
        <v>28</v>
      </c>
      <c r="H152" s="2">
        <v>45718</v>
      </c>
      <c r="I152" t="s">
        <v>29</v>
      </c>
      <c r="J152" t="s">
        <v>39</v>
      </c>
      <c r="K152" t="str">
        <f t="shared" ca="1" si="16"/>
        <v>OK</v>
      </c>
      <c r="L152" t="s">
        <v>73</v>
      </c>
      <c r="M152">
        <v>3</v>
      </c>
      <c r="N152" s="2">
        <v>46046</v>
      </c>
      <c r="O152" s="2" t="s">
        <v>22</v>
      </c>
      <c r="P152" s="4">
        <f t="shared" ca="1" si="14"/>
        <v>1</v>
      </c>
      <c r="Q152" s="4" t="str">
        <f t="shared" ca="1" si="15"/>
        <v>0-2 Years</v>
      </c>
      <c r="R152">
        <f t="shared" ca="1" si="17"/>
        <v>1</v>
      </c>
      <c r="S152" t="s">
        <v>22</v>
      </c>
      <c r="T152">
        <v>3</v>
      </c>
      <c r="U152" t="s">
        <v>1394</v>
      </c>
      <c r="V152" t="s">
        <v>1394</v>
      </c>
      <c r="W152" t="s">
        <v>1394</v>
      </c>
      <c r="X152" s="3">
        <v>3</v>
      </c>
      <c r="Y152" t="s">
        <v>1398</v>
      </c>
      <c r="Z152">
        <v>137995</v>
      </c>
      <c r="AA152">
        <v>0.2</v>
      </c>
      <c r="AB152">
        <v>165594</v>
      </c>
    </row>
    <row r="153" spans="1:28" x14ac:dyDescent="0.35">
      <c r="A153" t="str">
        <f t="shared" si="12"/>
        <v>EMP0152</v>
      </c>
      <c r="B153" t="str" cm="1">
        <f t="array" ref="B153">_xlfn.IFS(
ROW()&lt;=421,"NA",
ROW()&lt;=781,"LATAM",
ROW()&lt;=1021,"EMEA",
TRUE,"APAC"
)</f>
        <v>NA</v>
      </c>
      <c r="C153" t="str">
        <f t="shared" si="13"/>
        <v>USA</v>
      </c>
      <c r="D153" t="s">
        <v>38</v>
      </c>
      <c r="E153" t="s">
        <v>69</v>
      </c>
      <c r="F153" t="s">
        <v>81</v>
      </c>
      <c r="G153" t="s">
        <v>28</v>
      </c>
      <c r="H153" s="2">
        <v>45718</v>
      </c>
      <c r="I153" t="s">
        <v>29</v>
      </c>
      <c r="J153" t="s">
        <v>39</v>
      </c>
      <c r="K153" t="str">
        <f t="shared" ca="1" si="16"/>
        <v>OK</v>
      </c>
      <c r="L153" t="s">
        <v>114</v>
      </c>
      <c r="M153">
        <v>3</v>
      </c>
      <c r="N153" s="2">
        <v>46014</v>
      </c>
      <c r="O153" s="2" t="s">
        <v>22</v>
      </c>
      <c r="P153" s="4">
        <f t="shared" ca="1" si="14"/>
        <v>1</v>
      </c>
      <c r="Q153" s="4" t="str">
        <f t="shared" ca="1" si="15"/>
        <v>0-2 Years</v>
      </c>
      <c r="R153">
        <f t="shared" ca="1" si="17"/>
        <v>1</v>
      </c>
      <c r="S153" t="s">
        <v>22</v>
      </c>
      <c r="T153">
        <v>3</v>
      </c>
      <c r="U153" t="s">
        <v>1394</v>
      </c>
      <c r="V153" t="s">
        <v>1394</v>
      </c>
      <c r="W153" t="s">
        <v>1394</v>
      </c>
      <c r="X153" s="3">
        <v>3</v>
      </c>
      <c r="Y153" t="s">
        <v>1398</v>
      </c>
      <c r="Z153">
        <v>122870</v>
      </c>
      <c r="AA153">
        <v>0.2</v>
      </c>
      <c r="AB153">
        <v>147444</v>
      </c>
    </row>
    <row r="154" spans="1:28" x14ac:dyDescent="0.35">
      <c r="A154" t="str">
        <f t="shared" si="12"/>
        <v>EMP0153</v>
      </c>
      <c r="B154" t="str" cm="1">
        <f t="array" ref="B154">_xlfn.IFS(
ROW()&lt;=421,"NA",
ROW()&lt;=781,"LATAM",
ROW()&lt;=1021,"EMEA",
TRUE,"APAC"
)</f>
        <v>NA</v>
      </c>
      <c r="C154" t="str">
        <f t="shared" si="13"/>
        <v>USA</v>
      </c>
      <c r="D154" t="s">
        <v>26</v>
      </c>
      <c r="E154" t="s">
        <v>380</v>
      </c>
      <c r="F154" t="s">
        <v>497</v>
      </c>
      <c r="G154" t="s">
        <v>53</v>
      </c>
      <c r="H154" s="2">
        <v>45717</v>
      </c>
      <c r="I154" t="s">
        <v>57</v>
      </c>
      <c r="J154" t="s">
        <v>30</v>
      </c>
      <c r="K154" t="str">
        <f t="shared" ca="1" si="16"/>
        <v>OK</v>
      </c>
      <c r="L154" t="s">
        <v>498</v>
      </c>
      <c r="M154">
        <v>5</v>
      </c>
      <c r="N154" s="2">
        <v>46036</v>
      </c>
      <c r="O154" s="2">
        <v>46071</v>
      </c>
      <c r="P154" s="4">
        <f t="shared" ca="1" si="14"/>
        <v>0</v>
      </c>
      <c r="Q154" s="4" t="str">
        <f t="shared" ca="1" si="15"/>
        <v>0-2 Years</v>
      </c>
      <c r="R154">
        <f t="shared" ca="1" si="17"/>
        <v>1</v>
      </c>
      <c r="S154" t="s">
        <v>23</v>
      </c>
      <c r="T154">
        <v>3</v>
      </c>
      <c r="U154" t="s">
        <v>1394</v>
      </c>
      <c r="V154" t="s">
        <v>1396</v>
      </c>
      <c r="W154" t="s">
        <v>1394</v>
      </c>
      <c r="X154" s="3">
        <v>2</v>
      </c>
      <c r="Y154" t="s">
        <v>1397</v>
      </c>
      <c r="Z154">
        <v>32319</v>
      </c>
      <c r="AA154">
        <v>0.1</v>
      </c>
      <c r="AB154">
        <v>35550.9</v>
      </c>
    </row>
    <row r="155" spans="1:28" x14ac:dyDescent="0.35">
      <c r="A155" t="str">
        <f t="shared" si="12"/>
        <v>EMP0154</v>
      </c>
      <c r="B155" t="str" cm="1">
        <f t="array" ref="B155">_xlfn.IFS(
ROW()&lt;=421,"NA",
ROW()&lt;=781,"LATAM",
ROW()&lt;=1021,"EMEA",
TRUE,"APAC"
)</f>
        <v>NA</v>
      </c>
      <c r="C155" t="str">
        <f t="shared" si="13"/>
        <v>USA</v>
      </c>
      <c r="D155" t="s">
        <v>44</v>
      </c>
      <c r="E155" t="s">
        <v>380</v>
      </c>
      <c r="F155" t="s">
        <v>402</v>
      </c>
      <c r="G155" t="s">
        <v>28</v>
      </c>
      <c r="H155" s="2">
        <v>45711</v>
      </c>
      <c r="I155" t="s">
        <v>29</v>
      </c>
      <c r="J155" t="s">
        <v>47</v>
      </c>
      <c r="K155" t="str">
        <f t="shared" ca="1" si="16"/>
        <v>OK</v>
      </c>
      <c r="L155" t="s">
        <v>1259</v>
      </c>
      <c r="M155">
        <v>5</v>
      </c>
      <c r="N155" s="2">
        <v>46044</v>
      </c>
      <c r="O155" s="2" t="s">
        <v>22</v>
      </c>
      <c r="P155" s="4">
        <f t="shared" ca="1" si="14"/>
        <v>1</v>
      </c>
      <c r="Q155" s="4" t="str">
        <f t="shared" ca="1" si="15"/>
        <v>0-2 Years</v>
      </c>
      <c r="R155">
        <f t="shared" ca="1" si="17"/>
        <v>1</v>
      </c>
      <c r="S155" t="s">
        <v>22</v>
      </c>
      <c r="T155">
        <v>5</v>
      </c>
      <c r="U155" t="s">
        <v>1396</v>
      </c>
      <c r="V155" t="s">
        <v>1394</v>
      </c>
      <c r="W155" t="s">
        <v>1394</v>
      </c>
      <c r="X155" s="3">
        <v>5</v>
      </c>
      <c r="Y155" t="s">
        <v>1395</v>
      </c>
      <c r="Z155">
        <v>34524</v>
      </c>
      <c r="AA155">
        <v>0.1</v>
      </c>
      <c r="AB155">
        <v>37976.400000000001</v>
      </c>
    </row>
    <row r="156" spans="1:28" x14ac:dyDescent="0.35">
      <c r="A156" t="str">
        <f t="shared" si="12"/>
        <v>EMP0155</v>
      </c>
      <c r="B156" t="str" cm="1">
        <f t="array" ref="B156">_xlfn.IFS(
ROW()&lt;=421,"NA",
ROW()&lt;=781,"LATAM",
ROW()&lt;=1021,"EMEA",
TRUE,"APAC"
)</f>
        <v>NA</v>
      </c>
      <c r="C156" t="str">
        <f t="shared" si="13"/>
        <v>USA</v>
      </c>
      <c r="D156" t="s">
        <v>38</v>
      </c>
      <c r="E156" t="s">
        <v>380</v>
      </c>
      <c r="F156" t="s">
        <v>598</v>
      </c>
      <c r="G156" t="s">
        <v>53</v>
      </c>
      <c r="H156" s="2">
        <v>45707</v>
      </c>
      <c r="I156" t="s">
        <v>29</v>
      </c>
      <c r="J156" t="s">
        <v>39</v>
      </c>
      <c r="K156" t="str">
        <f t="shared" ca="1" si="16"/>
        <v>⚠ Review</v>
      </c>
      <c r="L156" t="s">
        <v>1207</v>
      </c>
      <c r="M156">
        <v>5</v>
      </c>
      <c r="N156" s="2">
        <v>46024</v>
      </c>
      <c r="O156" s="2" t="s">
        <v>22</v>
      </c>
      <c r="P156" s="4">
        <f t="shared" ca="1" si="14"/>
        <v>1</v>
      </c>
      <c r="Q156" s="4" t="str">
        <f t="shared" ca="1" si="15"/>
        <v>0-2 Years</v>
      </c>
      <c r="R156">
        <f t="shared" ca="1" si="17"/>
        <v>1</v>
      </c>
      <c r="S156" t="s">
        <v>22</v>
      </c>
      <c r="T156">
        <v>2</v>
      </c>
      <c r="U156" t="s">
        <v>1394</v>
      </c>
      <c r="V156" t="s">
        <v>1394</v>
      </c>
      <c r="W156" t="s">
        <v>1394</v>
      </c>
      <c r="X156" s="3">
        <v>0</v>
      </c>
      <c r="Y156" t="s">
        <v>1397</v>
      </c>
      <c r="Z156">
        <v>47766</v>
      </c>
      <c r="AA156">
        <v>0.1</v>
      </c>
      <c r="AB156">
        <v>52542.600000000006</v>
      </c>
    </row>
    <row r="157" spans="1:28" x14ac:dyDescent="0.35">
      <c r="A157" t="str">
        <f t="shared" si="12"/>
        <v>EMP0156</v>
      </c>
      <c r="B157" t="str" cm="1">
        <f t="array" ref="B157">_xlfn.IFS(
ROW()&lt;=421,"NA",
ROW()&lt;=781,"LATAM",
ROW()&lt;=1021,"EMEA",
TRUE,"APAC"
)</f>
        <v>NA</v>
      </c>
      <c r="C157" t="str">
        <f t="shared" si="13"/>
        <v>USA</v>
      </c>
      <c r="D157" t="s">
        <v>44</v>
      </c>
      <c r="E157" t="s">
        <v>145</v>
      </c>
      <c r="F157" t="s">
        <v>283</v>
      </c>
      <c r="G157" t="s">
        <v>28</v>
      </c>
      <c r="H157" s="2">
        <v>45700</v>
      </c>
      <c r="I157" t="s">
        <v>57</v>
      </c>
      <c r="J157" t="s">
        <v>47</v>
      </c>
      <c r="K157" t="str">
        <f t="shared" ca="1" si="16"/>
        <v>OK</v>
      </c>
      <c r="L157" t="s">
        <v>284</v>
      </c>
      <c r="M157">
        <v>4</v>
      </c>
      <c r="N157" s="2">
        <v>45992</v>
      </c>
      <c r="O157" s="2">
        <v>46071</v>
      </c>
      <c r="P157" s="4">
        <f t="shared" ca="1" si="14"/>
        <v>1</v>
      </c>
      <c r="Q157" s="4" t="str">
        <f t="shared" ca="1" si="15"/>
        <v>0-2 Years</v>
      </c>
      <c r="R157">
        <f t="shared" ca="1" si="17"/>
        <v>1</v>
      </c>
      <c r="S157" t="s">
        <v>23</v>
      </c>
      <c r="T157">
        <v>3</v>
      </c>
      <c r="U157" t="s">
        <v>1396</v>
      </c>
      <c r="V157" t="s">
        <v>1394</v>
      </c>
      <c r="W157" t="s">
        <v>1394</v>
      </c>
      <c r="X157" s="3">
        <v>2</v>
      </c>
      <c r="Y157" t="s">
        <v>1397</v>
      </c>
      <c r="Z157">
        <v>74982</v>
      </c>
      <c r="AA157">
        <v>0.15</v>
      </c>
      <c r="AB157">
        <v>86229.299999999988</v>
      </c>
    </row>
    <row r="158" spans="1:28" x14ac:dyDescent="0.35">
      <c r="A158" t="str">
        <f t="shared" si="12"/>
        <v>EMP0157</v>
      </c>
      <c r="B158" t="str" cm="1">
        <f t="array" ref="B158">_xlfn.IFS(
ROW()&lt;=421,"NA",
ROW()&lt;=781,"LATAM",
ROW()&lt;=1021,"EMEA",
TRUE,"APAC"
)</f>
        <v>NA</v>
      </c>
      <c r="C158" t="str">
        <f t="shared" si="13"/>
        <v>USA</v>
      </c>
      <c r="D158" t="s">
        <v>32</v>
      </c>
      <c r="E158" t="s">
        <v>380</v>
      </c>
      <c r="F158" t="s">
        <v>397</v>
      </c>
      <c r="G158" t="s">
        <v>28</v>
      </c>
      <c r="H158" s="2">
        <v>45700</v>
      </c>
      <c r="I158" t="s">
        <v>29</v>
      </c>
      <c r="J158" t="s">
        <v>33</v>
      </c>
      <c r="K158" t="str">
        <f t="shared" ca="1" si="16"/>
        <v>OK</v>
      </c>
      <c r="L158" t="s">
        <v>1210</v>
      </c>
      <c r="M158">
        <v>5</v>
      </c>
      <c r="N158" s="2">
        <v>46004</v>
      </c>
      <c r="O158" s="2" t="s">
        <v>22</v>
      </c>
      <c r="P158" s="4">
        <f t="shared" ca="1" si="14"/>
        <v>1</v>
      </c>
      <c r="Q158" s="4" t="str">
        <f t="shared" ca="1" si="15"/>
        <v>0-2 Years</v>
      </c>
      <c r="R158">
        <f t="shared" ca="1" si="17"/>
        <v>1</v>
      </c>
      <c r="S158" t="s">
        <v>22</v>
      </c>
      <c r="T158">
        <v>3</v>
      </c>
      <c r="U158" t="s">
        <v>1394</v>
      </c>
      <c r="V158" t="s">
        <v>1396</v>
      </c>
      <c r="W158" t="s">
        <v>1394</v>
      </c>
      <c r="X158" s="3">
        <v>5</v>
      </c>
      <c r="Y158" t="s">
        <v>1395</v>
      </c>
      <c r="Z158">
        <v>32579</v>
      </c>
      <c r="AA158">
        <v>0.1</v>
      </c>
      <c r="AB158">
        <v>35836.9</v>
      </c>
    </row>
    <row r="159" spans="1:28" x14ac:dyDescent="0.35">
      <c r="A159" t="str">
        <f t="shared" si="12"/>
        <v>EMP0158</v>
      </c>
      <c r="B159" t="str" cm="1">
        <f t="array" ref="B159">_xlfn.IFS(
ROW()&lt;=421,"NA",
ROW()&lt;=781,"LATAM",
ROW()&lt;=1021,"EMEA",
TRUE,"APAC"
)</f>
        <v>NA</v>
      </c>
      <c r="C159" t="str">
        <f t="shared" si="13"/>
        <v>USA</v>
      </c>
      <c r="D159" t="s">
        <v>44</v>
      </c>
      <c r="E159" t="s">
        <v>45</v>
      </c>
      <c r="F159" t="s">
        <v>46</v>
      </c>
      <c r="G159" t="s">
        <v>28</v>
      </c>
      <c r="H159" s="2">
        <v>45697</v>
      </c>
      <c r="I159" t="s">
        <v>29</v>
      </c>
      <c r="J159" t="s">
        <v>47</v>
      </c>
      <c r="K159" t="str">
        <f t="shared" ca="1" si="16"/>
        <v>OK</v>
      </c>
      <c r="L159" t="s">
        <v>59</v>
      </c>
      <c r="M159">
        <v>2</v>
      </c>
      <c r="N159" s="2">
        <v>46034</v>
      </c>
      <c r="O159" s="2" t="s">
        <v>22</v>
      </c>
      <c r="P159" s="4">
        <f t="shared" ca="1" si="14"/>
        <v>1</v>
      </c>
      <c r="Q159" s="4" t="str">
        <f t="shared" ca="1" si="15"/>
        <v>0-2 Years</v>
      </c>
      <c r="R159">
        <f t="shared" ca="1" si="17"/>
        <v>1</v>
      </c>
      <c r="S159" t="s">
        <v>22</v>
      </c>
      <c r="T159">
        <v>4</v>
      </c>
      <c r="U159" t="s">
        <v>1396</v>
      </c>
      <c r="V159" t="s">
        <v>1394</v>
      </c>
      <c r="W159" t="s">
        <v>1394</v>
      </c>
      <c r="X159" s="3">
        <v>4</v>
      </c>
      <c r="Y159" t="s">
        <v>1395</v>
      </c>
      <c r="Z159">
        <v>175461</v>
      </c>
      <c r="AA159">
        <v>0.25</v>
      </c>
      <c r="AB159">
        <v>219326.25</v>
      </c>
    </row>
    <row r="160" spans="1:28" x14ac:dyDescent="0.35">
      <c r="A160" t="str">
        <f t="shared" si="12"/>
        <v>EMP0159</v>
      </c>
      <c r="B160" t="str" cm="1">
        <f t="array" ref="B160">_xlfn.IFS(
ROW()&lt;=421,"NA",
ROW()&lt;=781,"LATAM",
ROW()&lt;=1021,"EMEA",
TRUE,"APAC"
)</f>
        <v>NA</v>
      </c>
      <c r="C160" t="str">
        <f t="shared" si="13"/>
        <v>USA</v>
      </c>
      <c r="D160" t="s">
        <v>26</v>
      </c>
      <c r="E160" t="s">
        <v>380</v>
      </c>
      <c r="F160" t="s">
        <v>486</v>
      </c>
      <c r="G160" t="s">
        <v>53</v>
      </c>
      <c r="H160" s="2">
        <v>45696</v>
      </c>
      <c r="I160" t="s">
        <v>29</v>
      </c>
      <c r="J160" t="s">
        <v>30</v>
      </c>
      <c r="K160" t="str">
        <f t="shared" ca="1" si="16"/>
        <v>OK</v>
      </c>
      <c r="L160" t="s">
        <v>832</v>
      </c>
      <c r="M160">
        <v>5</v>
      </c>
      <c r="N160" s="2">
        <v>46008</v>
      </c>
      <c r="O160" s="2" t="s">
        <v>22</v>
      </c>
      <c r="P160" s="4">
        <f t="shared" ca="1" si="14"/>
        <v>1</v>
      </c>
      <c r="Q160" s="4" t="str">
        <f t="shared" ca="1" si="15"/>
        <v>0-2 Years</v>
      </c>
      <c r="R160">
        <f t="shared" ca="1" si="17"/>
        <v>1</v>
      </c>
      <c r="S160" t="s">
        <v>22</v>
      </c>
      <c r="T160">
        <v>4</v>
      </c>
      <c r="U160" t="s">
        <v>1394</v>
      </c>
      <c r="V160" t="s">
        <v>1394</v>
      </c>
      <c r="W160" t="s">
        <v>1394</v>
      </c>
      <c r="X160" s="3">
        <v>2</v>
      </c>
      <c r="Y160" t="s">
        <v>1397</v>
      </c>
      <c r="Z160">
        <v>34473</v>
      </c>
      <c r="AA160">
        <v>0.1</v>
      </c>
      <c r="AB160">
        <v>37920.300000000003</v>
      </c>
    </row>
    <row r="161" spans="1:28" x14ac:dyDescent="0.35">
      <c r="A161" t="str">
        <f t="shared" si="12"/>
        <v>EMP0160</v>
      </c>
      <c r="B161" t="str" cm="1">
        <f t="array" ref="B161">_xlfn.IFS(
ROW()&lt;=421,"NA",
ROW()&lt;=781,"LATAM",
ROW()&lt;=1021,"EMEA",
TRUE,"APAC"
)</f>
        <v>NA</v>
      </c>
      <c r="C161" t="str">
        <f t="shared" si="13"/>
        <v>USA</v>
      </c>
      <c r="D161" t="s">
        <v>41</v>
      </c>
      <c r="E161" t="s">
        <v>380</v>
      </c>
      <c r="F161" t="s">
        <v>933</v>
      </c>
      <c r="G161" t="s">
        <v>28</v>
      </c>
      <c r="H161" s="2">
        <v>45693</v>
      </c>
      <c r="I161" t="s">
        <v>29</v>
      </c>
      <c r="J161" t="s">
        <v>42</v>
      </c>
      <c r="K161" t="str">
        <f t="shared" ca="1" si="16"/>
        <v>OK</v>
      </c>
      <c r="L161" t="s">
        <v>934</v>
      </c>
      <c r="M161">
        <v>5</v>
      </c>
      <c r="N161" s="2">
        <v>46014</v>
      </c>
      <c r="O161" s="2" t="s">
        <v>22</v>
      </c>
      <c r="P161" s="4">
        <f t="shared" ca="1" si="14"/>
        <v>1</v>
      </c>
      <c r="Q161" s="4" t="str">
        <f t="shared" ca="1" si="15"/>
        <v>0-2 Years</v>
      </c>
      <c r="R161">
        <f t="shared" ca="1" si="17"/>
        <v>1</v>
      </c>
      <c r="S161" t="s">
        <v>22</v>
      </c>
      <c r="T161">
        <v>2</v>
      </c>
      <c r="U161" t="s">
        <v>1394</v>
      </c>
      <c r="V161" t="s">
        <v>1394</v>
      </c>
      <c r="W161" t="s">
        <v>1394</v>
      </c>
      <c r="X161" s="3">
        <v>2</v>
      </c>
      <c r="Y161" t="s">
        <v>1397</v>
      </c>
      <c r="Z161">
        <v>49531</v>
      </c>
      <c r="AA161">
        <v>0.1</v>
      </c>
      <c r="AB161">
        <v>54484.100000000006</v>
      </c>
    </row>
    <row r="162" spans="1:28" x14ac:dyDescent="0.35">
      <c r="A162" t="str">
        <f t="shared" si="12"/>
        <v>EMP0161</v>
      </c>
      <c r="B162" t="str" cm="1">
        <f t="array" ref="B162">_xlfn.IFS(
ROW()&lt;=421,"NA",
ROW()&lt;=781,"LATAM",
ROW()&lt;=1021,"EMEA",
TRUE,"APAC"
)</f>
        <v>NA</v>
      </c>
      <c r="C162" t="str">
        <f t="shared" si="13"/>
        <v>USA</v>
      </c>
      <c r="D162" t="s">
        <v>41</v>
      </c>
      <c r="E162" t="s">
        <v>380</v>
      </c>
      <c r="F162" t="s">
        <v>794</v>
      </c>
      <c r="G162" t="s">
        <v>53</v>
      </c>
      <c r="H162" s="2">
        <v>45680</v>
      </c>
      <c r="I162" t="s">
        <v>29</v>
      </c>
      <c r="J162" t="s">
        <v>42</v>
      </c>
      <c r="K162" t="str">
        <f t="shared" ca="1" si="16"/>
        <v>OK</v>
      </c>
      <c r="L162" t="s">
        <v>1331</v>
      </c>
      <c r="M162">
        <v>5</v>
      </c>
      <c r="N162" s="2">
        <v>46039</v>
      </c>
      <c r="O162" s="2" t="s">
        <v>22</v>
      </c>
      <c r="P162" s="4">
        <f t="shared" ca="1" si="14"/>
        <v>1</v>
      </c>
      <c r="Q162" s="4" t="str">
        <f t="shared" ca="1" si="15"/>
        <v>0-2 Years</v>
      </c>
      <c r="R162">
        <f t="shared" ca="1" si="17"/>
        <v>1</v>
      </c>
      <c r="S162" t="s">
        <v>22</v>
      </c>
      <c r="T162">
        <v>2</v>
      </c>
      <c r="U162" t="s">
        <v>1394</v>
      </c>
      <c r="V162" t="s">
        <v>1394</v>
      </c>
      <c r="W162" t="s">
        <v>1394</v>
      </c>
      <c r="X162" s="3">
        <v>1</v>
      </c>
      <c r="Y162" t="s">
        <v>1397</v>
      </c>
      <c r="Z162">
        <v>25272</v>
      </c>
      <c r="AA162">
        <v>0.1</v>
      </c>
      <c r="AB162">
        <v>27799.200000000001</v>
      </c>
    </row>
    <row r="163" spans="1:28" x14ac:dyDescent="0.35">
      <c r="A163" t="str">
        <f t="shared" si="12"/>
        <v>EMP0162</v>
      </c>
      <c r="B163" t="str" cm="1">
        <f t="array" ref="B163">_xlfn.IFS(
ROW()&lt;=421,"NA",
ROW()&lt;=781,"LATAM",
ROW()&lt;=1021,"EMEA",
TRUE,"APAC"
)</f>
        <v>NA</v>
      </c>
      <c r="C163" t="str">
        <f t="shared" si="13"/>
        <v>USA</v>
      </c>
      <c r="D163" t="s">
        <v>41</v>
      </c>
      <c r="E163" t="s">
        <v>380</v>
      </c>
      <c r="F163" t="s">
        <v>584</v>
      </c>
      <c r="G163" t="s">
        <v>28</v>
      </c>
      <c r="H163" s="2">
        <v>45683</v>
      </c>
      <c r="I163" t="s">
        <v>29</v>
      </c>
      <c r="J163" t="s">
        <v>42</v>
      </c>
      <c r="K163" t="str">
        <f t="shared" ca="1" si="16"/>
        <v>OK</v>
      </c>
      <c r="L163" t="s">
        <v>1093</v>
      </c>
      <c r="M163">
        <v>5</v>
      </c>
      <c r="N163" s="2">
        <v>46034</v>
      </c>
      <c r="O163" s="2" t="s">
        <v>22</v>
      </c>
      <c r="P163" s="4">
        <f t="shared" ca="1" si="14"/>
        <v>1</v>
      </c>
      <c r="Q163" s="4" t="str">
        <f t="shared" ca="1" si="15"/>
        <v>0-2 Years</v>
      </c>
      <c r="R163">
        <f t="shared" ca="1" si="17"/>
        <v>1</v>
      </c>
      <c r="S163" t="s">
        <v>22</v>
      </c>
      <c r="T163">
        <v>4</v>
      </c>
      <c r="U163" t="s">
        <v>1394</v>
      </c>
      <c r="V163" t="s">
        <v>1394</v>
      </c>
      <c r="W163" t="s">
        <v>1394</v>
      </c>
      <c r="X163" s="3">
        <v>1</v>
      </c>
      <c r="Y163" t="s">
        <v>1397</v>
      </c>
      <c r="Z163">
        <v>24250</v>
      </c>
      <c r="AA163">
        <v>0.1</v>
      </c>
      <c r="AB163">
        <v>26675.000000000004</v>
      </c>
    </row>
    <row r="164" spans="1:28" x14ac:dyDescent="0.35">
      <c r="A164" t="str">
        <f t="shared" si="12"/>
        <v>EMP0163</v>
      </c>
      <c r="B164" t="str" cm="1">
        <f t="array" ref="B164">_xlfn.IFS(
ROW()&lt;=421,"NA",
ROW()&lt;=781,"LATAM",
ROW()&lt;=1021,"EMEA",
TRUE,"APAC"
)</f>
        <v>NA</v>
      </c>
      <c r="C164" t="str">
        <f t="shared" si="13"/>
        <v>USA</v>
      </c>
      <c r="D164" t="s">
        <v>41</v>
      </c>
      <c r="E164" t="s">
        <v>380</v>
      </c>
      <c r="F164" t="s">
        <v>851</v>
      </c>
      <c r="G164" t="s">
        <v>28</v>
      </c>
      <c r="H164" s="2">
        <v>46078</v>
      </c>
      <c r="I164" t="s">
        <v>29</v>
      </c>
      <c r="J164" t="s">
        <v>42</v>
      </c>
      <c r="K164" t="str">
        <f t="shared" ca="1" si="16"/>
        <v>OK</v>
      </c>
      <c r="L164" t="s">
        <v>1028</v>
      </c>
      <c r="M164">
        <v>5</v>
      </c>
      <c r="N164" s="2">
        <v>46057</v>
      </c>
      <c r="O164" s="2" t="s">
        <v>22</v>
      </c>
      <c r="P164" s="4">
        <f t="shared" ca="1" si="14"/>
        <v>0</v>
      </c>
      <c r="Q164" s="4" t="str">
        <f t="shared" ca="1" si="15"/>
        <v>0-2 Years</v>
      </c>
      <c r="R164">
        <f t="shared" ca="1" si="17"/>
        <v>1</v>
      </c>
      <c r="S164" t="s">
        <v>22</v>
      </c>
      <c r="T164">
        <v>4</v>
      </c>
      <c r="U164" t="s">
        <v>1394</v>
      </c>
      <c r="V164" t="s">
        <v>1394</v>
      </c>
      <c r="W164" t="s">
        <v>1394</v>
      </c>
      <c r="X164" s="3">
        <v>2</v>
      </c>
      <c r="Y164" t="s">
        <v>1397</v>
      </c>
      <c r="Z164">
        <v>38479</v>
      </c>
      <c r="AA164">
        <v>0.1</v>
      </c>
      <c r="AB164">
        <v>42326.9</v>
      </c>
    </row>
    <row r="165" spans="1:28" x14ac:dyDescent="0.35">
      <c r="A165" t="str">
        <f t="shared" si="12"/>
        <v>EMP0164</v>
      </c>
      <c r="B165" t="str" cm="1">
        <f t="array" ref="B165">_xlfn.IFS(
ROW()&lt;=421,"NA",
ROW()&lt;=781,"LATAM",
ROW()&lt;=1021,"EMEA",
TRUE,"APAC"
)</f>
        <v>NA</v>
      </c>
      <c r="C165" t="str">
        <f t="shared" si="13"/>
        <v>USA</v>
      </c>
      <c r="D165" t="s">
        <v>26</v>
      </c>
      <c r="E165" t="s">
        <v>380</v>
      </c>
      <c r="F165" t="s">
        <v>861</v>
      </c>
      <c r="G165" t="s">
        <v>28</v>
      </c>
      <c r="H165" s="2">
        <v>45676</v>
      </c>
      <c r="I165" t="s">
        <v>57</v>
      </c>
      <c r="J165" t="s">
        <v>30</v>
      </c>
      <c r="K165" t="str">
        <f t="shared" ca="1" si="16"/>
        <v>OK</v>
      </c>
      <c r="L165" t="s">
        <v>1067</v>
      </c>
      <c r="M165">
        <v>5</v>
      </c>
      <c r="N165" s="2">
        <v>46054</v>
      </c>
      <c r="O165" s="2">
        <v>46071</v>
      </c>
      <c r="P165" s="4">
        <f t="shared" ca="1" si="14"/>
        <v>1</v>
      </c>
      <c r="Q165" s="4" t="str">
        <f t="shared" ca="1" si="15"/>
        <v>0-2 Years</v>
      </c>
      <c r="R165">
        <f t="shared" ca="1" si="17"/>
        <v>1</v>
      </c>
      <c r="S165" t="s">
        <v>24</v>
      </c>
      <c r="T165">
        <v>4</v>
      </c>
      <c r="U165" t="s">
        <v>1394</v>
      </c>
      <c r="V165" t="s">
        <v>1394</v>
      </c>
      <c r="W165" t="s">
        <v>1394</v>
      </c>
      <c r="X165" s="3">
        <v>2</v>
      </c>
      <c r="Y165" t="s">
        <v>1397</v>
      </c>
      <c r="Z165">
        <v>23507</v>
      </c>
      <c r="AA165">
        <v>0.1</v>
      </c>
      <c r="AB165">
        <v>25857.7</v>
      </c>
    </row>
    <row r="166" spans="1:28" x14ac:dyDescent="0.35">
      <c r="A166" t="str">
        <f t="shared" si="12"/>
        <v>EMP0165</v>
      </c>
      <c r="B166" t="str" cm="1">
        <f t="array" ref="B166">_xlfn.IFS(
ROW()&lt;=421,"NA",
ROW()&lt;=781,"LATAM",
ROW()&lt;=1021,"EMEA",
TRUE,"APAC"
)</f>
        <v>NA</v>
      </c>
      <c r="C166" t="str">
        <f t="shared" si="13"/>
        <v>USA</v>
      </c>
      <c r="D166" t="s">
        <v>41</v>
      </c>
      <c r="E166" t="s">
        <v>380</v>
      </c>
      <c r="F166" t="s">
        <v>434</v>
      </c>
      <c r="G166" t="s">
        <v>28</v>
      </c>
      <c r="H166" s="2">
        <v>46026</v>
      </c>
      <c r="I166" t="s">
        <v>29</v>
      </c>
      <c r="J166" t="s">
        <v>42</v>
      </c>
      <c r="K166" t="str">
        <f t="shared" ca="1" si="16"/>
        <v>OK</v>
      </c>
      <c r="L166" t="s">
        <v>1227</v>
      </c>
      <c r="M166">
        <v>5</v>
      </c>
      <c r="N166" s="2">
        <v>45999</v>
      </c>
      <c r="O166" s="2" t="s">
        <v>22</v>
      </c>
      <c r="P166" s="4">
        <f t="shared" ca="1" si="14"/>
        <v>0</v>
      </c>
      <c r="Q166" s="4" t="str">
        <f t="shared" ca="1" si="15"/>
        <v>0-2 Years</v>
      </c>
      <c r="R166">
        <f t="shared" ca="1" si="17"/>
        <v>1</v>
      </c>
      <c r="S166" t="s">
        <v>22</v>
      </c>
      <c r="T166">
        <v>4</v>
      </c>
      <c r="U166" t="s">
        <v>1394</v>
      </c>
      <c r="V166" t="s">
        <v>1394</v>
      </c>
      <c r="W166" t="s">
        <v>1394</v>
      </c>
      <c r="X166" s="3">
        <v>2</v>
      </c>
      <c r="Y166" t="s">
        <v>1397</v>
      </c>
      <c r="Z166">
        <v>26716</v>
      </c>
      <c r="AA166">
        <v>0.1</v>
      </c>
      <c r="AB166">
        <v>29387.600000000002</v>
      </c>
    </row>
    <row r="167" spans="1:28" x14ac:dyDescent="0.35">
      <c r="A167" t="str">
        <f t="shared" si="12"/>
        <v>EMP0166</v>
      </c>
      <c r="B167" t="str" cm="1">
        <f t="array" ref="B167">_xlfn.IFS(
ROW()&lt;=421,"NA",
ROW()&lt;=781,"LATAM",
ROW()&lt;=1021,"EMEA",
TRUE,"APAC"
)</f>
        <v>NA</v>
      </c>
      <c r="C167" t="str">
        <f t="shared" si="13"/>
        <v>USA</v>
      </c>
      <c r="D167" t="s">
        <v>44</v>
      </c>
      <c r="E167" t="s">
        <v>380</v>
      </c>
      <c r="F167" t="s">
        <v>706</v>
      </c>
      <c r="G167" t="s">
        <v>28</v>
      </c>
      <c r="H167" s="2">
        <v>45675</v>
      </c>
      <c r="I167" t="s">
        <v>29</v>
      </c>
      <c r="J167" t="s">
        <v>47</v>
      </c>
      <c r="K167" t="str">
        <f t="shared" ca="1" si="16"/>
        <v>OK</v>
      </c>
      <c r="L167" t="s">
        <v>707</v>
      </c>
      <c r="M167">
        <v>5</v>
      </c>
      <c r="N167" s="2">
        <v>46036</v>
      </c>
      <c r="O167" s="2" t="s">
        <v>22</v>
      </c>
      <c r="P167" s="4">
        <f t="shared" ca="1" si="14"/>
        <v>1</v>
      </c>
      <c r="Q167" s="4" t="str">
        <f t="shared" ca="1" si="15"/>
        <v>0-2 Years</v>
      </c>
      <c r="R167">
        <f t="shared" ca="1" si="17"/>
        <v>1</v>
      </c>
      <c r="S167" t="s">
        <v>22</v>
      </c>
      <c r="T167">
        <v>4</v>
      </c>
      <c r="U167" t="s">
        <v>1394</v>
      </c>
      <c r="V167" t="s">
        <v>1394</v>
      </c>
      <c r="W167" t="s">
        <v>1394</v>
      </c>
      <c r="X167" s="3">
        <v>4</v>
      </c>
      <c r="Y167" t="s">
        <v>1395</v>
      </c>
      <c r="Z167">
        <v>25224</v>
      </c>
      <c r="AA167">
        <v>0.1</v>
      </c>
      <c r="AB167">
        <v>27746.400000000001</v>
      </c>
    </row>
    <row r="168" spans="1:28" x14ac:dyDescent="0.35">
      <c r="A168" t="str">
        <f t="shared" si="12"/>
        <v>EMP0167</v>
      </c>
      <c r="B168" t="str" cm="1">
        <f t="array" ref="B168">_xlfn.IFS(
ROW()&lt;=421,"NA",
ROW()&lt;=781,"LATAM",
ROW()&lt;=1021,"EMEA",
TRUE,"APAC"
)</f>
        <v>NA</v>
      </c>
      <c r="C168" t="str">
        <f t="shared" si="13"/>
        <v>USA</v>
      </c>
      <c r="D168" t="s">
        <v>41</v>
      </c>
      <c r="E168" t="s">
        <v>380</v>
      </c>
      <c r="F168" t="s">
        <v>715</v>
      </c>
      <c r="G168" t="s">
        <v>53</v>
      </c>
      <c r="H168" s="2">
        <v>45679</v>
      </c>
      <c r="I168" t="s">
        <v>29</v>
      </c>
      <c r="J168" t="s">
        <v>42</v>
      </c>
      <c r="K168" t="str">
        <f t="shared" ca="1" si="16"/>
        <v>OK</v>
      </c>
      <c r="L168" t="s">
        <v>1002</v>
      </c>
      <c r="M168">
        <v>5</v>
      </c>
      <c r="N168" s="2">
        <v>46074</v>
      </c>
      <c r="O168" s="2" t="s">
        <v>22</v>
      </c>
      <c r="P168" s="4">
        <f t="shared" ca="1" si="14"/>
        <v>1</v>
      </c>
      <c r="Q168" s="4" t="str">
        <f t="shared" ca="1" si="15"/>
        <v>0-2 Years</v>
      </c>
      <c r="R168">
        <f t="shared" ca="1" si="17"/>
        <v>1</v>
      </c>
      <c r="S168" t="s">
        <v>22</v>
      </c>
      <c r="T168">
        <v>3</v>
      </c>
      <c r="U168" t="s">
        <v>1394</v>
      </c>
      <c r="V168" t="s">
        <v>1396</v>
      </c>
      <c r="W168" t="s">
        <v>1394</v>
      </c>
      <c r="X168" s="3">
        <v>2</v>
      </c>
      <c r="Y168" t="s">
        <v>1397</v>
      </c>
      <c r="Z168">
        <v>42537</v>
      </c>
      <c r="AA168">
        <v>0.1</v>
      </c>
      <c r="AB168">
        <v>46790.700000000004</v>
      </c>
    </row>
    <row r="169" spans="1:28" x14ac:dyDescent="0.35">
      <c r="A169" t="str">
        <f t="shared" si="12"/>
        <v>EMP0168</v>
      </c>
      <c r="B169" t="str" cm="1">
        <f t="array" ref="B169">_xlfn.IFS(
ROW()&lt;=421,"NA",
ROW()&lt;=781,"LATAM",
ROW()&lt;=1021,"EMEA",
TRUE,"APAC"
)</f>
        <v>NA</v>
      </c>
      <c r="C169" t="str">
        <f t="shared" si="13"/>
        <v>USA</v>
      </c>
      <c r="D169" t="s">
        <v>44</v>
      </c>
      <c r="E169" t="s">
        <v>380</v>
      </c>
      <c r="F169" t="s">
        <v>567</v>
      </c>
      <c r="G169" t="s">
        <v>28</v>
      </c>
      <c r="H169" s="2">
        <v>45671</v>
      </c>
      <c r="I169" t="s">
        <v>29</v>
      </c>
      <c r="J169" t="s">
        <v>47</v>
      </c>
      <c r="K169" t="str">
        <f t="shared" ca="1" si="16"/>
        <v>OK</v>
      </c>
      <c r="L169" t="s">
        <v>748</v>
      </c>
      <c r="M169">
        <v>5</v>
      </c>
      <c r="N169" s="2">
        <v>46057</v>
      </c>
      <c r="O169" s="2" t="s">
        <v>22</v>
      </c>
      <c r="P169" s="4">
        <f t="shared" ca="1" si="14"/>
        <v>1</v>
      </c>
      <c r="Q169" s="4" t="str">
        <f t="shared" ca="1" si="15"/>
        <v>0-2 Years</v>
      </c>
      <c r="R169">
        <f t="shared" ca="1" si="17"/>
        <v>1</v>
      </c>
      <c r="S169" t="s">
        <v>22</v>
      </c>
      <c r="T169">
        <v>3</v>
      </c>
      <c r="U169" t="s">
        <v>1394</v>
      </c>
      <c r="V169" t="s">
        <v>1394</v>
      </c>
      <c r="W169" t="s">
        <v>1394</v>
      </c>
      <c r="X169" s="3">
        <v>5</v>
      </c>
      <c r="Y169" t="s">
        <v>1395</v>
      </c>
      <c r="Z169">
        <v>42826</v>
      </c>
      <c r="AA169">
        <v>0.1</v>
      </c>
      <c r="AB169">
        <v>47108.600000000006</v>
      </c>
    </row>
    <row r="170" spans="1:28" x14ac:dyDescent="0.35">
      <c r="A170" t="str">
        <f t="shared" si="12"/>
        <v>EMP0169</v>
      </c>
      <c r="B170" t="str" cm="1">
        <f t="array" ref="B170">_xlfn.IFS(
ROW()&lt;=421,"NA",
ROW()&lt;=781,"LATAM",
ROW()&lt;=1021,"EMEA",
TRUE,"APAC"
)</f>
        <v>NA</v>
      </c>
      <c r="C170" t="str">
        <f t="shared" si="13"/>
        <v>USA</v>
      </c>
      <c r="D170" t="s">
        <v>44</v>
      </c>
      <c r="E170" t="s">
        <v>380</v>
      </c>
      <c r="F170" t="s">
        <v>395</v>
      </c>
      <c r="G170" t="s">
        <v>28</v>
      </c>
      <c r="H170" s="2">
        <v>45669</v>
      </c>
      <c r="I170" t="s">
        <v>29</v>
      </c>
      <c r="J170" t="s">
        <v>47</v>
      </c>
      <c r="K170" t="str">
        <f t="shared" ca="1" si="16"/>
        <v>OK</v>
      </c>
      <c r="L170" t="s">
        <v>1191</v>
      </c>
      <c r="M170">
        <v>5</v>
      </c>
      <c r="N170" s="2">
        <v>46053</v>
      </c>
      <c r="O170" s="2" t="s">
        <v>22</v>
      </c>
      <c r="P170" s="4">
        <f t="shared" ca="1" si="14"/>
        <v>1</v>
      </c>
      <c r="Q170" s="4" t="str">
        <f t="shared" ca="1" si="15"/>
        <v>0-2 Years</v>
      </c>
      <c r="R170">
        <f t="shared" ca="1" si="17"/>
        <v>1</v>
      </c>
      <c r="S170" t="s">
        <v>22</v>
      </c>
      <c r="T170">
        <v>4</v>
      </c>
      <c r="U170" t="s">
        <v>1394</v>
      </c>
      <c r="V170" t="s">
        <v>1394</v>
      </c>
      <c r="W170" t="s">
        <v>1394</v>
      </c>
      <c r="X170" s="3">
        <v>1</v>
      </c>
      <c r="Y170" t="s">
        <v>1397</v>
      </c>
      <c r="Z170">
        <v>44192</v>
      </c>
      <c r="AA170">
        <v>0.1</v>
      </c>
      <c r="AB170">
        <v>48611.200000000004</v>
      </c>
    </row>
    <row r="171" spans="1:28" x14ac:dyDescent="0.35">
      <c r="A171" t="str">
        <f t="shared" si="12"/>
        <v>EMP0170</v>
      </c>
      <c r="B171" t="str" cm="1">
        <f t="array" ref="B171">_xlfn.IFS(
ROW()&lt;=421,"NA",
ROW()&lt;=781,"LATAM",
ROW()&lt;=1021,"EMEA",
TRUE,"APAC"
)</f>
        <v>NA</v>
      </c>
      <c r="C171" t="str">
        <f t="shared" si="13"/>
        <v>USA</v>
      </c>
      <c r="D171" t="s">
        <v>32</v>
      </c>
      <c r="E171" t="s">
        <v>145</v>
      </c>
      <c r="F171" t="s">
        <v>156</v>
      </c>
      <c r="G171" t="s">
        <v>28</v>
      </c>
      <c r="H171" s="2">
        <v>45665</v>
      </c>
      <c r="I171" t="s">
        <v>57</v>
      </c>
      <c r="J171" t="s">
        <v>33</v>
      </c>
      <c r="K171" t="str">
        <f t="shared" ca="1" si="16"/>
        <v>OK</v>
      </c>
      <c r="L171" t="s">
        <v>157</v>
      </c>
      <c r="M171">
        <v>4</v>
      </c>
      <c r="N171" s="2">
        <v>46011</v>
      </c>
      <c r="O171" s="2">
        <v>46071</v>
      </c>
      <c r="P171" s="4">
        <f t="shared" ca="1" si="14"/>
        <v>1</v>
      </c>
      <c r="Q171" s="4" t="str">
        <f t="shared" ca="1" si="15"/>
        <v>0-2 Years</v>
      </c>
      <c r="R171">
        <f t="shared" ca="1" si="17"/>
        <v>1</v>
      </c>
      <c r="S171" t="s">
        <v>24</v>
      </c>
      <c r="T171">
        <v>3</v>
      </c>
      <c r="U171" t="s">
        <v>1394</v>
      </c>
      <c r="V171" t="s">
        <v>1396</v>
      </c>
      <c r="W171" t="s">
        <v>1394</v>
      </c>
      <c r="X171" s="3">
        <v>1</v>
      </c>
      <c r="Y171" t="s">
        <v>1397</v>
      </c>
      <c r="Z171">
        <v>70177</v>
      </c>
      <c r="AA171">
        <v>0.15</v>
      </c>
      <c r="AB171">
        <v>80703.549999999988</v>
      </c>
    </row>
    <row r="172" spans="1:28" x14ac:dyDescent="0.35">
      <c r="A172" t="str">
        <f t="shared" si="12"/>
        <v>EMP0171</v>
      </c>
      <c r="B172" t="str" cm="1">
        <f t="array" ref="B172">_xlfn.IFS(
ROW()&lt;=421,"NA",
ROW()&lt;=781,"LATAM",
ROW()&lt;=1021,"EMEA",
TRUE,"APAC"
)</f>
        <v>NA</v>
      </c>
      <c r="C172" t="str">
        <f t="shared" si="13"/>
        <v>USA</v>
      </c>
      <c r="D172" t="s">
        <v>44</v>
      </c>
      <c r="E172" t="s">
        <v>380</v>
      </c>
      <c r="F172" t="s">
        <v>454</v>
      </c>
      <c r="G172" t="s">
        <v>28</v>
      </c>
      <c r="H172" s="2">
        <v>45665</v>
      </c>
      <c r="I172" t="s">
        <v>29</v>
      </c>
      <c r="J172" t="s">
        <v>47</v>
      </c>
      <c r="K172" t="str">
        <f t="shared" ca="1" si="16"/>
        <v>OK</v>
      </c>
      <c r="L172" t="s">
        <v>455</v>
      </c>
      <c r="M172">
        <v>5</v>
      </c>
      <c r="N172" s="2">
        <v>46022</v>
      </c>
      <c r="O172" s="2" t="s">
        <v>22</v>
      </c>
      <c r="P172" s="4">
        <f t="shared" ca="1" si="14"/>
        <v>1</v>
      </c>
      <c r="Q172" s="4" t="str">
        <f t="shared" ca="1" si="15"/>
        <v>0-2 Years</v>
      </c>
      <c r="R172">
        <f t="shared" ca="1" si="17"/>
        <v>1</v>
      </c>
      <c r="S172" t="s">
        <v>22</v>
      </c>
      <c r="T172">
        <v>3</v>
      </c>
      <c r="U172" t="s">
        <v>1394</v>
      </c>
      <c r="V172" t="s">
        <v>1394</v>
      </c>
      <c r="W172" t="s">
        <v>1394</v>
      </c>
      <c r="X172" s="3">
        <v>2</v>
      </c>
      <c r="Y172" t="s">
        <v>1397</v>
      </c>
      <c r="Z172">
        <v>47427</v>
      </c>
      <c r="AA172">
        <v>0.1</v>
      </c>
      <c r="AB172">
        <v>52169.700000000004</v>
      </c>
    </row>
    <row r="173" spans="1:28" x14ac:dyDescent="0.35">
      <c r="A173" t="str">
        <f t="shared" si="12"/>
        <v>EMP0172</v>
      </c>
      <c r="B173" t="str" cm="1">
        <f t="array" ref="B173">_xlfn.IFS(
ROW()&lt;=421,"NA",
ROW()&lt;=781,"LATAM",
ROW()&lt;=1021,"EMEA",
TRUE,"APAC"
)</f>
        <v>NA</v>
      </c>
      <c r="C173" t="str">
        <f t="shared" si="13"/>
        <v>USA</v>
      </c>
      <c r="D173" t="s">
        <v>38</v>
      </c>
      <c r="E173" t="s">
        <v>380</v>
      </c>
      <c r="F173" t="s">
        <v>566</v>
      </c>
      <c r="G173" t="s">
        <v>28</v>
      </c>
      <c r="H173" s="2">
        <v>45663</v>
      </c>
      <c r="I173" t="s">
        <v>29</v>
      </c>
      <c r="J173" t="s">
        <v>39</v>
      </c>
      <c r="K173" t="str">
        <f t="shared" ca="1" si="16"/>
        <v>OK</v>
      </c>
      <c r="L173" t="s">
        <v>1103</v>
      </c>
      <c r="M173">
        <v>5</v>
      </c>
      <c r="N173" s="2">
        <v>46058</v>
      </c>
      <c r="O173" s="2" t="s">
        <v>22</v>
      </c>
      <c r="P173" s="4">
        <f t="shared" ca="1" si="14"/>
        <v>1</v>
      </c>
      <c r="Q173" s="4" t="str">
        <f t="shared" ca="1" si="15"/>
        <v>0-2 Years</v>
      </c>
      <c r="R173">
        <f t="shared" ca="1" si="17"/>
        <v>1</v>
      </c>
      <c r="S173" t="s">
        <v>22</v>
      </c>
      <c r="T173">
        <v>4</v>
      </c>
      <c r="U173" t="s">
        <v>1394</v>
      </c>
      <c r="V173" t="s">
        <v>1394</v>
      </c>
      <c r="W173" t="s">
        <v>1394</v>
      </c>
      <c r="X173" s="3">
        <v>3</v>
      </c>
      <c r="Y173" t="s">
        <v>1398</v>
      </c>
      <c r="Z173">
        <v>37433</v>
      </c>
      <c r="AA173">
        <v>0.1</v>
      </c>
      <c r="AB173">
        <v>41176.300000000003</v>
      </c>
    </row>
    <row r="174" spans="1:28" x14ac:dyDescent="0.35">
      <c r="A174" t="str">
        <f t="shared" si="12"/>
        <v>EMP0173</v>
      </c>
      <c r="B174" t="str" cm="1">
        <f t="array" ref="B174">_xlfn.IFS(
ROW()&lt;=421,"NA",
ROW()&lt;=781,"LATAM",
ROW()&lt;=1021,"EMEA",
TRUE,"APAC"
)</f>
        <v>NA</v>
      </c>
      <c r="C174" t="str">
        <f t="shared" si="13"/>
        <v>USA</v>
      </c>
      <c r="D174" t="s">
        <v>38</v>
      </c>
      <c r="E174" t="s">
        <v>380</v>
      </c>
      <c r="F174" t="s">
        <v>553</v>
      </c>
      <c r="G174" t="s">
        <v>28</v>
      </c>
      <c r="H174" s="2">
        <v>45663</v>
      </c>
      <c r="I174" t="s">
        <v>29</v>
      </c>
      <c r="J174" t="s">
        <v>39</v>
      </c>
      <c r="K174" t="str">
        <f t="shared" ca="1" si="16"/>
        <v>OK</v>
      </c>
      <c r="L174" t="s">
        <v>235</v>
      </c>
      <c r="M174">
        <v>5</v>
      </c>
      <c r="N174" s="2">
        <v>46008</v>
      </c>
      <c r="O174" s="2" t="s">
        <v>22</v>
      </c>
      <c r="P174" s="4">
        <f t="shared" ca="1" si="14"/>
        <v>1</v>
      </c>
      <c r="Q174" s="4" t="str">
        <f t="shared" ca="1" si="15"/>
        <v>0-2 Years</v>
      </c>
      <c r="R174">
        <f t="shared" ca="1" si="17"/>
        <v>1</v>
      </c>
      <c r="S174" t="s">
        <v>22</v>
      </c>
      <c r="T174">
        <v>2</v>
      </c>
      <c r="U174" t="s">
        <v>1394</v>
      </c>
      <c r="V174" t="s">
        <v>1394</v>
      </c>
      <c r="W174" t="s">
        <v>1394</v>
      </c>
      <c r="X174" s="3">
        <v>1</v>
      </c>
      <c r="Y174" t="s">
        <v>1397</v>
      </c>
      <c r="Z174">
        <v>29770</v>
      </c>
      <c r="AA174">
        <v>0.1</v>
      </c>
      <c r="AB174">
        <v>32747.000000000004</v>
      </c>
    </row>
    <row r="175" spans="1:28" x14ac:dyDescent="0.35">
      <c r="A175" t="str">
        <f t="shared" si="12"/>
        <v>EMP0174</v>
      </c>
      <c r="B175" t="str" cm="1">
        <f t="array" ref="B175">_xlfn.IFS(
ROW()&lt;=421,"NA",
ROW()&lt;=781,"LATAM",
ROW()&lt;=1021,"EMEA",
TRUE,"APAC"
)</f>
        <v>NA</v>
      </c>
      <c r="C175" t="str">
        <f t="shared" si="13"/>
        <v>USA</v>
      </c>
      <c r="D175" t="s">
        <v>26</v>
      </c>
      <c r="E175" t="s">
        <v>145</v>
      </c>
      <c r="F175" t="s">
        <v>278</v>
      </c>
      <c r="G175" t="s">
        <v>28</v>
      </c>
      <c r="H175" s="2">
        <v>45662</v>
      </c>
      <c r="I175" t="s">
        <v>29</v>
      </c>
      <c r="J175" t="s">
        <v>30</v>
      </c>
      <c r="K175" t="str">
        <f t="shared" ca="1" si="16"/>
        <v>OK</v>
      </c>
      <c r="L175" t="s">
        <v>314</v>
      </c>
      <c r="M175">
        <v>4</v>
      </c>
      <c r="N175" s="2">
        <v>46059</v>
      </c>
      <c r="O175" s="2" t="s">
        <v>22</v>
      </c>
      <c r="P175" s="4">
        <f t="shared" ca="1" si="14"/>
        <v>1</v>
      </c>
      <c r="Q175" s="4" t="str">
        <f t="shared" ca="1" si="15"/>
        <v>0-2 Years</v>
      </c>
      <c r="R175">
        <f t="shared" ca="1" si="17"/>
        <v>1</v>
      </c>
      <c r="S175" t="s">
        <v>22</v>
      </c>
      <c r="T175">
        <v>4</v>
      </c>
      <c r="U175" t="s">
        <v>1394</v>
      </c>
      <c r="V175" t="s">
        <v>1394</v>
      </c>
      <c r="W175" t="s">
        <v>1394</v>
      </c>
      <c r="X175" s="3">
        <v>5</v>
      </c>
      <c r="Y175" t="s">
        <v>1395</v>
      </c>
      <c r="Z175">
        <v>78176</v>
      </c>
      <c r="AA175">
        <v>0.15</v>
      </c>
      <c r="AB175">
        <v>89902.399999999994</v>
      </c>
    </row>
    <row r="176" spans="1:28" x14ac:dyDescent="0.35">
      <c r="A176" t="str">
        <f t="shared" si="12"/>
        <v>EMP0175</v>
      </c>
      <c r="B176" t="str" cm="1">
        <f t="array" ref="B176">_xlfn.IFS(
ROW()&lt;=421,"NA",
ROW()&lt;=781,"LATAM",
ROW()&lt;=1021,"EMEA",
TRUE,"APAC"
)</f>
        <v>NA</v>
      </c>
      <c r="C176" t="str">
        <f t="shared" si="13"/>
        <v>USA</v>
      </c>
      <c r="D176" t="s">
        <v>44</v>
      </c>
      <c r="E176" t="s">
        <v>380</v>
      </c>
      <c r="F176" t="s">
        <v>736</v>
      </c>
      <c r="G176" t="s">
        <v>28</v>
      </c>
      <c r="H176" s="2">
        <v>45662</v>
      </c>
      <c r="I176" t="s">
        <v>29</v>
      </c>
      <c r="J176" t="s">
        <v>47</v>
      </c>
      <c r="K176" t="str">
        <f t="shared" ca="1" si="16"/>
        <v>OK</v>
      </c>
      <c r="L176" t="s">
        <v>1126</v>
      </c>
      <c r="M176">
        <v>5</v>
      </c>
      <c r="N176" s="2">
        <v>46006</v>
      </c>
      <c r="O176" s="2" t="s">
        <v>22</v>
      </c>
      <c r="P176" s="4">
        <f t="shared" ca="1" si="14"/>
        <v>1</v>
      </c>
      <c r="Q176" s="4" t="str">
        <f t="shared" ca="1" si="15"/>
        <v>0-2 Years</v>
      </c>
      <c r="R176">
        <f t="shared" ca="1" si="17"/>
        <v>1</v>
      </c>
      <c r="S176" t="s">
        <v>22</v>
      </c>
      <c r="T176">
        <v>3</v>
      </c>
      <c r="U176" t="s">
        <v>1394</v>
      </c>
      <c r="V176" t="s">
        <v>1396</v>
      </c>
      <c r="W176" t="s">
        <v>1394</v>
      </c>
      <c r="X176" s="3">
        <v>2</v>
      </c>
      <c r="Y176" t="s">
        <v>1397</v>
      </c>
      <c r="Z176">
        <v>21302</v>
      </c>
      <c r="AA176">
        <v>0.1</v>
      </c>
      <c r="AB176">
        <v>23432.2</v>
      </c>
    </row>
    <row r="177" spans="1:28" x14ac:dyDescent="0.35">
      <c r="A177" t="str">
        <f t="shared" si="12"/>
        <v>EMP0176</v>
      </c>
      <c r="B177" t="str" cm="1">
        <f t="array" ref="B177">_xlfn.IFS(
ROW()&lt;=421,"NA",
ROW()&lt;=781,"LATAM",
ROW()&lt;=1021,"EMEA",
TRUE,"APAC"
)</f>
        <v>NA</v>
      </c>
      <c r="C177" t="str">
        <f t="shared" si="13"/>
        <v>USA</v>
      </c>
      <c r="D177" t="s">
        <v>35</v>
      </c>
      <c r="E177" t="s">
        <v>145</v>
      </c>
      <c r="F177" t="s">
        <v>263</v>
      </c>
      <c r="G177" t="s">
        <v>28</v>
      </c>
      <c r="H177" s="2">
        <v>45661</v>
      </c>
      <c r="I177" t="s">
        <v>29</v>
      </c>
      <c r="J177" t="s">
        <v>36</v>
      </c>
      <c r="K177" t="str">
        <f t="shared" ca="1" si="16"/>
        <v>OK</v>
      </c>
      <c r="L177" t="s">
        <v>264</v>
      </c>
      <c r="M177">
        <v>4</v>
      </c>
      <c r="N177" s="2">
        <v>46016</v>
      </c>
      <c r="O177" s="2" t="s">
        <v>22</v>
      </c>
      <c r="P177" s="4">
        <f t="shared" ca="1" si="14"/>
        <v>1</v>
      </c>
      <c r="Q177" s="4" t="str">
        <f t="shared" ca="1" si="15"/>
        <v>0-2 Years</v>
      </c>
      <c r="R177">
        <f t="shared" ca="1" si="17"/>
        <v>1</v>
      </c>
      <c r="S177" t="s">
        <v>22</v>
      </c>
      <c r="T177">
        <v>3</v>
      </c>
      <c r="U177" t="s">
        <v>1394</v>
      </c>
      <c r="V177" t="s">
        <v>1394</v>
      </c>
      <c r="W177" t="s">
        <v>1394</v>
      </c>
      <c r="X177" s="3">
        <v>3</v>
      </c>
      <c r="Y177" t="s">
        <v>1398</v>
      </c>
      <c r="Z177">
        <v>69530</v>
      </c>
      <c r="AA177">
        <v>0.15</v>
      </c>
      <c r="AB177">
        <v>79959.5</v>
      </c>
    </row>
    <row r="178" spans="1:28" x14ac:dyDescent="0.35">
      <c r="A178" t="str">
        <f t="shared" si="12"/>
        <v>EMP0177</v>
      </c>
      <c r="B178" t="str" cm="1">
        <f t="array" ref="B178">_xlfn.IFS(
ROW()&lt;=421,"NA",
ROW()&lt;=781,"LATAM",
ROW()&lt;=1021,"EMEA",
TRUE,"APAC"
)</f>
        <v>NA</v>
      </c>
      <c r="C178" t="str">
        <f t="shared" si="13"/>
        <v>USA</v>
      </c>
      <c r="D178" t="s">
        <v>26</v>
      </c>
      <c r="E178" t="s">
        <v>380</v>
      </c>
      <c r="F178" t="s">
        <v>638</v>
      </c>
      <c r="G178" t="s">
        <v>28</v>
      </c>
      <c r="H178" s="2">
        <v>45660</v>
      </c>
      <c r="I178" t="s">
        <v>29</v>
      </c>
      <c r="J178" t="s">
        <v>30</v>
      </c>
      <c r="K178" t="str">
        <f t="shared" ca="1" si="16"/>
        <v>OK</v>
      </c>
      <c r="L178" t="s">
        <v>1004</v>
      </c>
      <c r="M178">
        <v>5</v>
      </c>
      <c r="N178" s="2">
        <v>46011</v>
      </c>
      <c r="O178" s="2" t="s">
        <v>22</v>
      </c>
      <c r="P178" s="4">
        <f t="shared" ca="1" si="14"/>
        <v>1</v>
      </c>
      <c r="Q178" s="4" t="str">
        <f t="shared" ca="1" si="15"/>
        <v>0-2 Years</v>
      </c>
      <c r="R178">
        <f t="shared" ca="1" si="17"/>
        <v>1</v>
      </c>
      <c r="S178" t="s">
        <v>22</v>
      </c>
      <c r="T178">
        <v>3</v>
      </c>
      <c r="U178" t="s">
        <v>1394</v>
      </c>
      <c r="V178" t="s">
        <v>1394</v>
      </c>
      <c r="W178" t="s">
        <v>1394</v>
      </c>
      <c r="X178" s="3">
        <v>2</v>
      </c>
      <c r="Y178" t="s">
        <v>1397</v>
      </c>
      <c r="Z178">
        <v>28775</v>
      </c>
      <c r="AA178">
        <v>0.1</v>
      </c>
      <c r="AB178">
        <v>31652.500000000004</v>
      </c>
    </row>
    <row r="179" spans="1:28" x14ac:dyDescent="0.35">
      <c r="A179" t="str">
        <f t="shared" si="12"/>
        <v>EMP0178</v>
      </c>
      <c r="B179" t="str" cm="1">
        <f t="array" ref="B179">_xlfn.IFS(
ROW()&lt;=421,"NA",
ROW()&lt;=781,"LATAM",
ROW()&lt;=1021,"EMEA",
TRUE,"APAC"
)</f>
        <v>NA</v>
      </c>
      <c r="C179" t="str">
        <f t="shared" si="13"/>
        <v>USA</v>
      </c>
      <c r="D179" t="s">
        <v>41</v>
      </c>
      <c r="E179" t="s">
        <v>380</v>
      </c>
      <c r="F179" t="s">
        <v>589</v>
      </c>
      <c r="G179" t="s">
        <v>28</v>
      </c>
      <c r="H179" s="2">
        <v>46031</v>
      </c>
      <c r="I179" t="s">
        <v>29</v>
      </c>
      <c r="J179" t="s">
        <v>42</v>
      </c>
      <c r="K179" t="str">
        <f t="shared" ca="1" si="16"/>
        <v>OK</v>
      </c>
      <c r="L179" t="s">
        <v>606</v>
      </c>
      <c r="M179">
        <v>5</v>
      </c>
      <c r="N179" s="2">
        <v>46051</v>
      </c>
      <c r="O179" s="2" t="s">
        <v>22</v>
      </c>
      <c r="P179" s="4">
        <f t="shared" ca="1" si="14"/>
        <v>0</v>
      </c>
      <c r="Q179" s="4" t="str">
        <f t="shared" ca="1" si="15"/>
        <v>0-2 Years</v>
      </c>
      <c r="R179">
        <f t="shared" ca="1" si="17"/>
        <v>1</v>
      </c>
      <c r="S179" t="s">
        <v>22</v>
      </c>
      <c r="T179">
        <v>4</v>
      </c>
      <c r="U179" t="s">
        <v>1394</v>
      </c>
      <c r="V179" t="s">
        <v>1394</v>
      </c>
      <c r="W179" t="s">
        <v>1394</v>
      </c>
      <c r="X179" s="3">
        <v>2</v>
      </c>
      <c r="Y179" t="s">
        <v>1397</v>
      </c>
      <c r="Z179">
        <v>35746</v>
      </c>
      <c r="AA179">
        <v>0.1</v>
      </c>
      <c r="AB179">
        <v>39320.600000000006</v>
      </c>
    </row>
    <row r="180" spans="1:28" x14ac:dyDescent="0.35">
      <c r="A180" t="str">
        <f t="shared" si="12"/>
        <v>EMP0179</v>
      </c>
      <c r="B180" t="str" cm="1">
        <f t="array" ref="B180">_xlfn.IFS(
ROW()&lt;=421,"NA",
ROW()&lt;=781,"LATAM",
ROW()&lt;=1021,"EMEA",
TRUE,"APAC"
)</f>
        <v>NA</v>
      </c>
      <c r="C180" t="str">
        <f t="shared" si="13"/>
        <v>USA</v>
      </c>
      <c r="D180" t="s">
        <v>44</v>
      </c>
      <c r="E180" t="s">
        <v>380</v>
      </c>
      <c r="F180" t="s">
        <v>722</v>
      </c>
      <c r="G180" t="s">
        <v>28</v>
      </c>
      <c r="H180" s="2">
        <v>45658</v>
      </c>
      <c r="I180" t="s">
        <v>29</v>
      </c>
      <c r="J180" t="s">
        <v>47</v>
      </c>
      <c r="K180" t="str">
        <f t="shared" ca="1" si="16"/>
        <v>OK</v>
      </c>
      <c r="L180" t="s">
        <v>1293</v>
      </c>
      <c r="M180">
        <v>5</v>
      </c>
      <c r="N180" s="2">
        <v>46054</v>
      </c>
      <c r="O180" s="2" t="s">
        <v>22</v>
      </c>
      <c r="P180" s="4">
        <f t="shared" ca="1" si="14"/>
        <v>1</v>
      </c>
      <c r="Q180" s="4" t="str">
        <f t="shared" ca="1" si="15"/>
        <v>0-2 Years</v>
      </c>
      <c r="R180">
        <f t="shared" ca="1" si="17"/>
        <v>1</v>
      </c>
      <c r="S180" t="s">
        <v>22</v>
      </c>
      <c r="T180">
        <v>4</v>
      </c>
      <c r="U180" t="s">
        <v>1396</v>
      </c>
      <c r="V180" t="s">
        <v>1394</v>
      </c>
      <c r="W180" t="s">
        <v>1394</v>
      </c>
      <c r="X180" s="3">
        <v>1</v>
      </c>
      <c r="Y180" t="s">
        <v>1397</v>
      </c>
      <c r="Z180">
        <v>28630</v>
      </c>
      <c r="AA180">
        <v>0.1</v>
      </c>
      <c r="AB180">
        <v>31493.000000000004</v>
      </c>
    </row>
    <row r="181" spans="1:28" x14ac:dyDescent="0.35">
      <c r="A181" t="str">
        <f t="shared" si="12"/>
        <v>EMP0180</v>
      </c>
      <c r="B181" t="str" cm="1">
        <f t="array" ref="B181">_xlfn.IFS(
ROW()&lt;=421,"NA",
ROW()&lt;=781,"LATAM",
ROW()&lt;=1021,"EMEA",
TRUE,"APAC"
)</f>
        <v>NA</v>
      </c>
      <c r="C181" t="str">
        <f t="shared" si="13"/>
        <v>USA</v>
      </c>
      <c r="D181" t="s">
        <v>26</v>
      </c>
      <c r="E181" t="s">
        <v>145</v>
      </c>
      <c r="F181" t="s">
        <v>176</v>
      </c>
      <c r="G181" t="s">
        <v>28</v>
      </c>
      <c r="H181" s="2">
        <v>45650</v>
      </c>
      <c r="I181" t="s">
        <v>29</v>
      </c>
      <c r="J181" t="s">
        <v>30</v>
      </c>
      <c r="K181" t="str">
        <f t="shared" ca="1" si="16"/>
        <v>OK</v>
      </c>
      <c r="L181" t="s">
        <v>177</v>
      </c>
      <c r="M181">
        <v>4</v>
      </c>
      <c r="N181" s="2">
        <v>46017</v>
      </c>
      <c r="O181" s="2" t="s">
        <v>22</v>
      </c>
      <c r="P181" s="4">
        <f t="shared" ca="1" si="14"/>
        <v>1</v>
      </c>
      <c r="Q181" s="4" t="str">
        <f t="shared" ca="1" si="15"/>
        <v>0-2 Years</v>
      </c>
      <c r="R181">
        <f t="shared" ca="1" si="17"/>
        <v>1</v>
      </c>
      <c r="S181" t="s">
        <v>22</v>
      </c>
      <c r="T181">
        <v>5</v>
      </c>
      <c r="U181" t="s">
        <v>1394</v>
      </c>
      <c r="V181" t="s">
        <v>1394</v>
      </c>
      <c r="W181" t="s">
        <v>1394</v>
      </c>
      <c r="X181" s="3">
        <v>3</v>
      </c>
      <c r="Y181" t="s">
        <v>1398</v>
      </c>
      <c r="Z181">
        <v>66528</v>
      </c>
      <c r="AA181">
        <v>0.15</v>
      </c>
      <c r="AB181">
        <v>76507.199999999997</v>
      </c>
    </row>
    <row r="182" spans="1:28" x14ac:dyDescent="0.35">
      <c r="A182" t="str">
        <f t="shared" si="12"/>
        <v>EMP0181</v>
      </c>
      <c r="B182" t="str" cm="1">
        <f t="array" ref="B182">_xlfn.IFS(
ROW()&lt;=421,"NA",
ROW()&lt;=781,"LATAM",
ROW()&lt;=1021,"EMEA",
TRUE,"APAC"
)</f>
        <v>NA</v>
      </c>
      <c r="C182" t="str">
        <f t="shared" si="13"/>
        <v>USA</v>
      </c>
      <c r="D182" t="s">
        <v>35</v>
      </c>
      <c r="E182" t="s">
        <v>380</v>
      </c>
      <c r="F182" t="s">
        <v>702</v>
      </c>
      <c r="G182" t="s">
        <v>28</v>
      </c>
      <c r="H182" s="2">
        <v>45646</v>
      </c>
      <c r="I182" t="s">
        <v>29</v>
      </c>
      <c r="J182" t="s">
        <v>36</v>
      </c>
      <c r="K182" t="str">
        <f t="shared" ca="1" si="16"/>
        <v>⚠ Review</v>
      </c>
      <c r="L182" t="s">
        <v>1102</v>
      </c>
      <c r="M182">
        <v>5</v>
      </c>
      <c r="N182" s="2">
        <v>46043</v>
      </c>
      <c r="O182" s="2" t="s">
        <v>22</v>
      </c>
      <c r="P182" s="4">
        <f t="shared" ca="1" si="14"/>
        <v>1</v>
      </c>
      <c r="Q182" s="4" t="str">
        <f t="shared" ca="1" si="15"/>
        <v>0-2 Years</v>
      </c>
      <c r="R182">
        <f t="shared" ca="1" si="17"/>
        <v>1</v>
      </c>
      <c r="S182" t="s">
        <v>22</v>
      </c>
      <c r="T182">
        <v>3</v>
      </c>
      <c r="U182" t="s">
        <v>1394</v>
      </c>
      <c r="V182" t="s">
        <v>1394</v>
      </c>
      <c r="W182" t="s">
        <v>1394</v>
      </c>
      <c r="X182" s="3">
        <v>0</v>
      </c>
      <c r="Y182" t="s">
        <v>1395</v>
      </c>
      <c r="Z182">
        <v>39929</v>
      </c>
      <c r="AA182">
        <v>0.1</v>
      </c>
      <c r="AB182">
        <v>43921.9</v>
      </c>
    </row>
    <row r="183" spans="1:28" x14ac:dyDescent="0.35">
      <c r="A183" t="str">
        <f t="shared" si="12"/>
        <v>EMP0182</v>
      </c>
      <c r="B183" t="str" cm="1">
        <f t="array" ref="B183">_xlfn.IFS(
ROW()&lt;=421,"NA",
ROW()&lt;=781,"LATAM",
ROW()&lt;=1021,"EMEA",
TRUE,"APAC"
)</f>
        <v>NA</v>
      </c>
      <c r="C183" t="str">
        <f t="shared" si="13"/>
        <v>USA</v>
      </c>
      <c r="D183" t="s">
        <v>26</v>
      </c>
      <c r="E183" t="s">
        <v>380</v>
      </c>
      <c r="F183" t="s">
        <v>582</v>
      </c>
      <c r="G183" t="s">
        <v>28</v>
      </c>
      <c r="H183" s="2">
        <v>45645</v>
      </c>
      <c r="I183" t="s">
        <v>29</v>
      </c>
      <c r="J183" t="s">
        <v>30</v>
      </c>
      <c r="K183" t="str">
        <f t="shared" ca="1" si="16"/>
        <v>OK</v>
      </c>
      <c r="L183" t="s">
        <v>583</v>
      </c>
      <c r="M183">
        <v>5</v>
      </c>
      <c r="N183" s="2">
        <v>46020</v>
      </c>
      <c r="O183" s="2" t="s">
        <v>22</v>
      </c>
      <c r="P183" s="4">
        <f t="shared" ca="1" si="14"/>
        <v>1</v>
      </c>
      <c r="Q183" s="4" t="str">
        <f t="shared" ca="1" si="15"/>
        <v>0-2 Years</v>
      </c>
      <c r="R183">
        <f t="shared" ca="1" si="17"/>
        <v>1</v>
      </c>
      <c r="S183" t="s">
        <v>22</v>
      </c>
      <c r="T183">
        <v>3</v>
      </c>
      <c r="U183" t="s">
        <v>1394</v>
      </c>
      <c r="V183" t="s">
        <v>1396</v>
      </c>
      <c r="W183" t="s">
        <v>1394</v>
      </c>
      <c r="X183" s="3">
        <v>2</v>
      </c>
      <c r="Y183" t="s">
        <v>1397</v>
      </c>
      <c r="Z183">
        <v>22953</v>
      </c>
      <c r="AA183">
        <v>0.1</v>
      </c>
      <c r="AB183">
        <v>25248.300000000003</v>
      </c>
    </row>
    <row r="184" spans="1:28" x14ac:dyDescent="0.35">
      <c r="A184" t="str">
        <f t="shared" si="12"/>
        <v>EMP0183</v>
      </c>
      <c r="B184" t="str" cm="1">
        <f t="array" ref="B184">_xlfn.IFS(
ROW()&lt;=421,"NA",
ROW()&lt;=781,"LATAM",
ROW()&lt;=1021,"EMEA",
TRUE,"APAC"
)</f>
        <v>NA</v>
      </c>
      <c r="C184" t="str">
        <f t="shared" si="13"/>
        <v>USA</v>
      </c>
      <c r="D184" t="s">
        <v>35</v>
      </c>
      <c r="E184" t="s">
        <v>380</v>
      </c>
      <c r="F184" t="s">
        <v>642</v>
      </c>
      <c r="G184" t="s">
        <v>28</v>
      </c>
      <c r="H184" s="2">
        <v>45644</v>
      </c>
      <c r="I184" t="s">
        <v>29</v>
      </c>
      <c r="J184" t="s">
        <v>36</v>
      </c>
      <c r="K184" t="str">
        <f t="shared" ca="1" si="16"/>
        <v>OK</v>
      </c>
      <c r="L184" t="s">
        <v>1324</v>
      </c>
      <c r="M184">
        <v>5</v>
      </c>
      <c r="N184" s="2">
        <v>46061</v>
      </c>
      <c r="O184" s="2" t="s">
        <v>22</v>
      </c>
      <c r="P184" s="4">
        <f t="shared" ca="1" si="14"/>
        <v>1</v>
      </c>
      <c r="Q184" s="4" t="str">
        <f t="shared" ca="1" si="15"/>
        <v>0-2 Years</v>
      </c>
      <c r="R184">
        <f t="shared" ca="1" si="17"/>
        <v>1</v>
      </c>
      <c r="S184" t="s">
        <v>22</v>
      </c>
      <c r="T184">
        <v>4</v>
      </c>
      <c r="U184" t="s">
        <v>1394</v>
      </c>
      <c r="V184" t="s">
        <v>1394</v>
      </c>
      <c r="W184" t="s">
        <v>1394</v>
      </c>
      <c r="X184" s="3">
        <v>5</v>
      </c>
      <c r="Y184" t="s">
        <v>1395</v>
      </c>
      <c r="Z184">
        <v>45493</v>
      </c>
      <c r="AA184">
        <v>0.1</v>
      </c>
      <c r="AB184">
        <v>50042.3</v>
      </c>
    </row>
    <row r="185" spans="1:28" x14ac:dyDescent="0.35">
      <c r="A185" t="str">
        <f t="shared" si="12"/>
        <v>EMP0184</v>
      </c>
      <c r="B185" t="str" cm="1">
        <f t="array" ref="B185">_xlfn.IFS(
ROW()&lt;=421,"NA",
ROW()&lt;=781,"LATAM",
ROW()&lt;=1021,"EMEA",
TRUE,"APAC"
)</f>
        <v>NA</v>
      </c>
      <c r="C185" t="str">
        <f t="shared" si="13"/>
        <v>USA</v>
      </c>
      <c r="D185" t="s">
        <v>44</v>
      </c>
      <c r="E185" t="s">
        <v>145</v>
      </c>
      <c r="F185" t="s">
        <v>172</v>
      </c>
      <c r="G185" t="s">
        <v>28</v>
      </c>
      <c r="H185" s="2">
        <v>45643</v>
      </c>
      <c r="I185" t="s">
        <v>29</v>
      </c>
      <c r="J185" t="s">
        <v>47</v>
      </c>
      <c r="K185" t="str">
        <f t="shared" ca="1" si="16"/>
        <v>OK</v>
      </c>
      <c r="L185" t="s">
        <v>358</v>
      </c>
      <c r="M185">
        <v>4</v>
      </c>
      <c r="N185" s="2">
        <v>46015</v>
      </c>
      <c r="O185" s="2" t="s">
        <v>22</v>
      </c>
      <c r="P185" s="4">
        <f t="shared" ca="1" si="14"/>
        <v>1</v>
      </c>
      <c r="Q185" s="4" t="str">
        <f t="shared" ca="1" si="15"/>
        <v>0-2 Years</v>
      </c>
      <c r="R185">
        <f t="shared" ca="1" si="17"/>
        <v>1</v>
      </c>
      <c r="S185" t="s">
        <v>22</v>
      </c>
      <c r="T185">
        <v>2</v>
      </c>
      <c r="U185" t="s">
        <v>1394</v>
      </c>
      <c r="V185" t="s">
        <v>1394</v>
      </c>
      <c r="W185" t="s">
        <v>1394</v>
      </c>
      <c r="X185" s="3">
        <v>3</v>
      </c>
      <c r="Y185" t="s">
        <v>1398</v>
      </c>
      <c r="Z185">
        <v>71434</v>
      </c>
      <c r="AA185">
        <v>0.15</v>
      </c>
      <c r="AB185">
        <v>82149.099999999991</v>
      </c>
    </row>
    <row r="186" spans="1:28" x14ac:dyDescent="0.35">
      <c r="A186" t="str">
        <f t="shared" si="12"/>
        <v>EMP0185</v>
      </c>
      <c r="B186" t="str" cm="1">
        <f t="array" ref="B186">_xlfn.IFS(
ROW()&lt;=421,"NA",
ROW()&lt;=781,"LATAM",
ROW()&lt;=1021,"EMEA",
TRUE,"APAC"
)</f>
        <v>NA</v>
      </c>
      <c r="C186" t="str">
        <f t="shared" si="13"/>
        <v>USA</v>
      </c>
      <c r="D186" t="s">
        <v>26</v>
      </c>
      <c r="E186" t="s">
        <v>380</v>
      </c>
      <c r="F186" t="s">
        <v>543</v>
      </c>
      <c r="G186" t="s">
        <v>28</v>
      </c>
      <c r="H186" s="2">
        <v>45643</v>
      </c>
      <c r="I186" t="s">
        <v>29</v>
      </c>
      <c r="J186" t="s">
        <v>30</v>
      </c>
      <c r="K186" t="str">
        <f t="shared" ca="1" si="16"/>
        <v>OK</v>
      </c>
      <c r="L186" t="s">
        <v>885</v>
      </c>
      <c r="M186">
        <v>5</v>
      </c>
      <c r="N186" s="2">
        <v>46050</v>
      </c>
      <c r="O186" s="2" t="s">
        <v>22</v>
      </c>
      <c r="P186" s="4">
        <f t="shared" ca="1" si="14"/>
        <v>1</v>
      </c>
      <c r="Q186" s="4" t="str">
        <f t="shared" ca="1" si="15"/>
        <v>0-2 Years</v>
      </c>
      <c r="R186">
        <f t="shared" ca="1" si="17"/>
        <v>1</v>
      </c>
      <c r="S186" t="s">
        <v>22</v>
      </c>
      <c r="T186">
        <v>3</v>
      </c>
      <c r="U186" t="s">
        <v>1394</v>
      </c>
      <c r="V186" t="s">
        <v>1394</v>
      </c>
      <c r="W186" t="s">
        <v>1394</v>
      </c>
      <c r="X186" s="3">
        <v>2</v>
      </c>
      <c r="Y186" t="s">
        <v>1397</v>
      </c>
      <c r="Z186">
        <v>29055</v>
      </c>
      <c r="AA186">
        <v>0.1</v>
      </c>
      <c r="AB186">
        <v>31960.500000000004</v>
      </c>
    </row>
    <row r="187" spans="1:28" x14ac:dyDescent="0.35">
      <c r="A187" t="str">
        <f t="shared" si="12"/>
        <v>EMP0186</v>
      </c>
      <c r="B187" t="str" cm="1">
        <f t="array" ref="B187">_xlfn.IFS(
ROW()&lt;=421,"NA",
ROW()&lt;=781,"LATAM",
ROW()&lt;=1021,"EMEA",
TRUE,"APAC"
)</f>
        <v>NA</v>
      </c>
      <c r="C187" t="str">
        <f t="shared" si="13"/>
        <v>USA</v>
      </c>
      <c r="D187" t="s">
        <v>26</v>
      </c>
      <c r="E187" t="s">
        <v>145</v>
      </c>
      <c r="F187" t="s">
        <v>236</v>
      </c>
      <c r="G187" t="s">
        <v>28</v>
      </c>
      <c r="H187" s="2">
        <v>45638</v>
      </c>
      <c r="I187" t="s">
        <v>29</v>
      </c>
      <c r="J187" t="s">
        <v>30</v>
      </c>
      <c r="K187" t="str">
        <f t="shared" ca="1" si="16"/>
        <v>OK</v>
      </c>
      <c r="L187" t="s">
        <v>298</v>
      </c>
      <c r="M187">
        <v>4</v>
      </c>
      <c r="N187" s="2">
        <v>46027</v>
      </c>
      <c r="O187" s="2" t="s">
        <v>22</v>
      </c>
      <c r="P187" s="4">
        <f t="shared" ca="1" si="14"/>
        <v>1</v>
      </c>
      <c r="Q187" s="4" t="str">
        <f t="shared" ca="1" si="15"/>
        <v>0-2 Years</v>
      </c>
      <c r="R187">
        <f t="shared" ca="1" si="17"/>
        <v>1</v>
      </c>
      <c r="S187" t="s">
        <v>22</v>
      </c>
      <c r="T187">
        <v>5</v>
      </c>
      <c r="U187" t="s">
        <v>1396</v>
      </c>
      <c r="V187" t="s">
        <v>1394</v>
      </c>
      <c r="W187" t="s">
        <v>1394</v>
      </c>
      <c r="X187" s="3">
        <v>3</v>
      </c>
      <c r="Y187" t="s">
        <v>1398</v>
      </c>
      <c r="Z187">
        <v>67651</v>
      </c>
      <c r="AA187">
        <v>0.15</v>
      </c>
      <c r="AB187">
        <v>77798.649999999994</v>
      </c>
    </row>
    <row r="188" spans="1:28" x14ac:dyDescent="0.35">
      <c r="A188" t="str">
        <f t="shared" si="12"/>
        <v>EMP0187</v>
      </c>
      <c r="B188" t="str" cm="1">
        <f t="array" ref="B188">_xlfn.IFS(
ROW()&lt;=421,"NA",
ROW()&lt;=781,"LATAM",
ROW()&lt;=1021,"EMEA",
TRUE,"APAC"
)</f>
        <v>NA</v>
      </c>
      <c r="C188" t="str">
        <f t="shared" si="13"/>
        <v>USA</v>
      </c>
      <c r="D188" t="s">
        <v>38</v>
      </c>
      <c r="E188" t="s">
        <v>145</v>
      </c>
      <c r="F188" t="s">
        <v>318</v>
      </c>
      <c r="G188" t="s">
        <v>28</v>
      </c>
      <c r="H188" s="2">
        <v>45636</v>
      </c>
      <c r="I188" t="s">
        <v>29</v>
      </c>
      <c r="J188" t="s">
        <v>39</v>
      </c>
      <c r="K188" t="str">
        <f t="shared" ca="1" si="16"/>
        <v>OK</v>
      </c>
      <c r="L188" t="s">
        <v>338</v>
      </c>
      <c r="M188">
        <v>4</v>
      </c>
      <c r="N188" s="2">
        <v>46018</v>
      </c>
      <c r="O188" s="2" t="s">
        <v>22</v>
      </c>
      <c r="P188" s="4">
        <f t="shared" ca="1" si="14"/>
        <v>1</v>
      </c>
      <c r="Q188" s="4" t="str">
        <f t="shared" ca="1" si="15"/>
        <v>0-2 Years</v>
      </c>
      <c r="R188">
        <f t="shared" ca="1" si="17"/>
        <v>1</v>
      </c>
      <c r="S188" t="s">
        <v>22</v>
      </c>
      <c r="T188">
        <v>2</v>
      </c>
      <c r="U188" t="s">
        <v>1394</v>
      </c>
      <c r="V188" t="s">
        <v>1396</v>
      </c>
      <c r="W188" t="s">
        <v>1396</v>
      </c>
      <c r="X188" s="3">
        <v>4</v>
      </c>
      <c r="Y188" t="s">
        <v>1395</v>
      </c>
      <c r="Z188">
        <v>73441</v>
      </c>
      <c r="AA188">
        <v>0.15</v>
      </c>
      <c r="AB188">
        <v>84457.15</v>
      </c>
    </row>
    <row r="189" spans="1:28" x14ac:dyDescent="0.35">
      <c r="A189" t="str">
        <f t="shared" si="12"/>
        <v>EMP0188</v>
      </c>
      <c r="B189" t="str" cm="1">
        <f t="array" ref="B189">_xlfn.IFS(
ROW()&lt;=421,"NA",
ROW()&lt;=781,"LATAM",
ROW()&lt;=1021,"EMEA",
TRUE,"APAC"
)</f>
        <v>NA</v>
      </c>
      <c r="C189" t="str">
        <f t="shared" si="13"/>
        <v>USA</v>
      </c>
      <c r="D189" t="s">
        <v>41</v>
      </c>
      <c r="E189" t="s">
        <v>380</v>
      </c>
      <c r="F189" t="s">
        <v>410</v>
      </c>
      <c r="G189" t="s">
        <v>28</v>
      </c>
      <c r="H189" s="2">
        <v>45636</v>
      </c>
      <c r="I189" t="s">
        <v>57</v>
      </c>
      <c r="J189" t="s">
        <v>42</v>
      </c>
      <c r="K189" t="str">
        <f t="shared" ca="1" si="16"/>
        <v>OK</v>
      </c>
      <c r="L189" t="s">
        <v>588</v>
      </c>
      <c r="M189">
        <v>5</v>
      </c>
      <c r="N189" s="2">
        <v>46053</v>
      </c>
      <c r="O189" s="2">
        <v>46071</v>
      </c>
      <c r="P189" s="4">
        <f t="shared" ca="1" si="14"/>
        <v>1</v>
      </c>
      <c r="Q189" s="4" t="str">
        <f t="shared" ca="1" si="15"/>
        <v>0-2 Years</v>
      </c>
      <c r="R189">
        <f t="shared" ca="1" si="17"/>
        <v>1</v>
      </c>
      <c r="S189" t="s">
        <v>23</v>
      </c>
      <c r="T189">
        <v>4</v>
      </c>
      <c r="U189" t="s">
        <v>1394</v>
      </c>
      <c r="V189" t="s">
        <v>1394</v>
      </c>
      <c r="W189" t="s">
        <v>1394</v>
      </c>
      <c r="X189" s="3">
        <v>2</v>
      </c>
      <c r="Y189" t="s">
        <v>1397</v>
      </c>
      <c r="Z189">
        <v>20238</v>
      </c>
      <c r="AA189">
        <v>0.1</v>
      </c>
      <c r="AB189">
        <v>22261.800000000003</v>
      </c>
    </row>
    <row r="190" spans="1:28" x14ac:dyDescent="0.35">
      <c r="A190" t="str">
        <f t="shared" si="12"/>
        <v>EMP0189</v>
      </c>
      <c r="B190" t="str" cm="1">
        <f t="array" ref="B190">_xlfn.IFS(
ROW()&lt;=421,"NA",
ROW()&lt;=781,"LATAM",
ROW()&lt;=1021,"EMEA",
TRUE,"APAC"
)</f>
        <v>NA</v>
      </c>
      <c r="C190" t="str">
        <f t="shared" si="13"/>
        <v>USA</v>
      </c>
      <c r="D190" t="s">
        <v>32</v>
      </c>
      <c r="E190" t="s">
        <v>380</v>
      </c>
      <c r="F190" t="s">
        <v>582</v>
      </c>
      <c r="G190" t="s">
        <v>28</v>
      </c>
      <c r="H190" s="2">
        <v>45635</v>
      </c>
      <c r="I190" t="s">
        <v>29</v>
      </c>
      <c r="J190" t="s">
        <v>33</v>
      </c>
      <c r="K190" t="str">
        <f t="shared" ca="1" si="16"/>
        <v>OK</v>
      </c>
      <c r="L190" t="s">
        <v>1323</v>
      </c>
      <c r="M190">
        <v>5</v>
      </c>
      <c r="N190" s="2">
        <v>46058</v>
      </c>
      <c r="O190" s="2" t="s">
        <v>22</v>
      </c>
      <c r="P190" s="4">
        <f t="shared" ca="1" si="14"/>
        <v>1</v>
      </c>
      <c r="Q190" s="4" t="str">
        <f t="shared" ca="1" si="15"/>
        <v>0-2 Years</v>
      </c>
      <c r="R190">
        <f t="shared" ca="1" si="17"/>
        <v>1</v>
      </c>
      <c r="S190" t="s">
        <v>22</v>
      </c>
      <c r="T190">
        <v>4</v>
      </c>
      <c r="U190" t="s">
        <v>1394</v>
      </c>
      <c r="V190" t="s">
        <v>1394</v>
      </c>
      <c r="W190" t="s">
        <v>1394</v>
      </c>
      <c r="X190" s="3">
        <v>4</v>
      </c>
      <c r="Y190" t="s">
        <v>1395</v>
      </c>
      <c r="Z190">
        <v>24805</v>
      </c>
      <c r="AA190">
        <v>0.1</v>
      </c>
      <c r="AB190">
        <v>27285.500000000004</v>
      </c>
    </row>
    <row r="191" spans="1:28" x14ac:dyDescent="0.35">
      <c r="A191" t="str">
        <f t="shared" si="12"/>
        <v>EMP0190</v>
      </c>
      <c r="B191" t="str" cm="1">
        <f t="array" ref="B191">_xlfn.IFS(
ROW()&lt;=421,"NA",
ROW()&lt;=781,"LATAM",
ROW()&lt;=1021,"EMEA",
TRUE,"APAC"
)</f>
        <v>NA</v>
      </c>
      <c r="C191" t="str">
        <f t="shared" si="13"/>
        <v>USA</v>
      </c>
      <c r="D191" t="s">
        <v>41</v>
      </c>
      <c r="E191" t="s">
        <v>380</v>
      </c>
      <c r="F191" t="s">
        <v>476</v>
      </c>
      <c r="G191" t="s">
        <v>28</v>
      </c>
      <c r="H191" s="2">
        <v>45685</v>
      </c>
      <c r="I191" t="s">
        <v>29</v>
      </c>
      <c r="J191" t="s">
        <v>42</v>
      </c>
      <c r="K191" t="str">
        <f t="shared" ca="1" si="16"/>
        <v>OK</v>
      </c>
      <c r="L191" t="s">
        <v>939</v>
      </c>
      <c r="M191">
        <v>5</v>
      </c>
      <c r="N191" s="2">
        <v>46056</v>
      </c>
      <c r="O191" s="2" t="s">
        <v>22</v>
      </c>
      <c r="P191" s="4">
        <f t="shared" ca="1" si="14"/>
        <v>1</v>
      </c>
      <c r="Q191" s="4" t="str">
        <f t="shared" ca="1" si="15"/>
        <v>0-2 Years</v>
      </c>
      <c r="R191">
        <f t="shared" ca="1" si="17"/>
        <v>1</v>
      </c>
      <c r="S191" t="s">
        <v>22</v>
      </c>
      <c r="T191">
        <v>3</v>
      </c>
      <c r="U191" t="s">
        <v>1394</v>
      </c>
      <c r="V191" t="s">
        <v>1394</v>
      </c>
      <c r="W191" t="s">
        <v>1394</v>
      </c>
      <c r="X191" s="3">
        <v>1</v>
      </c>
      <c r="Y191" t="s">
        <v>1397</v>
      </c>
      <c r="Z191">
        <v>47222</v>
      </c>
      <c r="AA191">
        <v>0.1</v>
      </c>
      <c r="AB191">
        <v>51944.200000000004</v>
      </c>
    </row>
    <row r="192" spans="1:28" x14ac:dyDescent="0.35">
      <c r="A192" t="str">
        <f t="shared" si="12"/>
        <v>EMP0191</v>
      </c>
      <c r="B192" t="str" cm="1">
        <f t="array" ref="B192">_xlfn.IFS(
ROW()&lt;=421,"NA",
ROW()&lt;=781,"LATAM",
ROW()&lt;=1021,"EMEA",
TRUE,"APAC"
)</f>
        <v>NA</v>
      </c>
      <c r="C192" t="str">
        <f t="shared" si="13"/>
        <v>USA</v>
      </c>
      <c r="D192" t="s">
        <v>35</v>
      </c>
      <c r="E192" t="s">
        <v>380</v>
      </c>
      <c r="F192" t="s">
        <v>628</v>
      </c>
      <c r="G192" t="s">
        <v>28</v>
      </c>
      <c r="H192" s="2">
        <v>45624</v>
      </c>
      <c r="I192" t="s">
        <v>29</v>
      </c>
      <c r="J192" t="s">
        <v>36</v>
      </c>
      <c r="K192" t="str">
        <f t="shared" ca="1" si="16"/>
        <v>OK</v>
      </c>
      <c r="L192" t="s">
        <v>629</v>
      </c>
      <c r="M192">
        <v>5</v>
      </c>
      <c r="N192" s="2">
        <v>46007</v>
      </c>
      <c r="O192" s="2" t="s">
        <v>22</v>
      </c>
      <c r="P192" s="4">
        <f t="shared" ca="1" si="14"/>
        <v>1</v>
      </c>
      <c r="Q192" s="4" t="str">
        <f t="shared" ca="1" si="15"/>
        <v>0-2 Years</v>
      </c>
      <c r="R192">
        <f t="shared" ca="1" si="17"/>
        <v>1</v>
      </c>
      <c r="S192" t="s">
        <v>22</v>
      </c>
      <c r="T192">
        <v>3</v>
      </c>
      <c r="U192" t="s">
        <v>1394</v>
      </c>
      <c r="V192" t="s">
        <v>1394</v>
      </c>
      <c r="W192" t="s">
        <v>1394</v>
      </c>
      <c r="X192" s="3">
        <v>5</v>
      </c>
      <c r="Y192" t="s">
        <v>1395</v>
      </c>
      <c r="Z192">
        <v>33191</v>
      </c>
      <c r="AA192">
        <v>0.1</v>
      </c>
      <c r="AB192">
        <v>36510.100000000006</v>
      </c>
    </row>
    <row r="193" spans="1:28" x14ac:dyDescent="0.35">
      <c r="A193" t="str">
        <f t="shared" si="12"/>
        <v>EMP0192</v>
      </c>
      <c r="B193" t="str" cm="1">
        <f t="array" ref="B193">_xlfn.IFS(
ROW()&lt;=421,"NA",
ROW()&lt;=781,"LATAM",
ROW()&lt;=1021,"EMEA",
TRUE,"APAC"
)</f>
        <v>NA</v>
      </c>
      <c r="C193" t="str">
        <f t="shared" si="13"/>
        <v>USA</v>
      </c>
      <c r="D193" t="s">
        <v>26</v>
      </c>
      <c r="E193" t="s">
        <v>380</v>
      </c>
      <c r="F193" t="s">
        <v>474</v>
      </c>
      <c r="G193" t="s">
        <v>28</v>
      </c>
      <c r="H193" s="2">
        <v>45616</v>
      </c>
      <c r="I193" t="s">
        <v>29</v>
      </c>
      <c r="J193" t="s">
        <v>30</v>
      </c>
      <c r="K193" t="str">
        <f t="shared" ca="1" si="16"/>
        <v>OK</v>
      </c>
      <c r="L193" t="s">
        <v>1018</v>
      </c>
      <c r="M193">
        <v>5</v>
      </c>
      <c r="N193" s="2">
        <v>46050</v>
      </c>
      <c r="O193" s="2" t="s">
        <v>22</v>
      </c>
      <c r="P193" s="4">
        <f t="shared" ca="1" si="14"/>
        <v>1</v>
      </c>
      <c r="Q193" s="4" t="str">
        <f t="shared" ca="1" si="15"/>
        <v>0-2 Years</v>
      </c>
      <c r="R193">
        <f t="shared" ca="1" si="17"/>
        <v>1</v>
      </c>
      <c r="S193" t="s">
        <v>22</v>
      </c>
      <c r="T193">
        <v>4</v>
      </c>
      <c r="U193" t="s">
        <v>1394</v>
      </c>
      <c r="V193" t="s">
        <v>1394</v>
      </c>
      <c r="W193" t="s">
        <v>1394</v>
      </c>
      <c r="X193" s="3">
        <v>2</v>
      </c>
      <c r="Y193" t="s">
        <v>1397</v>
      </c>
      <c r="Z193">
        <v>42728</v>
      </c>
      <c r="AA193">
        <v>0.1</v>
      </c>
      <c r="AB193">
        <v>47000.800000000003</v>
      </c>
    </row>
    <row r="194" spans="1:28" x14ac:dyDescent="0.35">
      <c r="A194" t="str">
        <f t="shared" ref="A194:A257" si="18">"EMP"&amp;TEXT(ROW()-1,"0000")</f>
        <v>EMP0193</v>
      </c>
      <c r="B194" t="str" cm="1">
        <f t="array" ref="B194">_xlfn.IFS(
ROW()&lt;=421,"NA",
ROW()&lt;=781,"LATAM",
ROW()&lt;=1021,"EMEA",
TRUE,"APAC"
)</f>
        <v>NA</v>
      </c>
      <c r="C194" t="str">
        <f t="shared" ref="C194:C257" si="19">IF(B194="NA","USA",
IF(B194="LATAM","Mexico",
IF(B194="EMEA","Germany","Singapore")))</f>
        <v>USA</v>
      </c>
      <c r="D194" t="s">
        <v>26</v>
      </c>
      <c r="E194" t="s">
        <v>380</v>
      </c>
      <c r="F194" t="s">
        <v>790</v>
      </c>
      <c r="G194" t="s">
        <v>28</v>
      </c>
      <c r="H194" s="2">
        <v>45615</v>
      </c>
      <c r="I194" t="s">
        <v>29</v>
      </c>
      <c r="J194" t="s">
        <v>30</v>
      </c>
      <c r="K194" t="str">
        <f t="shared" ca="1" si="16"/>
        <v>OK</v>
      </c>
      <c r="L194" t="s">
        <v>1138</v>
      </c>
      <c r="M194">
        <v>5</v>
      </c>
      <c r="N194" s="2">
        <v>46061</v>
      </c>
      <c r="O194" s="2" t="s">
        <v>22</v>
      </c>
      <c r="P194" s="4">
        <f t="shared" ref="P194:P257" ca="1" si="20">IF(H194&gt;TODAY(),
"",
IF(I194="Active",
DATEDIF(H194,TODAY(),"Y"),
DATEDIF(H194,O194,"Y")
))</f>
        <v>1</v>
      </c>
      <c r="Q194" s="4" t="str">
        <f t="shared" ref="Q194:Q257" ca="1" si="21">IF(P194&lt;=2,"0-2 Years",
IF(P194&lt;=5,"3-5 Years",
IF(P194&lt;=10,"6-10 Years","10+ Years")))</f>
        <v>0-2 Years</v>
      </c>
      <c r="R194">
        <f t="shared" ca="1" si="17"/>
        <v>1</v>
      </c>
      <c r="S194" t="s">
        <v>22</v>
      </c>
      <c r="T194">
        <v>4</v>
      </c>
      <c r="U194" t="s">
        <v>1396</v>
      </c>
      <c r="V194" t="s">
        <v>1394</v>
      </c>
      <c r="W194" t="s">
        <v>1394</v>
      </c>
      <c r="X194" s="3">
        <v>2</v>
      </c>
      <c r="Y194" t="s">
        <v>1397</v>
      </c>
      <c r="Z194">
        <v>35003</v>
      </c>
      <c r="AA194">
        <v>0.1</v>
      </c>
      <c r="AB194">
        <v>38503.300000000003</v>
      </c>
    </row>
    <row r="195" spans="1:28" x14ac:dyDescent="0.35">
      <c r="A195" t="str">
        <f t="shared" si="18"/>
        <v>EMP0194</v>
      </c>
      <c r="B195" t="str" cm="1">
        <f t="array" ref="B195">_xlfn.IFS(
ROW()&lt;=421,"NA",
ROW()&lt;=781,"LATAM",
ROW()&lt;=1021,"EMEA",
TRUE,"APAC"
)</f>
        <v>NA</v>
      </c>
      <c r="C195" t="str">
        <f t="shared" si="19"/>
        <v>USA</v>
      </c>
      <c r="D195" t="s">
        <v>32</v>
      </c>
      <c r="E195" t="s">
        <v>380</v>
      </c>
      <c r="F195" t="s">
        <v>706</v>
      </c>
      <c r="G195" t="s">
        <v>53</v>
      </c>
      <c r="H195" s="2">
        <v>45611</v>
      </c>
      <c r="I195" t="s">
        <v>29</v>
      </c>
      <c r="J195" t="s">
        <v>33</v>
      </c>
      <c r="K195" t="str">
        <f t="shared" ref="K195:K258" ca="1" si="22">IF(
OR(
H195="",
I195="",
AND(I195="Inactive",O195=""),
H195&gt;TODAY(),
Z195="",
F195="",
D195="",
X195&lt;1
),
"⚠ Review",
"OK"
)</f>
        <v>OK</v>
      </c>
      <c r="L195" t="s">
        <v>1295</v>
      </c>
      <c r="M195">
        <v>5</v>
      </c>
      <c r="N195" s="2">
        <v>46065</v>
      </c>
      <c r="O195" s="2" t="s">
        <v>22</v>
      </c>
      <c r="P195" s="4">
        <f t="shared" ca="1" si="20"/>
        <v>1</v>
      </c>
      <c r="Q195" s="4" t="str">
        <f t="shared" ca="1" si="21"/>
        <v>0-2 Years</v>
      </c>
      <c r="R195">
        <f t="shared" ref="R195:R258" ca="1" si="23">IF(P195&lt;=2,1,0)</f>
        <v>1</v>
      </c>
      <c r="S195" t="s">
        <v>22</v>
      </c>
      <c r="T195">
        <v>5</v>
      </c>
      <c r="U195" t="s">
        <v>1394</v>
      </c>
      <c r="V195" t="s">
        <v>1396</v>
      </c>
      <c r="W195" t="s">
        <v>1396</v>
      </c>
      <c r="X195" s="3">
        <v>5</v>
      </c>
      <c r="Y195" t="s">
        <v>1395</v>
      </c>
      <c r="Z195">
        <v>37451</v>
      </c>
      <c r="AA195">
        <v>0.1</v>
      </c>
      <c r="AB195">
        <v>41196.100000000006</v>
      </c>
    </row>
    <row r="196" spans="1:28" x14ac:dyDescent="0.35">
      <c r="A196" t="str">
        <f t="shared" si="18"/>
        <v>EMP0195</v>
      </c>
      <c r="B196" t="str" cm="1">
        <f t="array" ref="B196">_xlfn.IFS(
ROW()&lt;=421,"NA",
ROW()&lt;=781,"LATAM",
ROW()&lt;=1021,"EMEA",
TRUE,"APAC"
)</f>
        <v>NA</v>
      </c>
      <c r="C196" t="str">
        <f t="shared" si="19"/>
        <v>USA</v>
      </c>
      <c r="D196" t="s">
        <v>32</v>
      </c>
      <c r="E196" t="s">
        <v>145</v>
      </c>
      <c r="F196" t="s">
        <v>160</v>
      </c>
      <c r="G196" t="s">
        <v>28</v>
      </c>
      <c r="H196" s="2">
        <v>45609</v>
      </c>
      <c r="I196" t="s">
        <v>57</v>
      </c>
      <c r="J196" t="s">
        <v>33</v>
      </c>
      <c r="K196" t="str">
        <f t="shared" ca="1" si="22"/>
        <v>OK</v>
      </c>
      <c r="L196" t="s">
        <v>187</v>
      </c>
      <c r="M196">
        <v>4</v>
      </c>
      <c r="N196" s="2">
        <v>46073</v>
      </c>
      <c r="O196" s="2">
        <v>46071</v>
      </c>
      <c r="P196" s="4">
        <f t="shared" ca="1" si="20"/>
        <v>1</v>
      </c>
      <c r="Q196" s="4" t="str">
        <f t="shared" ca="1" si="21"/>
        <v>0-2 Years</v>
      </c>
      <c r="R196">
        <f t="shared" ca="1" si="23"/>
        <v>1</v>
      </c>
      <c r="S196" t="s">
        <v>24</v>
      </c>
      <c r="T196">
        <v>3</v>
      </c>
      <c r="U196" t="s">
        <v>1394</v>
      </c>
      <c r="V196" t="s">
        <v>1394</v>
      </c>
      <c r="W196" t="s">
        <v>1394</v>
      </c>
      <c r="X196" s="3">
        <v>3</v>
      </c>
      <c r="Y196" t="s">
        <v>1398</v>
      </c>
      <c r="Z196">
        <v>87599</v>
      </c>
      <c r="AA196">
        <v>0.15</v>
      </c>
      <c r="AB196">
        <v>100738.84999999999</v>
      </c>
    </row>
    <row r="197" spans="1:28" x14ac:dyDescent="0.35">
      <c r="A197" t="str">
        <f t="shared" si="18"/>
        <v>EMP0196</v>
      </c>
      <c r="B197" t="str" cm="1">
        <f t="array" ref="B197">_xlfn.IFS(
ROW()&lt;=421,"NA",
ROW()&lt;=781,"LATAM",
ROW()&lt;=1021,"EMEA",
TRUE,"APAC"
)</f>
        <v>NA</v>
      </c>
      <c r="C197" t="str">
        <f t="shared" si="19"/>
        <v>USA</v>
      </c>
      <c r="D197" t="s">
        <v>38</v>
      </c>
      <c r="E197" t="s">
        <v>380</v>
      </c>
      <c r="F197" t="s">
        <v>418</v>
      </c>
      <c r="G197" t="s">
        <v>53</v>
      </c>
      <c r="H197" s="2">
        <v>45607</v>
      </c>
      <c r="I197" t="s">
        <v>29</v>
      </c>
      <c r="J197" t="s">
        <v>39</v>
      </c>
      <c r="K197" t="str">
        <f t="shared" ca="1" si="22"/>
        <v>OK</v>
      </c>
      <c r="L197" t="s">
        <v>1233</v>
      </c>
      <c r="M197">
        <v>5</v>
      </c>
      <c r="N197" s="2">
        <v>46013</v>
      </c>
      <c r="O197" s="2" t="s">
        <v>22</v>
      </c>
      <c r="P197" s="4">
        <f t="shared" ca="1" si="20"/>
        <v>1</v>
      </c>
      <c r="Q197" s="4" t="str">
        <f t="shared" ca="1" si="21"/>
        <v>0-2 Years</v>
      </c>
      <c r="R197">
        <f t="shared" ca="1" si="23"/>
        <v>1</v>
      </c>
      <c r="S197" t="s">
        <v>22</v>
      </c>
      <c r="T197">
        <v>4</v>
      </c>
      <c r="U197" t="s">
        <v>1394</v>
      </c>
      <c r="V197" t="s">
        <v>1394</v>
      </c>
      <c r="W197" t="s">
        <v>1394</v>
      </c>
      <c r="X197" s="3">
        <v>5</v>
      </c>
      <c r="Y197" t="s">
        <v>1395</v>
      </c>
      <c r="Z197">
        <v>36083</v>
      </c>
      <c r="AA197">
        <v>0.1</v>
      </c>
      <c r="AB197">
        <v>39691.300000000003</v>
      </c>
    </row>
    <row r="198" spans="1:28" x14ac:dyDescent="0.35">
      <c r="A198" t="str">
        <f t="shared" si="18"/>
        <v>EMP0197</v>
      </c>
      <c r="B198" t="str" cm="1">
        <f t="array" ref="B198">_xlfn.IFS(
ROW()&lt;=421,"NA",
ROW()&lt;=781,"LATAM",
ROW()&lt;=1021,"EMEA",
TRUE,"APAC"
)</f>
        <v>NA</v>
      </c>
      <c r="C198" t="str">
        <f t="shared" si="19"/>
        <v>USA</v>
      </c>
      <c r="D198" t="s">
        <v>41</v>
      </c>
      <c r="E198" t="s">
        <v>380</v>
      </c>
      <c r="F198" t="s">
        <v>613</v>
      </c>
      <c r="G198" t="s">
        <v>28</v>
      </c>
      <c r="H198" s="2">
        <v>46027</v>
      </c>
      <c r="I198" t="s">
        <v>29</v>
      </c>
      <c r="J198" t="s">
        <v>42</v>
      </c>
      <c r="K198" t="str">
        <f t="shared" ca="1" si="22"/>
        <v>OK</v>
      </c>
      <c r="L198" t="s">
        <v>729</v>
      </c>
      <c r="M198">
        <v>5</v>
      </c>
      <c r="N198" s="2">
        <v>46041</v>
      </c>
      <c r="O198" s="2" t="s">
        <v>22</v>
      </c>
      <c r="P198" s="4">
        <f t="shared" ca="1" si="20"/>
        <v>0</v>
      </c>
      <c r="Q198" s="4" t="str">
        <f t="shared" ca="1" si="21"/>
        <v>0-2 Years</v>
      </c>
      <c r="R198">
        <f t="shared" ca="1" si="23"/>
        <v>1</v>
      </c>
      <c r="S198" t="s">
        <v>22</v>
      </c>
      <c r="T198">
        <v>4</v>
      </c>
      <c r="U198" t="s">
        <v>1394</v>
      </c>
      <c r="V198" t="s">
        <v>1394</v>
      </c>
      <c r="W198" t="s">
        <v>1394</v>
      </c>
      <c r="X198" s="3">
        <v>1</v>
      </c>
      <c r="Y198" t="s">
        <v>1397</v>
      </c>
      <c r="Z198">
        <v>23168</v>
      </c>
      <c r="AA198">
        <v>0.1</v>
      </c>
      <c r="AB198">
        <v>25484.800000000003</v>
      </c>
    </row>
    <row r="199" spans="1:28" x14ac:dyDescent="0.35">
      <c r="A199" t="str">
        <f t="shared" si="18"/>
        <v>EMP0198</v>
      </c>
      <c r="B199" t="str" cm="1">
        <f t="array" ref="B199">_xlfn.IFS(
ROW()&lt;=421,"NA",
ROW()&lt;=781,"LATAM",
ROW()&lt;=1021,"EMEA",
TRUE,"APAC"
)</f>
        <v>NA</v>
      </c>
      <c r="C199" t="str">
        <f t="shared" si="19"/>
        <v>USA</v>
      </c>
      <c r="D199" t="s">
        <v>26</v>
      </c>
      <c r="E199" t="s">
        <v>380</v>
      </c>
      <c r="F199" t="s">
        <v>476</v>
      </c>
      <c r="G199" t="s">
        <v>28</v>
      </c>
      <c r="H199" s="2">
        <v>46014</v>
      </c>
      <c r="I199" t="s">
        <v>29</v>
      </c>
      <c r="J199" t="s">
        <v>30</v>
      </c>
      <c r="K199" t="str">
        <f t="shared" ca="1" si="22"/>
        <v>OK</v>
      </c>
      <c r="L199" t="s">
        <v>758</v>
      </c>
      <c r="M199">
        <v>5</v>
      </c>
      <c r="N199" s="2">
        <v>46000</v>
      </c>
      <c r="O199" s="2" t="s">
        <v>22</v>
      </c>
      <c r="P199" s="4">
        <f t="shared" ca="1" si="20"/>
        <v>0</v>
      </c>
      <c r="Q199" s="4" t="str">
        <f t="shared" ca="1" si="21"/>
        <v>0-2 Years</v>
      </c>
      <c r="R199">
        <f t="shared" ca="1" si="23"/>
        <v>1</v>
      </c>
      <c r="S199" t="s">
        <v>22</v>
      </c>
      <c r="T199">
        <v>5</v>
      </c>
      <c r="U199" t="s">
        <v>1394</v>
      </c>
      <c r="V199" t="s">
        <v>1396</v>
      </c>
      <c r="W199" t="s">
        <v>1394</v>
      </c>
      <c r="X199" s="3">
        <v>1</v>
      </c>
      <c r="Y199" t="s">
        <v>1397</v>
      </c>
      <c r="Z199">
        <v>23921</v>
      </c>
      <c r="AA199">
        <v>0.1</v>
      </c>
      <c r="AB199">
        <v>26313.100000000002</v>
      </c>
    </row>
    <row r="200" spans="1:28" x14ac:dyDescent="0.35">
      <c r="A200" t="str">
        <f t="shared" si="18"/>
        <v>EMP0199</v>
      </c>
      <c r="B200" t="str" cm="1">
        <f t="array" ref="B200">_xlfn.IFS(
ROW()&lt;=421,"NA",
ROW()&lt;=781,"LATAM",
ROW()&lt;=1021,"EMEA",
TRUE,"APAC"
)</f>
        <v>NA</v>
      </c>
      <c r="C200" t="str">
        <f t="shared" si="19"/>
        <v>USA</v>
      </c>
      <c r="D200" t="s">
        <v>38</v>
      </c>
      <c r="E200" t="s">
        <v>145</v>
      </c>
      <c r="F200" t="s">
        <v>181</v>
      </c>
      <c r="G200" t="s">
        <v>28</v>
      </c>
      <c r="H200" s="2">
        <v>46005</v>
      </c>
      <c r="I200" t="s">
        <v>29</v>
      </c>
      <c r="J200" t="s">
        <v>39</v>
      </c>
      <c r="K200" t="str">
        <f t="shared" ca="1" si="22"/>
        <v>OK</v>
      </c>
      <c r="L200" t="s">
        <v>317</v>
      </c>
      <c r="M200">
        <v>4</v>
      </c>
      <c r="N200" s="2">
        <v>46075</v>
      </c>
      <c r="O200" s="2" t="s">
        <v>22</v>
      </c>
      <c r="P200" s="4">
        <f t="shared" ca="1" si="20"/>
        <v>0</v>
      </c>
      <c r="Q200" s="4" t="str">
        <f t="shared" ca="1" si="21"/>
        <v>0-2 Years</v>
      </c>
      <c r="R200">
        <f t="shared" ca="1" si="23"/>
        <v>1</v>
      </c>
      <c r="S200" t="s">
        <v>22</v>
      </c>
      <c r="T200">
        <v>3</v>
      </c>
      <c r="U200" t="s">
        <v>1394</v>
      </c>
      <c r="V200" t="s">
        <v>1394</v>
      </c>
      <c r="W200" t="s">
        <v>1394</v>
      </c>
      <c r="X200" s="3">
        <v>2</v>
      </c>
      <c r="Y200" t="s">
        <v>1397</v>
      </c>
      <c r="Z200">
        <v>70189</v>
      </c>
      <c r="AA200">
        <v>0.15</v>
      </c>
      <c r="AB200">
        <v>80717.349999999991</v>
      </c>
    </row>
    <row r="201" spans="1:28" x14ac:dyDescent="0.35">
      <c r="A201" t="str">
        <f t="shared" si="18"/>
        <v>EMP0200</v>
      </c>
      <c r="B201" t="str" cm="1">
        <f t="array" ref="B201">_xlfn.IFS(
ROW()&lt;=421,"NA",
ROW()&lt;=781,"LATAM",
ROW()&lt;=1021,"EMEA",
TRUE,"APAC"
)</f>
        <v>NA</v>
      </c>
      <c r="C201" t="str">
        <f t="shared" si="19"/>
        <v>USA</v>
      </c>
      <c r="D201" t="s">
        <v>41</v>
      </c>
      <c r="E201" t="s">
        <v>45</v>
      </c>
      <c r="F201" t="s">
        <v>56</v>
      </c>
      <c r="G201" t="s">
        <v>28</v>
      </c>
      <c r="H201" s="2">
        <v>45994</v>
      </c>
      <c r="I201" t="s">
        <v>57</v>
      </c>
      <c r="J201" t="s">
        <v>42</v>
      </c>
      <c r="K201" t="str">
        <f t="shared" ca="1" si="22"/>
        <v>OK</v>
      </c>
      <c r="L201" t="s">
        <v>58</v>
      </c>
      <c r="M201">
        <v>2</v>
      </c>
      <c r="N201" s="2">
        <v>46078</v>
      </c>
      <c r="O201" s="2">
        <v>46071</v>
      </c>
      <c r="P201" s="4">
        <f t="shared" ca="1" si="20"/>
        <v>0</v>
      </c>
      <c r="Q201" s="4" t="str">
        <f t="shared" ca="1" si="21"/>
        <v>0-2 Years</v>
      </c>
      <c r="R201">
        <f t="shared" ca="1" si="23"/>
        <v>1</v>
      </c>
      <c r="S201" t="s">
        <v>23</v>
      </c>
      <c r="T201">
        <v>2</v>
      </c>
      <c r="U201" t="s">
        <v>1394</v>
      </c>
      <c r="V201" t="s">
        <v>1396</v>
      </c>
      <c r="W201" t="s">
        <v>1396</v>
      </c>
      <c r="X201" s="3">
        <v>4</v>
      </c>
      <c r="Y201" t="s">
        <v>1395</v>
      </c>
      <c r="Z201">
        <v>164144</v>
      </c>
      <c r="AA201">
        <v>0.25</v>
      </c>
      <c r="AB201">
        <v>205180</v>
      </c>
    </row>
    <row r="202" spans="1:28" x14ac:dyDescent="0.35">
      <c r="A202" t="str">
        <f t="shared" si="18"/>
        <v>EMP0201</v>
      </c>
      <c r="B202" t="str" cm="1">
        <f t="array" ref="B202">_xlfn.IFS(
ROW()&lt;=421,"NA",
ROW()&lt;=781,"LATAM",
ROW()&lt;=1021,"EMEA",
TRUE,"APAC"
)</f>
        <v>NA</v>
      </c>
      <c r="C202" t="str">
        <f t="shared" si="19"/>
        <v>USA</v>
      </c>
      <c r="D202" t="s">
        <v>41</v>
      </c>
      <c r="E202" t="s">
        <v>380</v>
      </c>
      <c r="F202" t="s">
        <v>666</v>
      </c>
      <c r="G202" t="s">
        <v>28</v>
      </c>
      <c r="H202" s="2">
        <v>45989</v>
      </c>
      <c r="I202" t="s">
        <v>57</v>
      </c>
      <c r="J202" t="s">
        <v>42</v>
      </c>
      <c r="K202" t="str">
        <f t="shared" ca="1" si="22"/>
        <v>OK</v>
      </c>
      <c r="L202" t="s">
        <v>1045</v>
      </c>
      <c r="M202">
        <v>5</v>
      </c>
      <c r="N202" s="2">
        <v>45995</v>
      </c>
      <c r="O202" s="2">
        <v>46071</v>
      </c>
      <c r="P202" s="4">
        <f t="shared" ca="1" si="20"/>
        <v>0</v>
      </c>
      <c r="Q202" s="4" t="str">
        <f t="shared" ca="1" si="21"/>
        <v>0-2 Years</v>
      </c>
      <c r="R202">
        <f t="shared" ca="1" si="23"/>
        <v>1</v>
      </c>
      <c r="S202" t="s">
        <v>24</v>
      </c>
      <c r="T202">
        <v>3</v>
      </c>
      <c r="U202" t="s">
        <v>1394</v>
      </c>
      <c r="V202" t="s">
        <v>1394</v>
      </c>
      <c r="W202" t="s">
        <v>1394</v>
      </c>
      <c r="X202" s="3">
        <v>1</v>
      </c>
      <c r="Y202" t="s">
        <v>1397</v>
      </c>
      <c r="Z202">
        <v>26145</v>
      </c>
      <c r="AA202">
        <v>0.1</v>
      </c>
      <c r="AB202">
        <v>28759.500000000004</v>
      </c>
    </row>
    <row r="203" spans="1:28" x14ac:dyDescent="0.35">
      <c r="A203" t="str">
        <f t="shared" si="18"/>
        <v>EMP0202</v>
      </c>
      <c r="B203" t="str" cm="1">
        <f t="array" ref="B203">_xlfn.IFS(
ROW()&lt;=421,"NA",
ROW()&lt;=781,"LATAM",
ROW()&lt;=1021,"EMEA",
TRUE,"APAC"
)</f>
        <v>NA</v>
      </c>
      <c r="C203" t="str">
        <f t="shared" si="19"/>
        <v>USA</v>
      </c>
      <c r="D203" t="s">
        <v>41</v>
      </c>
      <c r="E203" t="s">
        <v>380</v>
      </c>
      <c r="F203" t="s">
        <v>460</v>
      </c>
      <c r="G203" t="s">
        <v>28</v>
      </c>
      <c r="H203" s="2">
        <v>46032</v>
      </c>
      <c r="I203" t="s">
        <v>29</v>
      </c>
      <c r="J203" t="s">
        <v>42</v>
      </c>
      <c r="K203" t="str">
        <f t="shared" ca="1" si="22"/>
        <v>OK</v>
      </c>
      <c r="L203" t="s">
        <v>1088</v>
      </c>
      <c r="M203">
        <v>5</v>
      </c>
      <c r="N203" s="2">
        <v>46074</v>
      </c>
      <c r="O203" s="2" t="s">
        <v>22</v>
      </c>
      <c r="P203" s="4">
        <f t="shared" ca="1" si="20"/>
        <v>0</v>
      </c>
      <c r="Q203" s="4" t="str">
        <f t="shared" ca="1" si="21"/>
        <v>0-2 Years</v>
      </c>
      <c r="R203">
        <f t="shared" ca="1" si="23"/>
        <v>1</v>
      </c>
      <c r="S203" t="s">
        <v>22</v>
      </c>
      <c r="T203">
        <v>2</v>
      </c>
      <c r="U203" t="s">
        <v>1394</v>
      </c>
      <c r="V203" t="s">
        <v>1394</v>
      </c>
      <c r="W203" t="s">
        <v>1394</v>
      </c>
      <c r="X203" s="3">
        <v>1</v>
      </c>
      <c r="Y203" t="s">
        <v>1397</v>
      </c>
      <c r="Z203">
        <v>32095</v>
      </c>
      <c r="AA203">
        <v>0.1</v>
      </c>
      <c r="AB203">
        <v>35304.5</v>
      </c>
    </row>
    <row r="204" spans="1:28" x14ac:dyDescent="0.35">
      <c r="A204" t="str">
        <f t="shared" si="18"/>
        <v>EMP0203</v>
      </c>
      <c r="B204" t="str" cm="1">
        <f t="array" ref="B204">_xlfn.IFS(
ROW()&lt;=421,"NA",
ROW()&lt;=781,"LATAM",
ROW()&lt;=1021,"EMEA",
TRUE,"APAC"
)</f>
        <v>NA</v>
      </c>
      <c r="C204" t="str">
        <f t="shared" si="19"/>
        <v>USA</v>
      </c>
      <c r="D204" t="s">
        <v>32</v>
      </c>
      <c r="E204" t="s">
        <v>380</v>
      </c>
      <c r="F204" t="s">
        <v>438</v>
      </c>
      <c r="G204" t="s">
        <v>28</v>
      </c>
      <c r="H204" s="2">
        <v>45977</v>
      </c>
      <c r="I204" t="s">
        <v>29</v>
      </c>
      <c r="J204" t="s">
        <v>33</v>
      </c>
      <c r="K204" t="str">
        <f t="shared" ca="1" si="22"/>
        <v>OK</v>
      </c>
      <c r="L204" t="s">
        <v>602</v>
      </c>
      <c r="M204">
        <v>5</v>
      </c>
      <c r="N204" s="2">
        <v>45992</v>
      </c>
      <c r="O204" s="2" t="s">
        <v>22</v>
      </c>
      <c r="P204" s="4">
        <f t="shared" ca="1" si="20"/>
        <v>0</v>
      </c>
      <c r="Q204" s="4" t="str">
        <f t="shared" ca="1" si="21"/>
        <v>0-2 Years</v>
      </c>
      <c r="R204">
        <f t="shared" ca="1" si="23"/>
        <v>1</v>
      </c>
      <c r="S204" t="s">
        <v>22</v>
      </c>
      <c r="T204">
        <v>2</v>
      </c>
      <c r="U204" t="s">
        <v>1394</v>
      </c>
      <c r="V204" t="s">
        <v>1394</v>
      </c>
      <c r="W204" t="s">
        <v>1394</v>
      </c>
      <c r="X204" s="3">
        <v>5</v>
      </c>
      <c r="Y204" t="s">
        <v>1395</v>
      </c>
      <c r="Z204">
        <v>43851</v>
      </c>
      <c r="AA204">
        <v>0.1</v>
      </c>
      <c r="AB204">
        <v>48236.100000000006</v>
      </c>
    </row>
    <row r="205" spans="1:28" x14ac:dyDescent="0.35">
      <c r="A205" t="str">
        <f t="shared" si="18"/>
        <v>EMP0204</v>
      </c>
      <c r="B205" t="str" cm="1">
        <f t="array" ref="B205">_xlfn.IFS(
ROW()&lt;=421,"NA",
ROW()&lt;=781,"LATAM",
ROW()&lt;=1021,"EMEA",
TRUE,"APAC"
)</f>
        <v>NA</v>
      </c>
      <c r="C205" t="str">
        <f t="shared" si="19"/>
        <v>USA</v>
      </c>
      <c r="D205" t="s">
        <v>44</v>
      </c>
      <c r="E205" t="s">
        <v>45</v>
      </c>
      <c r="F205" t="s">
        <v>46</v>
      </c>
      <c r="G205" t="s">
        <v>28</v>
      </c>
      <c r="H205" s="2">
        <v>45962</v>
      </c>
      <c r="I205" t="s">
        <v>29</v>
      </c>
      <c r="J205" t="s">
        <v>47</v>
      </c>
      <c r="K205" t="str">
        <f t="shared" ca="1" si="22"/>
        <v>OK</v>
      </c>
      <c r="L205" t="s">
        <v>48</v>
      </c>
      <c r="M205">
        <v>2</v>
      </c>
      <c r="N205" s="2">
        <v>46012</v>
      </c>
      <c r="O205" s="2" t="s">
        <v>22</v>
      </c>
      <c r="P205" s="4">
        <f t="shared" ca="1" si="20"/>
        <v>0</v>
      </c>
      <c r="Q205" s="4" t="str">
        <f t="shared" ca="1" si="21"/>
        <v>0-2 Years</v>
      </c>
      <c r="R205">
        <f t="shared" ca="1" si="23"/>
        <v>1</v>
      </c>
      <c r="S205" t="s">
        <v>22</v>
      </c>
      <c r="T205">
        <v>2</v>
      </c>
      <c r="U205" t="s">
        <v>1394</v>
      </c>
      <c r="V205" t="s">
        <v>1394</v>
      </c>
      <c r="W205" t="s">
        <v>1394</v>
      </c>
      <c r="X205" s="3">
        <v>5</v>
      </c>
      <c r="Y205" t="s">
        <v>1395</v>
      </c>
      <c r="Z205">
        <v>184098</v>
      </c>
      <c r="AA205">
        <v>0.25</v>
      </c>
      <c r="AB205">
        <v>230122.5</v>
      </c>
    </row>
    <row r="206" spans="1:28" x14ac:dyDescent="0.35">
      <c r="A206" t="str">
        <f t="shared" si="18"/>
        <v>EMP0205</v>
      </c>
      <c r="B206" t="str" cm="1">
        <f t="array" ref="B206">_xlfn.IFS(
ROW()&lt;=421,"NA",
ROW()&lt;=781,"LATAM",
ROW()&lt;=1021,"EMEA",
TRUE,"APAC"
)</f>
        <v>NA</v>
      </c>
      <c r="C206" t="str">
        <f t="shared" si="19"/>
        <v>USA</v>
      </c>
      <c r="D206" t="s">
        <v>38</v>
      </c>
      <c r="E206" t="s">
        <v>380</v>
      </c>
      <c r="F206" t="s">
        <v>412</v>
      </c>
      <c r="G206" t="s">
        <v>28</v>
      </c>
      <c r="H206" s="2">
        <v>45935</v>
      </c>
      <c r="I206" t="s">
        <v>29</v>
      </c>
      <c r="J206" t="s">
        <v>39</v>
      </c>
      <c r="K206" t="str">
        <f t="shared" ca="1" si="22"/>
        <v>OK</v>
      </c>
      <c r="L206" t="s">
        <v>1183</v>
      </c>
      <c r="M206">
        <v>5</v>
      </c>
      <c r="N206" s="2">
        <v>46044</v>
      </c>
      <c r="O206" s="2" t="s">
        <v>22</v>
      </c>
      <c r="P206" s="4">
        <f t="shared" ca="1" si="20"/>
        <v>0</v>
      </c>
      <c r="Q206" s="4" t="str">
        <f t="shared" ca="1" si="21"/>
        <v>0-2 Years</v>
      </c>
      <c r="R206">
        <f t="shared" ca="1" si="23"/>
        <v>1</v>
      </c>
      <c r="S206" t="s">
        <v>22</v>
      </c>
      <c r="T206">
        <v>5</v>
      </c>
      <c r="U206" t="s">
        <v>1394</v>
      </c>
      <c r="V206" t="s">
        <v>1394</v>
      </c>
      <c r="W206" t="s">
        <v>1394</v>
      </c>
      <c r="X206" s="3">
        <v>2</v>
      </c>
      <c r="Y206" t="s">
        <v>1397</v>
      </c>
      <c r="Z206">
        <v>31837</v>
      </c>
      <c r="AA206">
        <v>0.1</v>
      </c>
      <c r="AB206">
        <v>35020.700000000004</v>
      </c>
    </row>
    <row r="207" spans="1:28" x14ac:dyDescent="0.35">
      <c r="A207" t="str">
        <f t="shared" si="18"/>
        <v>EMP0206</v>
      </c>
      <c r="B207" t="str" cm="1">
        <f t="array" ref="B207">_xlfn.IFS(
ROW()&lt;=421,"NA",
ROW()&lt;=781,"LATAM",
ROW()&lt;=1021,"EMEA",
TRUE,"APAC"
)</f>
        <v>NA</v>
      </c>
      <c r="C207" t="str">
        <f t="shared" si="19"/>
        <v>USA</v>
      </c>
      <c r="D207" t="s">
        <v>35</v>
      </c>
      <c r="E207" t="s">
        <v>145</v>
      </c>
      <c r="F207" t="s">
        <v>216</v>
      </c>
      <c r="G207" t="s">
        <v>28</v>
      </c>
      <c r="H207" s="2">
        <v>45566</v>
      </c>
      <c r="I207" t="s">
        <v>29</v>
      </c>
      <c r="J207" t="s">
        <v>36</v>
      </c>
      <c r="K207" t="str">
        <f t="shared" ca="1" si="22"/>
        <v>OK</v>
      </c>
      <c r="L207" t="s">
        <v>257</v>
      </c>
      <c r="M207">
        <v>4</v>
      </c>
      <c r="N207" s="2">
        <v>46059</v>
      </c>
      <c r="O207" s="2" t="s">
        <v>22</v>
      </c>
      <c r="P207" s="4">
        <f t="shared" ca="1" si="20"/>
        <v>1</v>
      </c>
      <c r="Q207" s="4" t="str">
        <f t="shared" ca="1" si="21"/>
        <v>0-2 Years</v>
      </c>
      <c r="R207">
        <f t="shared" ca="1" si="23"/>
        <v>1</v>
      </c>
      <c r="S207" t="s">
        <v>22</v>
      </c>
      <c r="T207">
        <v>2</v>
      </c>
      <c r="U207" t="s">
        <v>1394</v>
      </c>
      <c r="V207" t="s">
        <v>1394</v>
      </c>
      <c r="W207" t="s">
        <v>1394</v>
      </c>
      <c r="X207" s="3">
        <v>1</v>
      </c>
      <c r="Y207" t="s">
        <v>1397</v>
      </c>
      <c r="Z207">
        <v>74200</v>
      </c>
      <c r="AA207">
        <v>0.15</v>
      </c>
      <c r="AB207">
        <v>85330</v>
      </c>
    </row>
    <row r="208" spans="1:28" x14ac:dyDescent="0.35">
      <c r="A208" t="str">
        <f t="shared" si="18"/>
        <v>EMP0207</v>
      </c>
      <c r="B208" t="str" cm="1">
        <f t="array" ref="B208">_xlfn.IFS(
ROW()&lt;=421,"NA",
ROW()&lt;=781,"LATAM",
ROW()&lt;=1021,"EMEA",
TRUE,"APAC"
)</f>
        <v>NA</v>
      </c>
      <c r="C208" t="str">
        <f t="shared" si="19"/>
        <v>USA</v>
      </c>
      <c r="D208" t="s">
        <v>32</v>
      </c>
      <c r="E208" t="s">
        <v>380</v>
      </c>
      <c r="F208" t="s">
        <v>582</v>
      </c>
      <c r="G208" t="s">
        <v>28</v>
      </c>
      <c r="H208" s="2">
        <v>43296</v>
      </c>
      <c r="I208" t="s">
        <v>29</v>
      </c>
      <c r="J208" t="s">
        <v>33</v>
      </c>
      <c r="K208" t="str">
        <f t="shared" ca="1" si="22"/>
        <v>OK</v>
      </c>
      <c r="L208" t="s">
        <v>1037</v>
      </c>
      <c r="M208">
        <v>5</v>
      </c>
      <c r="N208" s="2">
        <v>46025</v>
      </c>
      <c r="O208" s="2" t="s">
        <v>22</v>
      </c>
      <c r="P208" s="4">
        <f t="shared" ca="1" si="20"/>
        <v>7</v>
      </c>
      <c r="Q208" s="4" t="str">
        <f t="shared" ca="1" si="21"/>
        <v>6-10 Years</v>
      </c>
      <c r="R208">
        <f t="shared" ca="1" si="23"/>
        <v>0</v>
      </c>
      <c r="S208" t="s">
        <v>22</v>
      </c>
      <c r="T208">
        <v>4</v>
      </c>
      <c r="U208" t="s">
        <v>1394</v>
      </c>
      <c r="V208" t="s">
        <v>1394</v>
      </c>
      <c r="W208" t="s">
        <v>1394</v>
      </c>
      <c r="X208" s="3">
        <v>5</v>
      </c>
      <c r="Y208" t="s">
        <v>1395</v>
      </c>
      <c r="Z208">
        <v>40211</v>
      </c>
      <c r="AA208">
        <v>0.1</v>
      </c>
      <c r="AB208">
        <v>44232.100000000006</v>
      </c>
    </row>
    <row r="209" spans="1:28" x14ac:dyDescent="0.35">
      <c r="A209" t="str">
        <f t="shared" si="18"/>
        <v>EMP0208</v>
      </c>
      <c r="B209" t="str" cm="1">
        <f t="array" ref="B209">_xlfn.IFS(
ROW()&lt;=421,"NA",
ROW()&lt;=781,"LATAM",
ROW()&lt;=1021,"EMEA",
TRUE,"APAC"
)</f>
        <v>NA</v>
      </c>
      <c r="C209" t="str">
        <f t="shared" si="19"/>
        <v>USA</v>
      </c>
      <c r="D209" t="s">
        <v>44</v>
      </c>
      <c r="E209" t="s">
        <v>380</v>
      </c>
      <c r="F209" t="s">
        <v>438</v>
      </c>
      <c r="G209" t="s">
        <v>28</v>
      </c>
      <c r="H209" s="2">
        <v>45561</v>
      </c>
      <c r="I209" t="s">
        <v>29</v>
      </c>
      <c r="J209" t="s">
        <v>47</v>
      </c>
      <c r="K209" t="str">
        <f t="shared" ca="1" si="22"/>
        <v>OK</v>
      </c>
      <c r="L209" t="s">
        <v>1370</v>
      </c>
      <c r="M209">
        <v>5</v>
      </c>
      <c r="N209" s="2">
        <v>46073</v>
      </c>
      <c r="O209" s="2" t="s">
        <v>22</v>
      </c>
      <c r="P209" s="4">
        <f t="shared" ca="1" si="20"/>
        <v>1</v>
      </c>
      <c r="Q209" s="4" t="str">
        <f t="shared" ca="1" si="21"/>
        <v>0-2 Years</v>
      </c>
      <c r="R209">
        <f t="shared" ca="1" si="23"/>
        <v>1</v>
      </c>
      <c r="S209" t="s">
        <v>22</v>
      </c>
      <c r="T209">
        <v>3</v>
      </c>
      <c r="U209" t="s">
        <v>1394</v>
      </c>
      <c r="V209" t="s">
        <v>1396</v>
      </c>
      <c r="W209" t="s">
        <v>1396</v>
      </c>
      <c r="X209" s="3">
        <v>1</v>
      </c>
      <c r="Y209" t="s">
        <v>1397</v>
      </c>
      <c r="Z209">
        <v>31246</v>
      </c>
      <c r="AA209">
        <v>0.1</v>
      </c>
      <c r="AB209">
        <v>34370.600000000006</v>
      </c>
    </row>
    <row r="210" spans="1:28" x14ac:dyDescent="0.35">
      <c r="A210" t="str">
        <f t="shared" si="18"/>
        <v>EMP0209</v>
      </c>
      <c r="B210" t="str" cm="1">
        <f t="array" ref="B210">_xlfn.IFS(
ROW()&lt;=421,"NA",
ROW()&lt;=781,"LATAM",
ROW()&lt;=1021,"EMEA",
TRUE,"APAC"
)</f>
        <v>NA</v>
      </c>
      <c r="C210" t="str">
        <f t="shared" si="19"/>
        <v>USA</v>
      </c>
      <c r="D210" t="s">
        <v>41</v>
      </c>
      <c r="E210" t="s">
        <v>380</v>
      </c>
      <c r="F210" t="s">
        <v>543</v>
      </c>
      <c r="G210" t="s">
        <v>28</v>
      </c>
      <c r="H210" s="2">
        <v>45559</v>
      </c>
      <c r="I210" t="s">
        <v>57</v>
      </c>
      <c r="J210" t="s">
        <v>42</v>
      </c>
      <c r="K210" t="str">
        <f t="shared" ca="1" si="22"/>
        <v>OK</v>
      </c>
      <c r="L210" t="s">
        <v>1082</v>
      </c>
      <c r="M210">
        <v>5</v>
      </c>
      <c r="N210" s="2">
        <v>46059</v>
      </c>
      <c r="O210" s="2">
        <v>46071</v>
      </c>
      <c r="P210" s="4">
        <f t="shared" ca="1" si="20"/>
        <v>1</v>
      </c>
      <c r="Q210" s="4" t="str">
        <f t="shared" ca="1" si="21"/>
        <v>0-2 Years</v>
      </c>
      <c r="R210">
        <f t="shared" ca="1" si="23"/>
        <v>1</v>
      </c>
      <c r="S210" t="s">
        <v>24</v>
      </c>
      <c r="T210">
        <v>4</v>
      </c>
      <c r="U210" t="s">
        <v>1394</v>
      </c>
      <c r="V210" t="s">
        <v>1394</v>
      </c>
      <c r="W210" t="s">
        <v>1394</v>
      </c>
      <c r="X210" s="3">
        <v>3</v>
      </c>
      <c r="Y210" t="s">
        <v>1398</v>
      </c>
      <c r="Z210">
        <v>35629</v>
      </c>
      <c r="AA210">
        <v>0.1</v>
      </c>
      <c r="AB210">
        <v>39191.9</v>
      </c>
    </row>
    <row r="211" spans="1:28" x14ac:dyDescent="0.35">
      <c r="A211" t="str">
        <f t="shared" si="18"/>
        <v>EMP0210</v>
      </c>
      <c r="B211" t="str" cm="1">
        <f t="array" ref="B211">_xlfn.IFS(
ROW()&lt;=421,"NA",
ROW()&lt;=781,"LATAM",
ROW()&lt;=1021,"EMEA",
TRUE,"APAC"
)</f>
        <v>NA</v>
      </c>
      <c r="C211" t="str">
        <f t="shared" si="19"/>
        <v>USA</v>
      </c>
      <c r="D211" t="s">
        <v>38</v>
      </c>
      <c r="E211" t="s">
        <v>380</v>
      </c>
      <c r="F211" t="s">
        <v>570</v>
      </c>
      <c r="G211" t="s">
        <v>53</v>
      </c>
      <c r="H211" s="2">
        <v>45557</v>
      </c>
      <c r="I211" t="s">
        <v>29</v>
      </c>
      <c r="J211" t="s">
        <v>39</v>
      </c>
      <c r="K211" t="str">
        <f t="shared" ca="1" si="22"/>
        <v>OK</v>
      </c>
      <c r="L211" t="s">
        <v>801</v>
      </c>
      <c r="M211">
        <v>5</v>
      </c>
      <c r="N211" s="2">
        <v>46044</v>
      </c>
      <c r="O211" s="2" t="s">
        <v>22</v>
      </c>
      <c r="P211" s="4">
        <f t="shared" ca="1" si="20"/>
        <v>1</v>
      </c>
      <c r="Q211" s="4" t="str">
        <f t="shared" ca="1" si="21"/>
        <v>0-2 Years</v>
      </c>
      <c r="R211">
        <f t="shared" ca="1" si="23"/>
        <v>1</v>
      </c>
      <c r="S211" t="s">
        <v>22</v>
      </c>
      <c r="T211">
        <v>4</v>
      </c>
      <c r="U211" t="s">
        <v>1396</v>
      </c>
      <c r="V211" t="s">
        <v>1394</v>
      </c>
      <c r="W211" t="s">
        <v>1394</v>
      </c>
      <c r="X211" s="3">
        <v>2</v>
      </c>
      <c r="Y211" t="s">
        <v>1397</v>
      </c>
      <c r="Z211">
        <v>34283</v>
      </c>
      <c r="AA211">
        <v>0.1</v>
      </c>
      <c r="AB211">
        <v>37711.300000000003</v>
      </c>
    </row>
    <row r="212" spans="1:28" x14ac:dyDescent="0.35">
      <c r="A212" t="str">
        <f t="shared" si="18"/>
        <v>EMP0211</v>
      </c>
      <c r="B212" t="str" cm="1">
        <f t="array" ref="B212">_xlfn.IFS(
ROW()&lt;=421,"NA",
ROW()&lt;=781,"LATAM",
ROW()&lt;=1021,"EMEA",
TRUE,"APAC"
)</f>
        <v>NA</v>
      </c>
      <c r="C212" t="str">
        <f t="shared" si="19"/>
        <v>USA</v>
      </c>
      <c r="D212" t="s">
        <v>35</v>
      </c>
      <c r="E212" t="s">
        <v>380</v>
      </c>
      <c r="F212" t="s">
        <v>479</v>
      </c>
      <c r="G212" t="s">
        <v>28</v>
      </c>
      <c r="H212" s="2">
        <v>45555</v>
      </c>
      <c r="I212" t="s">
        <v>29</v>
      </c>
      <c r="J212" t="s">
        <v>36</v>
      </c>
      <c r="K212" t="str">
        <f t="shared" ca="1" si="22"/>
        <v>OK</v>
      </c>
      <c r="L212" t="s">
        <v>867</v>
      </c>
      <c r="M212">
        <v>5</v>
      </c>
      <c r="N212" s="2">
        <v>46001</v>
      </c>
      <c r="O212" s="2" t="s">
        <v>22</v>
      </c>
      <c r="P212" s="4">
        <f t="shared" ca="1" si="20"/>
        <v>1</v>
      </c>
      <c r="Q212" s="4" t="str">
        <f t="shared" ca="1" si="21"/>
        <v>0-2 Years</v>
      </c>
      <c r="R212">
        <f t="shared" ca="1" si="23"/>
        <v>1</v>
      </c>
      <c r="S212" t="s">
        <v>22</v>
      </c>
      <c r="T212">
        <v>3</v>
      </c>
      <c r="U212" t="s">
        <v>1394</v>
      </c>
      <c r="V212" t="s">
        <v>1396</v>
      </c>
      <c r="W212" t="s">
        <v>1394</v>
      </c>
      <c r="X212" s="3">
        <v>4</v>
      </c>
      <c r="Y212" t="s">
        <v>1395</v>
      </c>
      <c r="Z212">
        <v>20312</v>
      </c>
      <c r="AA212">
        <v>0.1</v>
      </c>
      <c r="AB212">
        <v>22343.200000000001</v>
      </c>
    </row>
    <row r="213" spans="1:28" x14ac:dyDescent="0.35">
      <c r="A213" t="str">
        <f t="shared" si="18"/>
        <v>EMP0212</v>
      </c>
      <c r="B213" t="str" cm="1">
        <f t="array" ref="B213">_xlfn.IFS(
ROW()&lt;=421,"NA",
ROW()&lt;=781,"LATAM",
ROW()&lt;=1021,"EMEA",
TRUE,"APAC"
)</f>
        <v>NA</v>
      </c>
      <c r="C213" t="str">
        <f t="shared" si="19"/>
        <v>USA</v>
      </c>
      <c r="D213" t="s">
        <v>26</v>
      </c>
      <c r="E213" t="s">
        <v>69</v>
      </c>
      <c r="F213" t="s">
        <v>79</v>
      </c>
      <c r="G213" t="s">
        <v>28</v>
      </c>
      <c r="H213" s="2">
        <v>45554</v>
      </c>
      <c r="I213" t="s">
        <v>29</v>
      </c>
      <c r="J213" t="s">
        <v>30</v>
      </c>
      <c r="K213" t="str">
        <f t="shared" ca="1" si="22"/>
        <v>OK</v>
      </c>
      <c r="L213" t="s">
        <v>105</v>
      </c>
      <c r="M213">
        <v>3</v>
      </c>
      <c r="N213" s="2">
        <v>45998</v>
      </c>
      <c r="O213" s="2" t="s">
        <v>22</v>
      </c>
      <c r="P213" s="4">
        <f t="shared" ca="1" si="20"/>
        <v>1</v>
      </c>
      <c r="Q213" s="4" t="str">
        <f t="shared" ca="1" si="21"/>
        <v>0-2 Years</v>
      </c>
      <c r="R213">
        <f t="shared" ca="1" si="23"/>
        <v>1</v>
      </c>
      <c r="S213" t="s">
        <v>22</v>
      </c>
      <c r="T213">
        <v>2</v>
      </c>
      <c r="U213" t="s">
        <v>1394</v>
      </c>
      <c r="V213" t="s">
        <v>1394</v>
      </c>
      <c r="W213" t="s">
        <v>1394</v>
      </c>
      <c r="X213" s="3">
        <v>2</v>
      </c>
      <c r="Y213" t="s">
        <v>1397</v>
      </c>
      <c r="Z213">
        <v>133074</v>
      </c>
      <c r="AA213">
        <v>0.2</v>
      </c>
      <c r="AB213">
        <v>159688.79999999999</v>
      </c>
    </row>
    <row r="214" spans="1:28" x14ac:dyDescent="0.35">
      <c r="A214" t="str">
        <f t="shared" si="18"/>
        <v>EMP0213</v>
      </c>
      <c r="B214" t="str" cm="1">
        <f t="array" ref="B214">_xlfn.IFS(
ROW()&lt;=421,"NA",
ROW()&lt;=781,"LATAM",
ROW()&lt;=1021,"EMEA",
TRUE,"APAC"
)</f>
        <v>NA</v>
      </c>
      <c r="C214" t="str">
        <f t="shared" si="19"/>
        <v>USA</v>
      </c>
      <c r="D214" t="s">
        <v>26</v>
      </c>
      <c r="E214" t="s">
        <v>380</v>
      </c>
      <c r="F214" t="s">
        <v>611</v>
      </c>
      <c r="G214" t="s">
        <v>28</v>
      </c>
      <c r="H214" s="2">
        <v>45546</v>
      </c>
      <c r="I214" t="s">
        <v>57</v>
      </c>
      <c r="J214" t="s">
        <v>30</v>
      </c>
      <c r="K214" t="str">
        <f t="shared" ca="1" si="22"/>
        <v>⚠ Review</v>
      </c>
      <c r="L214" t="s">
        <v>1166</v>
      </c>
      <c r="M214">
        <v>5</v>
      </c>
      <c r="N214" s="2">
        <v>46018</v>
      </c>
      <c r="O214" s="2">
        <v>46071</v>
      </c>
      <c r="P214" s="4">
        <f t="shared" ca="1" si="20"/>
        <v>1</v>
      </c>
      <c r="Q214" s="4" t="str">
        <f t="shared" ca="1" si="21"/>
        <v>0-2 Years</v>
      </c>
      <c r="R214">
        <f t="shared" ca="1" si="23"/>
        <v>1</v>
      </c>
      <c r="S214" t="s">
        <v>23</v>
      </c>
      <c r="T214">
        <v>2</v>
      </c>
      <c r="U214" t="s">
        <v>1396</v>
      </c>
      <c r="V214" t="s">
        <v>1394</v>
      </c>
      <c r="W214" t="s">
        <v>1394</v>
      </c>
      <c r="X214" s="3">
        <v>0</v>
      </c>
      <c r="Y214" t="s">
        <v>1397</v>
      </c>
      <c r="Z214">
        <v>38740</v>
      </c>
      <c r="AA214">
        <v>0.1</v>
      </c>
      <c r="AB214">
        <v>42614</v>
      </c>
    </row>
    <row r="215" spans="1:28" x14ac:dyDescent="0.35">
      <c r="A215" t="str">
        <f t="shared" si="18"/>
        <v>EMP0214</v>
      </c>
      <c r="B215" t="str" cm="1">
        <f t="array" ref="B215">_xlfn.IFS(
ROW()&lt;=421,"NA",
ROW()&lt;=781,"LATAM",
ROW()&lt;=1021,"EMEA",
TRUE,"APAC"
)</f>
        <v>NA</v>
      </c>
      <c r="C215" t="str">
        <f t="shared" si="19"/>
        <v>USA</v>
      </c>
      <c r="D215" t="s">
        <v>32</v>
      </c>
      <c r="E215" t="s">
        <v>69</v>
      </c>
      <c r="F215" t="s">
        <v>86</v>
      </c>
      <c r="G215" t="s">
        <v>28</v>
      </c>
      <c r="H215" s="2">
        <v>43097</v>
      </c>
      <c r="I215" t="s">
        <v>29</v>
      </c>
      <c r="J215" t="s">
        <v>33</v>
      </c>
      <c r="K215" t="str">
        <f t="shared" ca="1" si="22"/>
        <v>OK</v>
      </c>
      <c r="L215" t="s">
        <v>106</v>
      </c>
      <c r="M215">
        <v>3</v>
      </c>
      <c r="N215" s="2">
        <v>46014</v>
      </c>
      <c r="O215" s="2" t="s">
        <v>22</v>
      </c>
      <c r="P215" s="4">
        <f t="shared" ca="1" si="20"/>
        <v>8</v>
      </c>
      <c r="Q215" s="4" t="str">
        <f t="shared" ca="1" si="21"/>
        <v>6-10 Years</v>
      </c>
      <c r="R215">
        <f t="shared" ca="1" si="23"/>
        <v>0</v>
      </c>
      <c r="S215" t="s">
        <v>22</v>
      </c>
      <c r="T215">
        <v>4</v>
      </c>
      <c r="U215" t="s">
        <v>1394</v>
      </c>
      <c r="V215" t="s">
        <v>1394</v>
      </c>
      <c r="W215" t="s">
        <v>1394</v>
      </c>
      <c r="X215" s="3">
        <v>4</v>
      </c>
      <c r="Y215" t="s">
        <v>1395</v>
      </c>
      <c r="Z215">
        <v>96313</v>
      </c>
      <c r="AA215">
        <v>0.2</v>
      </c>
      <c r="AB215">
        <v>115575.59999999999</v>
      </c>
    </row>
    <row r="216" spans="1:28" x14ac:dyDescent="0.35">
      <c r="A216" t="str">
        <f t="shared" si="18"/>
        <v>EMP0215</v>
      </c>
      <c r="B216" t="str" cm="1">
        <f t="array" ref="B216">_xlfn.IFS(
ROW()&lt;=421,"NA",
ROW()&lt;=781,"LATAM",
ROW()&lt;=1021,"EMEA",
TRUE,"APAC"
)</f>
        <v>NA</v>
      </c>
      <c r="C216" t="str">
        <f t="shared" si="19"/>
        <v>USA</v>
      </c>
      <c r="D216" t="s">
        <v>26</v>
      </c>
      <c r="E216" t="s">
        <v>69</v>
      </c>
      <c r="F216" t="s">
        <v>76</v>
      </c>
      <c r="G216" t="s">
        <v>28</v>
      </c>
      <c r="H216" s="2">
        <v>45543</v>
      </c>
      <c r="I216" t="s">
        <v>29</v>
      </c>
      <c r="J216" t="s">
        <v>30</v>
      </c>
      <c r="K216" t="str">
        <f t="shared" ca="1" si="22"/>
        <v>OK</v>
      </c>
      <c r="L216" t="s">
        <v>111</v>
      </c>
      <c r="M216">
        <v>3</v>
      </c>
      <c r="N216" s="2">
        <v>46028</v>
      </c>
      <c r="O216" s="2" t="s">
        <v>22</v>
      </c>
      <c r="P216" s="4">
        <f t="shared" ca="1" si="20"/>
        <v>1</v>
      </c>
      <c r="Q216" s="4" t="str">
        <f t="shared" ca="1" si="21"/>
        <v>0-2 Years</v>
      </c>
      <c r="R216">
        <f t="shared" ca="1" si="23"/>
        <v>1</v>
      </c>
      <c r="S216" t="s">
        <v>22</v>
      </c>
      <c r="T216">
        <v>3</v>
      </c>
      <c r="U216" t="s">
        <v>1396</v>
      </c>
      <c r="V216" t="s">
        <v>1394</v>
      </c>
      <c r="W216" t="s">
        <v>1394</v>
      </c>
      <c r="X216" s="3">
        <v>1</v>
      </c>
      <c r="Y216" t="s">
        <v>1397</v>
      </c>
      <c r="Z216">
        <v>137359</v>
      </c>
      <c r="AA216">
        <v>0.2</v>
      </c>
      <c r="AB216">
        <v>164830.79999999999</v>
      </c>
    </row>
    <row r="217" spans="1:28" x14ac:dyDescent="0.35">
      <c r="A217" t="str">
        <f t="shared" si="18"/>
        <v>EMP0216</v>
      </c>
      <c r="B217" t="str" cm="1">
        <f t="array" ref="B217">_xlfn.IFS(
ROW()&lt;=421,"NA",
ROW()&lt;=781,"LATAM",
ROW()&lt;=1021,"EMEA",
TRUE,"APAC"
)</f>
        <v>NA</v>
      </c>
      <c r="C217" t="str">
        <f t="shared" si="19"/>
        <v>USA</v>
      </c>
      <c r="D217" t="s">
        <v>41</v>
      </c>
      <c r="E217" t="s">
        <v>380</v>
      </c>
      <c r="F217" t="s">
        <v>638</v>
      </c>
      <c r="G217" t="s">
        <v>28</v>
      </c>
      <c r="H217" s="2">
        <v>45675</v>
      </c>
      <c r="I217" t="s">
        <v>29</v>
      </c>
      <c r="J217" t="s">
        <v>42</v>
      </c>
      <c r="K217" t="str">
        <f t="shared" ca="1" si="22"/>
        <v>OK</v>
      </c>
      <c r="L217" t="s">
        <v>1292</v>
      </c>
      <c r="M217">
        <v>5</v>
      </c>
      <c r="N217" s="2">
        <v>46077</v>
      </c>
      <c r="O217" s="2" t="s">
        <v>22</v>
      </c>
      <c r="P217" s="4">
        <f t="shared" ca="1" si="20"/>
        <v>1</v>
      </c>
      <c r="Q217" s="4" t="str">
        <f t="shared" ca="1" si="21"/>
        <v>0-2 Years</v>
      </c>
      <c r="R217">
        <f t="shared" ca="1" si="23"/>
        <v>1</v>
      </c>
      <c r="S217" t="s">
        <v>22</v>
      </c>
      <c r="T217">
        <v>4</v>
      </c>
      <c r="U217" t="s">
        <v>1394</v>
      </c>
      <c r="V217" t="s">
        <v>1396</v>
      </c>
      <c r="W217" t="s">
        <v>1394</v>
      </c>
      <c r="X217" s="3">
        <v>1</v>
      </c>
      <c r="Y217" t="s">
        <v>1397</v>
      </c>
      <c r="Z217">
        <v>24937</v>
      </c>
      <c r="AA217">
        <v>0.1</v>
      </c>
      <c r="AB217">
        <v>27430.7</v>
      </c>
    </row>
    <row r="218" spans="1:28" x14ac:dyDescent="0.35">
      <c r="A218" t="str">
        <f t="shared" si="18"/>
        <v>EMP0217</v>
      </c>
      <c r="B218" t="str" cm="1">
        <f t="array" ref="B218">_xlfn.IFS(
ROW()&lt;=421,"NA",
ROW()&lt;=781,"LATAM",
ROW()&lt;=1021,"EMEA",
TRUE,"APAC"
)</f>
        <v>NA</v>
      </c>
      <c r="C218" t="str">
        <f t="shared" si="19"/>
        <v>USA</v>
      </c>
      <c r="D218" t="s">
        <v>26</v>
      </c>
      <c r="E218" t="s">
        <v>380</v>
      </c>
      <c r="F218" t="s">
        <v>828</v>
      </c>
      <c r="G218" t="s">
        <v>28</v>
      </c>
      <c r="H218" s="2">
        <v>45537</v>
      </c>
      <c r="I218" t="s">
        <v>29</v>
      </c>
      <c r="J218" t="s">
        <v>30</v>
      </c>
      <c r="K218" t="str">
        <f t="shared" ca="1" si="22"/>
        <v>OK</v>
      </c>
      <c r="L218" t="s">
        <v>844</v>
      </c>
      <c r="M218">
        <v>5</v>
      </c>
      <c r="N218" s="2">
        <v>45993</v>
      </c>
      <c r="O218" s="2" t="s">
        <v>22</v>
      </c>
      <c r="P218" s="4">
        <f t="shared" ca="1" si="20"/>
        <v>1</v>
      </c>
      <c r="Q218" s="4" t="str">
        <f t="shared" ca="1" si="21"/>
        <v>0-2 Years</v>
      </c>
      <c r="R218">
        <f t="shared" ca="1" si="23"/>
        <v>1</v>
      </c>
      <c r="S218" t="s">
        <v>22</v>
      </c>
      <c r="T218">
        <v>3</v>
      </c>
      <c r="U218" t="s">
        <v>1394</v>
      </c>
      <c r="V218" t="s">
        <v>1394</v>
      </c>
      <c r="W218" t="s">
        <v>1394</v>
      </c>
      <c r="X218" s="3">
        <v>1</v>
      </c>
      <c r="Y218" t="s">
        <v>1397</v>
      </c>
      <c r="Z218">
        <v>39596</v>
      </c>
      <c r="AA218">
        <v>0.1</v>
      </c>
      <c r="AB218">
        <v>43555.600000000006</v>
      </c>
    </row>
    <row r="219" spans="1:28" x14ac:dyDescent="0.35">
      <c r="A219" t="str">
        <f t="shared" si="18"/>
        <v>EMP0218</v>
      </c>
      <c r="B219" t="str" cm="1">
        <f t="array" ref="B219">_xlfn.IFS(
ROW()&lt;=421,"NA",
ROW()&lt;=781,"LATAM",
ROW()&lt;=1021,"EMEA",
TRUE,"APAC"
)</f>
        <v>NA</v>
      </c>
      <c r="C219" t="str">
        <f t="shared" si="19"/>
        <v>USA</v>
      </c>
      <c r="D219" t="s">
        <v>38</v>
      </c>
      <c r="E219" t="s">
        <v>380</v>
      </c>
      <c r="F219" t="s">
        <v>722</v>
      </c>
      <c r="G219" t="s">
        <v>53</v>
      </c>
      <c r="H219" s="2">
        <v>45531</v>
      </c>
      <c r="I219" t="s">
        <v>29</v>
      </c>
      <c r="J219" t="s">
        <v>39</v>
      </c>
      <c r="K219" t="str">
        <f t="shared" ca="1" si="22"/>
        <v>OK</v>
      </c>
      <c r="L219" t="s">
        <v>920</v>
      </c>
      <c r="M219">
        <v>5</v>
      </c>
      <c r="N219" s="2">
        <v>45994</v>
      </c>
      <c r="O219" s="2" t="s">
        <v>22</v>
      </c>
      <c r="P219" s="4">
        <f t="shared" ca="1" si="20"/>
        <v>1</v>
      </c>
      <c r="Q219" s="4" t="str">
        <f t="shared" ca="1" si="21"/>
        <v>0-2 Years</v>
      </c>
      <c r="R219">
        <f t="shared" ca="1" si="23"/>
        <v>1</v>
      </c>
      <c r="S219" t="s">
        <v>22</v>
      </c>
      <c r="T219">
        <v>2</v>
      </c>
      <c r="U219" t="s">
        <v>1396</v>
      </c>
      <c r="V219" t="s">
        <v>1396</v>
      </c>
      <c r="W219" t="s">
        <v>1394</v>
      </c>
      <c r="X219" s="3">
        <v>5</v>
      </c>
      <c r="Y219" t="s">
        <v>1395</v>
      </c>
      <c r="Z219">
        <v>29529</v>
      </c>
      <c r="AA219">
        <v>0.1</v>
      </c>
      <c r="AB219">
        <v>32481.9</v>
      </c>
    </row>
    <row r="220" spans="1:28" x14ac:dyDescent="0.35">
      <c r="A220" t="str">
        <f t="shared" si="18"/>
        <v>EMP0219</v>
      </c>
      <c r="B220" t="str" cm="1">
        <f t="array" ref="B220">_xlfn.IFS(
ROW()&lt;=421,"NA",
ROW()&lt;=781,"LATAM",
ROW()&lt;=1021,"EMEA",
TRUE,"APAC"
)</f>
        <v>NA</v>
      </c>
      <c r="C220" t="str">
        <f t="shared" si="19"/>
        <v>USA</v>
      </c>
      <c r="D220" t="s">
        <v>41</v>
      </c>
      <c r="E220" t="s">
        <v>380</v>
      </c>
      <c r="F220" t="s">
        <v>582</v>
      </c>
      <c r="G220" t="s">
        <v>28</v>
      </c>
      <c r="H220" s="2">
        <v>45708</v>
      </c>
      <c r="I220" t="s">
        <v>29</v>
      </c>
      <c r="J220" t="s">
        <v>42</v>
      </c>
      <c r="K220" t="str">
        <f t="shared" ca="1" si="22"/>
        <v>OK</v>
      </c>
      <c r="L220" t="s">
        <v>552</v>
      </c>
      <c r="M220">
        <v>5</v>
      </c>
      <c r="N220" s="2">
        <v>46057</v>
      </c>
      <c r="O220" s="2" t="s">
        <v>22</v>
      </c>
      <c r="P220" s="4">
        <f t="shared" ca="1" si="20"/>
        <v>1</v>
      </c>
      <c r="Q220" s="4" t="str">
        <f t="shared" ca="1" si="21"/>
        <v>0-2 Years</v>
      </c>
      <c r="R220">
        <f t="shared" ca="1" si="23"/>
        <v>1</v>
      </c>
      <c r="S220" t="s">
        <v>22</v>
      </c>
      <c r="T220">
        <v>3</v>
      </c>
      <c r="U220" t="s">
        <v>1394</v>
      </c>
      <c r="V220" t="s">
        <v>1394</v>
      </c>
      <c r="W220" t="s">
        <v>1394</v>
      </c>
      <c r="X220" s="3">
        <v>3</v>
      </c>
      <c r="Y220" t="s">
        <v>1398</v>
      </c>
      <c r="Z220">
        <v>28669</v>
      </c>
      <c r="AA220">
        <v>0.1</v>
      </c>
      <c r="AB220">
        <v>31535.9</v>
      </c>
    </row>
    <row r="221" spans="1:28" x14ac:dyDescent="0.35">
      <c r="A221" t="str">
        <f t="shared" si="18"/>
        <v>EMP0220</v>
      </c>
      <c r="B221" t="str" cm="1">
        <f t="array" ref="B221">_xlfn.IFS(
ROW()&lt;=421,"NA",
ROW()&lt;=781,"LATAM",
ROW()&lt;=1021,"EMEA",
TRUE,"APAC"
)</f>
        <v>NA</v>
      </c>
      <c r="C221" t="str">
        <f t="shared" si="19"/>
        <v>USA</v>
      </c>
      <c r="D221" t="s">
        <v>41</v>
      </c>
      <c r="E221" t="s">
        <v>380</v>
      </c>
      <c r="F221" t="s">
        <v>383</v>
      </c>
      <c r="G221" t="s">
        <v>28</v>
      </c>
      <c r="H221" s="2">
        <v>46025</v>
      </c>
      <c r="I221" t="s">
        <v>29</v>
      </c>
      <c r="J221" t="s">
        <v>42</v>
      </c>
      <c r="K221" t="str">
        <f t="shared" ca="1" si="22"/>
        <v>OK</v>
      </c>
      <c r="L221" t="s">
        <v>764</v>
      </c>
      <c r="M221">
        <v>5</v>
      </c>
      <c r="N221" s="2">
        <v>46044</v>
      </c>
      <c r="O221" s="2" t="s">
        <v>22</v>
      </c>
      <c r="P221" s="4">
        <f t="shared" ca="1" si="20"/>
        <v>0</v>
      </c>
      <c r="Q221" s="4" t="str">
        <f t="shared" ca="1" si="21"/>
        <v>0-2 Years</v>
      </c>
      <c r="R221">
        <f t="shared" ca="1" si="23"/>
        <v>1</v>
      </c>
      <c r="S221" t="s">
        <v>22</v>
      </c>
      <c r="T221">
        <v>4</v>
      </c>
      <c r="U221" t="s">
        <v>1394</v>
      </c>
      <c r="V221" t="s">
        <v>1396</v>
      </c>
      <c r="W221" t="s">
        <v>1394</v>
      </c>
      <c r="X221" s="3">
        <v>3</v>
      </c>
      <c r="Y221" t="s">
        <v>1398</v>
      </c>
      <c r="Z221">
        <v>46574</v>
      </c>
      <c r="AA221">
        <v>0.1</v>
      </c>
      <c r="AB221">
        <v>51231.4</v>
      </c>
    </row>
    <row r="222" spans="1:28" x14ac:dyDescent="0.35">
      <c r="A222" t="str">
        <f t="shared" si="18"/>
        <v>EMP0221</v>
      </c>
      <c r="B222" t="str" cm="1">
        <f t="array" ref="B222">_xlfn.IFS(
ROW()&lt;=421,"NA",
ROW()&lt;=781,"LATAM",
ROW()&lt;=1021,"EMEA",
TRUE,"APAC"
)</f>
        <v>NA</v>
      </c>
      <c r="C222" t="str">
        <f t="shared" si="19"/>
        <v>USA</v>
      </c>
      <c r="D222" t="s">
        <v>35</v>
      </c>
      <c r="E222" t="s">
        <v>380</v>
      </c>
      <c r="F222" t="s">
        <v>464</v>
      </c>
      <c r="G222" t="s">
        <v>28</v>
      </c>
      <c r="H222" s="2">
        <v>45524</v>
      </c>
      <c r="I222" t="s">
        <v>29</v>
      </c>
      <c r="J222" t="s">
        <v>36</v>
      </c>
      <c r="K222" t="str">
        <f t="shared" ca="1" si="22"/>
        <v>OK</v>
      </c>
      <c r="L222" t="s">
        <v>1262</v>
      </c>
      <c r="M222">
        <v>5</v>
      </c>
      <c r="N222" s="2">
        <v>46062</v>
      </c>
      <c r="O222" s="2" t="s">
        <v>22</v>
      </c>
      <c r="P222" s="4">
        <f t="shared" ca="1" si="20"/>
        <v>1</v>
      </c>
      <c r="Q222" s="4" t="str">
        <f t="shared" ca="1" si="21"/>
        <v>0-2 Years</v>
      </c>
      <c r="R222">
        <f t="shared" ca="1" si="23"/>
        <v>1</v>
      </c>
      <c r="S222" t="s">
        <v>22</v>
      </c>
      <c r="T222">
        <v>2</v>
      </c>
      <c r="U222" t="s">
        <v>1394</v>
      </c>
      <c r="V222" t="s">
        <v>1394</v>
      </c>
      <c r="W222" t="s">
        <v>1394</v>
      </c>
      <c r="X222" s="3">
        <v>5</v>
      </c>
      <c r="Y222" t="s">
        <v>1395</v>
      </c>
      <c r="Z222">
        <v>33101</v>
      </c>
      <c r="AA222">
        <v>0.1</v>
      </c>
      <c r="AB222">
        <v>36411.100000000006</v>
      </c>
    </row>
    <row r="223" spans="1:28" x14ac:dyDescent="0.35">
      <c r="A223" t="str">
        <f t="shared" si="18"/>
        <v>EMP0222</v>
      </c>
      <c r="B223" t="str" cm="1">
        <f t="array" ref="B223">_xlfn.IFS(
ROW()&lt;=421,"NA",
ROW()&lt;=781,"LATAM",
ROW()&lt;=1021,"EMEA",
TRUE,"APAC"
)</f>
        <v>NA</v>
      </c>
      <c r="C223" t="str">
        <f t="shared" si="19"/>
        <v>USA</v>
      </c>
      <c r="D223" t="s">
        <v>38</v>
      </c>
      <c r="E223" t="s">
        <v>380</v>
      </c>
      <c r="F223" t="s">
        <v>531</v>
      </c>
      <c r="G223" t="s">
        <v>28</v>
      </c>
      <c r="H223" s="2">
        <v>45519</v>
      </c>
      <c r="I223" t="s">
        <v>29</v>
      </c>
      <c r="J223" t="s">
        <v>39</v>
      </c>
      <c r="K223" t="str">
        <f t="shared" ca="1" si="22"/>
        <v>OK</v>
      </c>
      <c r="L223" t="s">
        <v>1124</v>
      </c>
      <c r="M223">
        <v>5</v>
      </c>
      <c r="N223" s="2">
        <v>46024</v>
      </c>
      <c r="O223" s="2" t="s">
        <v>22</v>
      </c>
      <c r="P223" s="4">
        <f t="shared" ca="1" si="20"/>
        <v>1</v>
      </c>
      <c r="Q223" s="4" t="str">
        <f t="shared" ca="1" si="21"/>
        <v>0-2 Years</v>
      </c>
      <c r="R223">
        <f t="shared" ca="1" si="23"/>
        <v>1</v>
      </c>
      <c r="S223" t="s">
        <v>22</v>
      </c>
      <c r="T223">
        <v>3</v>
      </c>
      <c r="U223" t="s">
        <v>1394</v>
      </c>
      <c r="V223" t="s">
        <v>1396</v>
      </c>
      <c r="W223" t="s">
        <v>1394</v>
      </c>
      <c r="X223" s="3">
        <v>2</v>
      </c>
      <c r="Y223" t="s">
        <v>1397</v>
      </c>
      <c r="Z223">
        <v>39106</v>
      </c>
      <c r="AA223">
        <v>0.1</v>
      </c>
      <c r="AB223">
        <v>43016.600000000006</v>
      </c>
    </row>
    <row r="224" spans="1:28" x14ac:dyDescent="0.35">
      <c r="A224" t="str">
        <f t="shared" si="18"/>
        <v>EMP0223</v>
      </c>
      <c r="B224" t="str" cm="1">
        <f t="array" ref="B224">_xlfn.IFS(
ROW()&lt;=421,"NA",
ROW()&lt;=781,"LATAM",
ROW()&lt;=1021,"EMEA",
TRUE,"APAC"
)</f>
        <v>NA</v>
      </c>
      <c r="C224" t="str">
        <f t="shared" si="19"/>
        <v>USA</v>
      </c>
      <c r="D224" t="s">
        <v>38</v>
      </c>
      <c r="E224" t="s">
        <v>380</v>
      </c>
      <c r="F224" t="s">
        <v>772</v>
      </c>
      <c r="G224" t="s">
        <v>28</v>
      </c>
      <c r="H224" s="2">
        <v>45514</v>
      </c>
      <c r="I224" t="s">
        <v>29</v>
      </c>
      <c r="J224" t="s">
        <v>39</v>
      </c>
      <c r="K224" t="str">
        <f t="shared" ca="1" si="22"/>
        <v>OK</v>
      </c>
      <c r="L224" t="s">
        <v>1114</v>
      </c>
      <c r="M224">
        <v>5</v>
      </c>
      <c r="N224" s="2">
        <v>46018</v>
      </c>
      <c r="O224" s="2" t="s">
        <v>22</v>
      </c>
      <c r="P224" s="4">
        <f t="shared" ca="1" si="20"/>
        <v>1</v>
      </c>
      <c r="Q224" s="4" t="str">
        <f t="shared" ca="1" si="21"/>
        <v>0-2 Years</v>
      </c>
      <c r="R224">
        <f t="shared" ca="1" si="23"/>
        <v>1</v>
      </c>
      <c r="S224" t="s">
        <v>22</v>
      </c>
      <c r="T224">
        <v>4</v>
      </c>
      <c r="U224" t="s">
        <v>1394</v>
      </c>
      <c r="V224" t="s">
        <v>1394</v>
      </c>
      <c r="W224" t="s">
        <v>1394</v>
      </c>
      <c r="X224" s="3">
        <v>2</v>
      </c>
      <c r="Y224" t="s">
        <v>1397</v>
      </c>
      <c r="Z224">
        <v>28470</v>
      </c>
      <c r="AA224">
        <v>0.1</v>
      </c>
      <c r="AB224">
        <v>31317.000000000004</v>
      </c>
    </row>
    <row r="225" spans="1:28" x14ac:dyDescent="0.35">
      <c r="A225" t="str">
        <f t="shared" si="18"/>
        <v>EMP0224</v>
      </c>
      <c r="B225" t="str" cm="1">
        <f t="array" ref="B225">_xlfn.IFS(
ROW()&lt;=421,"NA",
ROW()&lt;=781,"LATAM",
ROW()&lt;=1021,"EMEA",
TRUE,"APAC"
)</f>
        <v>NA</v>
      </c>
      <c r="C225" t="str">
        <f t="shared" si="19"/>
        <v>USA</v>
      </c>
      <c r="D225" t="s">
        <v>35</v>
      </c>
      <c r="E225" t="s">
        <v>380</v>
      </c>
      <c r="F225" t="s">
        <v>784</v>
      </c>
      <c r="G225" t="s">
        <v>28</v>
      </c>
      <c r="H225" s="2">
        <v>45511</v>
      </c>
      <c r="I225" t="s">
        <v>29</v>
      </c>
      <c r="J225" t="s">
        <v>36</v>
      </c>
      <c r="K225" t="str">
        <f t="shared" ca="1" si="22"/>
        <v>OK</v>
      </c>
      <c r="L225" t="s">
        <v>1290</v>
      </c>
      <c r="M225">
        <v>5</v>
      </c>
      <c r="N225" s="2">
        <v>46032</v>
      </c>
      <c r="O225" s="2" t="s">
        <v>22</v>
      </c>
      <c r="P225" s="4">
        <f t="shared" ca="1" si="20"/>
        <v>1</v>
      </c>
      <c r="Q225" s="4" t="str">
        <f t="shared" ca="1" si="21"/>
        <v>0-2 Years</v>
      </c>
      <c r="R225">
        <f t="shared" ca="1" si="23"/>
        <v>1</v>
      </c>
      <c r="S225" t="s">
        <v>22</v>
      </c>
      <c r="T225">
        <v>3</v>
      </c>
      <c r="U225" t="s">
        <v>1394</v>
      </c>
      <c r="V225" t="s">
        <v>1394</v>
      </c>
      <c r="W225" t="s">
        <v>1394</v>
      </c>
      <c r="X225" s="3">
        <v>3</v>
      </c>
      <c r="Y225" t="s">
        <v>1398</v>
      </c>
      <c r="Z225">
        <v>25821</v>
      </c>
      <c r="AA225">
        <v>0.1</v>
      </c>
      <c r="AB225">
        <v>28403.100000000002</v>
      </c>
    </row>
    <row r="226" spans="1:28" x14ac:dyDescent="0.35">
      <c r="A226" t="str">
        <f t="shared" si="18"/>
        <v>EMP0225</v>
      </c>
      <c r="B226" t="str" cm="1">
        <f t="array" ref="B226">_xlfn.IFS(
ROW()&lt;=421,"NA",
ROW()&lt;=781,"LATAM",
ROW()&lt;=1021,"EMEA",
TRUE,"APAC"
)</f>
        <v>NA</v>
      </c>
      <c r="C226" t="str">
        <f t="shared" si="19"/>
        <v>USA</v>
      </c>
      <c r="D226" t="s">
        <v>44</v>
      </c>
      <c r="E226" t="s">
        <v>380</v>
      </c>
      <c r="F226" t="s">
        <v>1228</v>
      </c>
      <c r="G226" t="s">
        <v>28</v>
      </c>
      <c r="H226" s="2">
        <v>45506</v>
      </c>
      <c r="I226" t="s">
        <v>29</v>
      </c>
      <c r="J226" t="s">
        <v>47</v>
      </c>
      <c r="K226" t="str">
        <f t="shared" ca="1" si="22"/>
        <v>OK</v>
      </c>
      <c r="L226" t="s">
        <v>1229</v>
      </c>
      <c r="M226">
        <v>5</v>
      </c>
      <c r="N226" s="2">
        <v>46019</v>
      </c>
      <c r="O226" s="2" t="s">
        <v>22</v>
      </c>
      <c r="P226" s="4">
        <f t="shared" ca="1" si="20"/>
        <v>1</v>
      </c>
      <c r="Q226" s="4" t="str">
        <f t="shared" ca="1" si="21"/>
        <v>0-2 Years</v>
      </c>
      <c r="R226">
        <f t="shared" ca="1" si="23"/>
        <v>1</v>
      </c>
      <c r="S226" t="s">
        <v>22</v>
      </c>
      <c r="T226">
        <v>3</v>
      </c>
      <c r="U226" t="s">
        <v>1394</v>
      </c>
      <c r="V226" t="s">
        <v>1394</v>
      </c>
      <c r="W226" t="s">
        <v>1394</v>
      </c>
      <c r="X226" s="3">
        <v>5</v>
      </c>
      <c r="Y226" t="s">
        <v>1395</v>
      </c>
      <c r="Z226">
        <v>34166</v>
      </c>
      <c r="AA226">
        <v>0.1</v>
      </c>
      <c r="AB226">
        <v>37582.600000000006</v>
      </c>
    </row>
    <row r="227" spans="1:28" x14ac:dyDescent="0.35">
      <c r="A227" t="str">
        <f t="shared" si="18"/>
        <v>EMP0226</v>
      </c>
      <c r="B227" t="str" cm="1">
        <f t="array" ref="B227">_xlfn.IFS(
ROW()&lt;=421,"NA",
ROW()&lt;=781,"LATAM",
ROW()&lt;=1021,"EMEA",
TRUE,"APAC"
)</f>
        <v>NA</v>
      </c>
      <c r="C227" t="str">
        <f t="shared" si="19"/>
        <v>USA</v>
      </c>
      <c r="D227" t="s">
        <v>41</v>
      </c>
      <c r="E227" t="s">
        <v>380</v>
      </c>
      <c r="F227" t="s">
        <v>854</v>
      </c>
      <c r="G227" t="s">
        <v>28</v>
      </c>
      <c r="H227" s="2">
        <v>45660</v>
      </c>
      <c r="I227" t="s">
        <v>29</v>
      </c>
      <c r="J227" t="s">
        <v>42</v>
      </c>
      <c r="K227" t="str">
        <f t="shared" ca="1" si="22"/>
        <v>OK</v>
      </c>
      <c r="L227" t="s">
        <v>1253</v>
      </c>
      <c r="M227">
        <v>5</v>
      </c>
      <c r="N227" s="2">
        <v>46071</v>
      </c>
      <c r="O227" s="2" t="s">
        <v>22</v>
      </c>
      <c r="P227" s="4">
        <f t="shared" ca="1" si="20"/>
        <v>1</v>
      </c>
      <c r="Q227" s="4" t="str">
        <f t="shared" ca="1" si="21"/>
        <v>0-2 Years</v>
      </c>
      <c r="R227">
        <f t="shared" ca="1" si="23"/>
        <v>1</v>
      </c>
      <c r="S227" t="s">
        <v>22</v>
      </c>
      <c r="T227">
        <v>2</v>
      </c>
      <c r="U227" t="s">
        <v>1394</v>
      </c>
      <c r="V227" t="s">
        <v>1394</v>
      </c>
      <c r="W227" t="s">
        <v>1394</v>
      </c>
      <c r="X227" s="3">
        <v>1</v>
      </c>
      <c r="Y227" t="s">
        <v>1397</v>
      </c>
      <c r="Z227">
        <v>26300</v>
      </c>
      <c r="AA227">
        <v>0.1</v>
      </c>
      <c r="AB227">
        <v>28930.000000000004</v>
      </c>
    </row>
    <row r="228" spans="1:28" x14ac:dyDescent="0.35">
      <c r="A228" t="str">
        <f t="shared" si="18"/>
        <v>EMP0227</v>
      </c>
      <c r="B228" t="str" cm="1">
        <f t="array" ref="B228">_xlfn.IFS(
ROW()&lt;=421,"NA",
ROW()&lt;=781,"LATAM",
ROW()&lt;=1021,"EMEA",
TRUE,"APAC"
)</f>
        <v>NA</v>
      </c>
      <c r="C228" t="str">
        <f t="shared" si="19"/>
        <v>USA</v>
      </c>
      <c r="D228" t="s">
        <v>41</v>
      </c>
      <c r="E228" t="s">
        <v>380</v>
      </c>
      <c r="F228" t="s">
        <v>680</v>
      </c>
      <c r="G228" t="s">
        <v>53</v>
      </c>
      <c r="H228" s="2">
        <v>45669</v>
      </c>
      <c r="I228" t="s">
        <v>29</v>
      </c>
      <c r="J228" t="s">
        <v>42</v>
      </c>
      <c r="K228" t="str">
        <f t="shared" ca="1" si="22"/>
        <v>OK</v>
      </c>
      <c r="L228" t="s">
        <v>1007</v>
      </c>
      <c r="M228">
        <v>5</v>
      </c>
      <c r="N228" s="2">
        <v>46036</v>
      </c>
      <c r="O228" s="2" t="s">
        <v>22</v>
      </c>
      <c r="P228" s="4">
        <f t="shared" ca="1" si="20"/>
        <v>1</v>
      </c>
      <c r="Q228" s="4" t="str">
        <f t="shared" ca="1" si="21"/>
        <v>0-2 Years</v>
      </c>
      <c r="R228">
        <f t="shared" ca="1" si="23"/>
        <v>1</v>
      </c>
      <c r="S228" t="s">
        <v>22</v>
      </c>
      <c r="T228">
        <v>4</v>
      </c>
      <c r="U228" t="s">
        <v>1394</v>
      </c>
      <c r="V228" t="s">
        <v>1394</v>
      </c>
      <c r="W228" t="s">
        <v>1394</v>
      </c>
      <c r="X228" s="3">
        <v>1</v>
      </c>
      <c r="Y228" t="s">
        <v>1397</v>
      </c>
      <c r="Z228">
        <v>28239</v>
      </c>
      <c r="AA228">
        <v>0.1</v>
      </c>
      <c r="AB228">
        <v>31062.9</v>
      </c>
    </row>
    <row r="229" spans="1:28" x14ac:dyDescent="0.35">
      <c r="A229" t="str">
        <f t="shared" si="18"/>
        <v>EMP0228</v>
      </c>
      <c r="B229" t="str" cm="1">
        <f t="array" ref="B229">_xlfn.IFS(
ROW()&lt;=421,"NA",
ROW()&lt;=781,"LATAM",
ROW()&lt;=1021,"EMEA",
TRUE,"APAC"
)</f>
        <v>NA</v>
      </c>
      <c r="C229" t="str">
        <f t="shared" si="19"/>
        <v>USA</v>
      </c>
      <c r="D229" t="s">
        <v>38</v>
      </c>
      <c r="E229" t="s">
        <v>380</v>
      </c>
      <c r="F229" t="s">
        <v>438</v>
      </c>
      <c r="G229" t="s">
        <v>28</v>
      </c>
      <c r="H229" s="2">
        <v>45497</v>
      </c>
      <c r="I229" t="s">
        <v>29</v>
      </c>
      <c r="J229" t="s">
        <v>39</v>
      </c>
      <c r="K229" t="str">
        <f t="shared" ca="1" si="22"/>
        <v>OK</v>
      </c>
      <c r="L229" t="s">
        <v>419</v>
      </c>
      <c r="M229">
        <v>5</v>
      </c>
      <c r="N229" s="2">
        <v>46058</v>
      </c>
      <c r="O229" s="2" t="s">
        <v>22</v>
      </c>
      <c r="P229" s="4">
        <f t="shared" ca="1" si="20"/>
        <v>1</v>
      </c>
      <c r="Q229" s="4" t="str">
        <f t="shared" ca="1" si="21"/>
        <v>0-2 Years</v>
      </c>
      <c r="R229">
        <f t="shared" ca="1" si="23"/>
        <v>1</v>
      </c>
      <c r="S229" t="s">
        <v>22</v>
      </c>
      <c r="T229">
        <v>3</v>
      </c>
      <c r="U229" t="s">
        <v>1394</v>
      </c>
      <c r="V229" t="s">
        <v>1394</v>
      </c>
      <c r="W229" t="s">
        <v>1394</v>
      </c>
      <c r="X229" s="3">
        <v>2</v>
      </c>
      <c r="Y229" t="s">
        <v>1397</v>
      </c>
      <c r="Z229">
        <v>43151</v>
      </c>
      <c r="AA229">
        <v>0.1</v>
      </c>
      <c r="AB229">
        <v>47466.100000000006</v>
      </c>
    </row>
    <row r="230" spans="1:28" x14ac:dyDescent="0.35">
      <c r="A230" t="str">
        <f t="shared" si="18"/>
        <v>EMP0229</v>
      </c>
      <c r="B230" t="str" cm="1">
        <f t="array" ref="B230">_xlfn.IFS(
ROW()&lt;=421,"NA",
ROW()&lt;=781,"LATAM",
ROW()&lt;=1021,"EMEA",
TRUE,"APAC"
)</f>
        <v>NA</v>
      </c>
      <c r="C230" t="str">
        <f t="shared" si="19"/>
        <v>USA</v>
      </c>
      <c r="D230" t="s">
        <v>41</v>
      </c>
      <c r="E230" t="s">
        <v>69</v>
      </c>
      <c r="F230" t="s">
        <v>91</v>
      </c>
      <c r="G230" t="s">
        <v>28</v>
      </c>
      <c r="H230" s="2">
        <v>45494</v>
      </c>
      <c r="I230" t="s">
        <v>29</v>
      </c>
      <c r="J230" t="s">
        <v>42</v>
      </c>
      <c r="K230" t="str">
        <f t="shared" ca="1" si="22"/>
        <v>OK</v>
      </c>
      <c r="L230" t="s">
        <v>115</v>
      </c>
      <c r="M230">
        <v>3</v>
      </c>
      <c r="N230" s="2">
        <v>45994</v>
      </c>
      <c r="O230" s="2" t="s">
        <v>22</v>
      </c>
      <c r="P230" s="4">
        <f t="shared" ca="1" si="20"/>
        <v>1</v>
      </c>
      <c r="Q230" s="4" t="str">
        <f t="shared" ca="1" si="21"/>
        <v>0-2 Years</v>
      </c>
      <c r="R230">
        <f t="shared" ca="1" si="23"/>
        <v>1</v>
      </c>
      <c r="S230" t="s">
        <v>22</v>
      </c>
      <c r="T230">
        <v>5</v>
      </c>
      <c r="U230" t="s">
        <v>1396</v>
      </c>
      <c r="V230" t="s">
        <v>1394</v>
      </c>
      <c r="W230" t="s">
        <v>1394</v>
      </c>
      <c r="X230" s="3">
        <v>3</v>
      </c>
      <c r="Y230" t="s">
        <v>1398</v>
      </c>
      <c r="Z230">
        <v>121291</v>
      </c>
      <c r="AA230">
        <v>0.2</v>
      </c>
      <c r="AB230">
        <v>145549.19999999998</v>
      </c>
    </row>
    <row r="231" spans="1:28" x14ac:dyDescent="0.35">
      <c r="A231" t="str">
        <f t="shared" si="18"/>
        <v>EMP0230</v>
      </c>
      <c r="B231" t="str" cm="1">
        <f t="array" ref="B231">_xlfn.IFS(
ROW()&lt;=421,"NA",
ROW()&lt;=781,"LATAM",
ROW()&lt;=1021,"EMEA",
TRUE,"APAC"
)</f>
        <v>NA</v>
      </c>
      <c r="C231" t="str">
        <f t="shared" si="19"/>
        <v>USA</v>
      </c>
      <c r="D231" t="s">
        <v>44</v>
      </c>
      <c r="E231" t="s">
        <v>380</v>
      </c>
      <c r="F231" t="s">
        <v>429</v>
      </c>
      <c r="G231" t="s">
        <v>53</v>
      </c>
      <c r="H231" s="2">
        <v>45485</v>
      </c>
      <c r="I231" t="s">
        <v>29</v>
      </c>
      <c r="J231" t="s">
        <v>47</v>
      </c>
      <c r="K231" t="str">
        <f t="shared" ca="1" si="22"/>
        <v>OK</v>
      </c>
      <c r="L231" t="s">
        <v>724</v>
      </c>
      <c r="M231">
        <v>5</v>
      </c>
      <c r="N231" s="2">
        <v>46048</v>
      </c>
      <c r="O231" s="2" t="s">
        <v>22</v>
      </c>
      <c r="P231" s="4">
        <f t="shared" ca="1" si="20"/>
        <v>1</v>
      </c>
      <c r="Q231" s="4" t="str">
        <f t="shared" ca="1" si="21"/>
        <v>0-2 Years</v>
      </c>
      <c r="R231">
        <f t="shared" ca="1" si="23"/>
        <v>1</v>
      </c>
      <c r="S231" t="s">
        <v>22</v>
      </c>
      <c r="T231">
        <v>3</v>
      </c>
      <c r="U231" t="s">
        <v>1394</v>
      </c>
      <c r="V231" t="s">
        <v>1394</v>
      </c>
      <c r="W231" t="s">
        <v>1394</v>
      </c>
      <c r="X231" s="3">
        <v>2</v>
      </c>
      <c r="Y231" t="s">
        <v>1397</v>
      </c>
      <c r="Z231">
        <v>22801</v>
      </c>
      <c r="AA231">
        <v>0.1</v>
      </c>
      <c r="AB231">
        <v>25081.100000000002</v>
      </c>
    </row>
    <row r="232" spans="1:28" x14ac:dyDescent="0.35">
      <c r="A232" t="str">
        <f t="shared" si="18"/>
        <v>EMP0231</v>
      </c>
      <c r="B232" t="str" cm="1">
        <f t="array" ref="B232">_xlfn.IFS(
ROW()&lt;=421,"NA",
ROW()&lt;=781,"LATAM",
ROW()&lt;=1021,"EMEA",
TRUE,"APAC"
)</f>
        <v>NA</v>
      </c>
      <c r="C232" t="str">
        <f t="shared" si="19"/>
        <v>USA</v>
      </c>
      <c r="D232" t="s">
        <v>35</v>
      </c>
      <c r="E232" t="s">
        <v>380</v>
      </c>
      <c r="F232" t="s">
        <v>486</v>
      </c>
      <c r="G232" t="s">
        <v>28</v>
      </c>
      <c r="H232" s="2">
        <v>45484</v>
      </c>
      <c r="I232" t="s">
        <v>29</v>
      </c>
      <c r="J232" t="s">
        <v>36</v>
      </c>
      <c r="K232" t="str">
        <f t="shared" ca="1" si="22"/>
        <v>OK</v>
      </c>
      <c r="L232" t="s">
        <v>814</v>
      </c>
      <c r="M232">
        <v>5</v>
      </c>
      <c r="N232" s="2">
        <v>46065</v>
      </c>
      <c r="O232" s="2" t="s">
        <v>22</v>
      </c>
      <c r="P232" s="4">
        <f t="shared" ca="1" si="20"/>
        <v>1</v>
      </c>
      <c r="Q232" s="4" t="str">
        <f t="shared" ca="1" si="21"/>
        <v>0-2 Years</v>
      </c>
      <c r="R232">
        <f t="shared" ca="1" si="23"/>
        <v>1</v>
      </c>
      <c r="S232" t="s">
        <v>22</v>
      </c>
      <c r="T232">
        <v>3</v>
      </c>
      <c r="U232" t="s">
        <v>1394</v>
      </c>
      <c r="V232" t="s">
        <v>1394</v>
      </c>
      <c r="W232" t="s">
        <v>1394</v>
      </c>
      <c r="X232" s="3">
        <v>5</v>
      </c>
      <c r="Y232" t="s">
        <v>1395</v>
      </c>
      <c r="Z232">
        <v>39703</v>
      </c>
      <c r="AA232">
        <v>0.1</v>
      </c>
      <c r="AB232">
        <v>43673.3</v>
      </c>
    </row>
    <row r="233" spans="1:28" x14ac:dyDescent="0.35">
      <c r="A233" t="str">
        <f t="shared" si="18"/>
        <v>EMP0232</v>
      </c>
      <c r="B233" t="str" cm="1">
        <f t="array" ref="B233">_xlfn.IFS(
ROW()&lt;=421,"NA",
ROW()&lt;=781,"LATAM",
ROW()&lt;=1021,"EMEA",
TRUE,"APAC"
)</f>
        <v>NA</v>
      </c>
      <c r="C233" t="str">
        <f t="shared" si="19"/>
        <v>USA</v>
      </c>
      <c r="D233" t="s">
        <v>38</v>
      </c>
      <c r="E233" t="s">
        <v>380</v>
      </c>
      <c r="F233" t="s">
        <v>761</v>
      </c>
      <c r="G233" t="s">
        <v>28</v>
      </c>
      <c r="H233" s="2">
        <v>45478</v>
      </c>
      <c r="I233" t="s">
        <v>29</v>
      </c>
      <c r="J233" t="s">
        <v>39</v>
      </c>
      <c r="K233" t="str">
        <f t="shared" ca="1" si="22"/>
        <v>OK</v>
      </c>
      <c r="L233" t="s">
        <v>1001</v>
      </c>
      <c r="M233">
        <v>5</v>
      </c>
      <c r="N233" s="2">
        <v>45990</v>
      </c>
      <c r="O233" s="2" t="s">
        <v>22</v>
      </c>
      <c r="P233" s="4">
        <f t="shared" ca="1" si="20"/>
        <v>1</v>
      </c>
      <c r="Q233" s="4" t="str">
        <f t="shared" ca="1" si="21"/>
        <v>0-2 Years</v>
      </c>
      <c r="R233">
        <f t="shared" ca="1" si="23"/>
        <v>1</v>
      </c>
      <c r="S233" t="s">
        <v>22</v>
      </c>
      <c r="T233">
        <v>4</v>
      </c>
      <c r="U233" t="s">
        <v>1396</v>
      </c>
      <c r="V233" t="s">
        <v>1396</v>
      </c>
      <c r="W233" t="s">
        <v>1396</v>
      </c>
      <c r="X233" s="3">
        <v>1</v>
      </c>
      <c r="Y233" t="s">
        <v>1397</v>
      </c>
      <c r="Z233">
        <v>33161</v>
      </c>
      <c r="AA233">
        <v>0.1</v>
      </c>
      <c r="AB233">
        <v>36477.100000000006</v>
      </c>
    </row>
    <row r="234" spans="1:28" x14ac:dyDescent="0.35">
      <c r="A234" t="str">
        <f t="shared" si="18"/>
        <v>EMP0233</v>
      </c>
      <c r="B234" t="str" cm="1">
        <f t="array" ref="B234">_xlfn.IFS(
ROW()&lt;=421,"NA",
ROW()&lt;=781,"LATAM",
ROW()&lt;=1021,"EMEA",
TRUE,"APAC"
)</f>
        <v>NA</v>
      </c>
      <c r="C234" t="str">
        <f t="shared" si="19"/>
        <v>USA</v>
      </c>
      <c r="D234" t="s">
        <v>41</v>
      </c>
      <c r="E234" t="s">
        <v>380</v>
      </c>
      <c r="F234" t="s">
        <v>389</v>
      </c>
      <c r="G234" t="s">
        <v>28</v>
      </c>
      <c r="H234" s="2">
        <v>45664</v>
      </c>
      <c r="I234" t="s">
        <v>29</v>
      </c>
      <c r="J234" t="s">
        <v>42</v>
      </c>
      <c r="K234" t="str">
        <f t="shared" ca="1" si="22"/>
        <v>OK</v>
      </c>
      <c r="L234" t="s">
        <v>1258</v>
      </c>
      <c r="M234">
        <v>5</v>
      </c>
      <c r="N234" s="2">
        <v>46076</v>
      </c>
      <c r="O234" s="2" t="s">
        <v>22</v>
      </c>
      <c r="P234" s="4">
        <f t="shared" ca="1" si="20"/>
        <v>1</v>
      </c>
      <c r="Q234" s="4" t="str">
        <f t="shared" ca="1" si="21"/>
        <v>0-2 Years</v>
      </c>
      <c r="R234">
        <f t="shared" ca="1" si="23"/>
        <v>1</v>
      </c>
      <c r="S234" t="s">
        <v>22</v>
      </c>
      <c r="T234">
        <v>3</v>
      </c>
      <c r="U234" t="s">
        <v>1394</v>
      </c>
      <c r="V234" t="s">
        <v>1394</v>
      </c>
      <c r="W234" t="s">
        <v>1394</v>
      </c>
      <c r="X234" s="3">
        <v>1</v>
      </c>
      <c r="Y234" t="s">
        <v>1397</v>
      </c>
      <c r="Z234">
        <v>47756</v>
      </c>
      <c r="AA234">
        <v>0.1</v>
      </c>
      <c r="AB234">
        <v>52531.600000000006</v>
      </c>
    </row>
    <row r="235" spans="1:28" x14ac:dyDescent="0.35">
      <c r="A235" t="str">
        <f t="shared" si="18"/>
        <v>EMP0234</v>
      </c>
      <c r="B235" t="str" cm="1">
        <f t="array" ref="B235">_xlfn.IFS(
ROW()&lt;=421,"NA",
ROW()&lt;=781,"LATAM",
ROW()&lt;=1021,"EMEA",
TRUE,"APAC"
)</f>
        <v>NA</v>
      </c>
      <c r="C235" t="str">
        <f t="shared" si="19"/>
        <v>USA</v>
      </c>
      <c r="D235" t="s">
        <v>35</v>
      </c>
      <c r="E235" t="s">
        <v>380</v>
      </c>
      <c r="F235" t="s">
        <v>442</v>
      </c>
      <c r="G235" t="s">
        <v>28</v>
      </c>
      <c r="H235" s="2">
        <v>45468</v>
      </c>
      <c r="I235" t="s">
        <v>57</v>
      </c>
      <c r="J235" t="s">
        <v>36</v>
      </c>
      <c r="K235" t="str">
        <f t="shared" ca="1" si="22"/>
        <v>OK</v>
      </c>
      <c r="L235" t="s">
        <v>1368</v>
      </c>
      <c r="M235">
        <v>5</v>
      </c>
      <c r="N235" s="2">
        <v>46037</v>
      </c>
      <c r="O235" s="2">
        <v>46071</v>
      </c>
      <c r="P235" s="4">
        <f t="shared" ca="1" si="20"/>
        <v>1</v>
      </c>
      <c r="Q235" s="4" t="str">
        <f t="shared" ca="1" si="21"/>
        <v>0-2 Years</v>
      </c>
      <c r="R235">
        <f t="shared" ca="1" si="23"/>
        <v>1</v>
      </c>
      <c r="S235" t="s">
        <v>23</v>
      </c>
      <c r="T235">
        <v>4</v>
      </c>
      <c r="U235" t="s">
        <v>1394</v>
      </c>
      <c r="V235" t="s">
        <v>1394</v>
      </c>
      <c r="W235" t="s">
        <v>1394</v>
      </c>
      <c r="X235" s="3">
        <v>3</v>
      </c>
      <c r="Y235" t="s">
        <v>1398</v>
      </c>
      <c r="Z235">
        <v>27798</v>
      </c>
      <c r="AA235">
        <v>0.1</v>
      </c>
      <c r="AB235">
        <v>30577.800000000003</v>
      </c>
    </row>
    <row r="236" spans="1:28" x14ac:dyDescent="0.35">
      <c r="A236" t="str">
        <f t="shared" si="18"/>
        <v>EMP0235</v>
      </c>
      <c r="B236" t="str" cm="1">
        <f t="array" ref="B236">_xlfn.IFS(
ROW()&lt;=421,"NA",
ROW()&lt;=781,"LATAM",
ROW()&lt;=1021,"EMEA",
TRUE,"APAC"
)</f>
        <v>NA</v>
      </c>
      <c r="C236" t="str">
        <f t="shared" si="19"/>
        <v>USA</v>
      </c>
      <c r="D236" t="s">
        <v>44</v>
      </c>
      <c r="E236" t="s">
        <v>380</v>
      </c>
      <c r="F236" t="s">
        <v>579</v>
      </c>
      <c r="G236" t="s">
        <v>28</v>
      </c>
      <c r="H236" s="2">
        <v>45467</v>
      </c>
      <c r="I236" t="s">
        <v>29</v>
      </c>
      <c r="J236" t="s">
        <v>47</v>
      </c>
      <c r="K236" t="str">
        <f t="shared" ca="1" si="22"/>
        <v>OK</v>
      </c>
      <c r="L236" t="s">
        <v>690</v>
      </c>
      <c r="M236">
        <v>5</v>
      </c>
      <c r="N236" s="2">
        <v>45999</v>
      </c>
      <c r="O236" s="2" t="s">
        <v>22</v>
      </c>
      <c r="P236" s="4">
        <f t="shared" ca="1" si="20"/>
        <v>1</v>
      </c>
      <c r="Q236" s="4" t="str">
        <f t="shared" ca="1" si="21"/>
        <v>0-2 Years</v>
      </c>
      <c r="R236">
        <f t="shared" ca="1" si="23"/>
        <v>1</v>
      </c>
      <c r="S236" t="s">
        <v>22</v>
      </c>
      <c r="T236">
        <v>3</v>
      </c>
      <c r="U236" t="s">
        <v>1394</v>
      </c>
      <c r="V236" t="s">
        <v>1394</v>
      </c>
      <c r="W236" t="s">
        <v>1394</v>
      </c>
      <c r="X236" s="3">
        <v>2</v>
      </c>
      <c r="Y236" t="s">
        <v>1397</v>
      </c>
      <c r="Z236">
        <v>23821</v>
      </c>
      <c r="AA236">
        <v>0.1</v>
      </c>
      <c r="AB236">
        <v>26203.100000000002</v>
      </c>
    </row>
    <row r="237" spans="1:28" x14ac:dyDescent="0.35">
      <c r="A237" t="str">
        <f t="shared" si="18"/>
        <v>EMP0236</v>
      </c>
      <c r="B237" t="str" cm="1">
        <f t="array" ref="B237">_xlfn.IFS(
ROW()&lt;=421,"NA",
ROW()&lt;=781,"LATAM",
ROW()&lt;=1021,"EMEA",
TRUE,"APAC"
)</f>
        <v>NA</v>
      </c>
      <c r="C237" t="str">
        <f t="shared" si="19"/>
        <v>USA</v>
      </c>
      <c r="D237" t="s">
        <v>41</v>
      </c>
      <c r="E237" t="s">
        <v>380</v>
      </c>
      <c r="F237" t="s">
        <v>584</v>
      </c>
      <c r="G237" t="s">
        <v>28</v>
      </c>
      <c r="H237" s="2">
        <v>45668</v>
      </c>
      <c r="I237" t="s">
        <v>29</v>
      </c>
      <c r="J237" t="s">
        <v>42</v>
      </c>
      <c r="K237" t="str">
        <f t="shared" ca="1" si="22"/>
        <v>OK</v>
      </c>
      <c r="L237" t="s">
        <v>908</v>
      </c>
      <c r="M237">
        <v>5</v>
      </c>
      <c r="N237" s="2">
        <v>46045</v>
      </c>
      <c r="O237" s="2" t="s">
        <v>22</v>
      </c>
      <c r="P237" s="4">
        <f t="shared" ca="1" si="20"/>
        <v>1</v>
      </c>
      <c r="Q237" s="4" t="str">
        <f t="shared" ca="1" si="21"/>
        <v>0-2 Years</v>
      </c>
      <c r="R237">
        <f t="shared" ca="1" si="23"/>
        <v>1</v>
      </c>
      <c r="S237" t="s">
        <v>22</v>
      </c>
      <c r="T237">
        <v>4</v>
      </c>
      <c r="U237" t="s">
        <v>1394</v>
      </c>
      <c r="V237" t="s">
        <v>1394</v>
      </c>
      <c r="W237" t="s">
        <v>1394</v>
      </c>
      <c r="X237" s="3">
        <v>2</v>
      </c>
      <c r="Y237" t="s">
        <v>1397</v>
      </c>
      <c r="Z237">
        <v>39629</v>
      </c>
      <c r="AA237">
        <v>0.1</v>
      </c>
      <c r="AB237">
        <v>43591.9</v>
      </c>
    </row>
    <row r="238" spans="1:28" x14ac:dyDescent="0.35">
      <c r="A238" t="str">
        <f t="shared" si="18"/>
        <v>EMP0237</v>
      </c>
      <c r="B238" t="str" cm="1">
        <f t="array" ref="B238">_xlfn.IFS(
ROW()&lt;=421,"NA",
ROW()&lt;=781,"LATAM",
ROW()&lt;=1021,"EMEA",
TRUE,"APAC"
)</f>
        <v>NA</v>
      </c>
      <c r="C238" t="str">
        <f t="shared" si="19"/>
        <v>USA</v>
      </c>
      <c r="D238" t="s">
        <v>38</v>
      </c>
      <c r="E238" t="s">
        <v>380</v>
      </c>
      <c r="F238" t="s">
        <v>811</v>
      </c>
      <c r="G238" t="s">
        <v>28</v>
      </c>
      <c r="H238" s="2">
        <v>45465</v>
      </c>
      <c r="I238" t="s">
        <v>29</v>
      </c>
      <c r="J238" t="s">
        <v>39</v>
      </c>
      <c r="K238" t="str">
        <f t="shared" ca="1" si="22"/>
        <v>OK</v>
      </c>
      <c r="L238" t="s">
        <v>1163</v>
      </c>
      <c r="M238">
        <v>5</v>
      </c>
      <c r="N238" s="2">
        <v>46002</v>
      </c>
      <c r="O238" s="2" t="s">
        <v>22</v>
      </c>
      <c r="P238" s="4">
        <f t="shared" ca="1" si="20"/>
        <v>1</v>
      </c>
      <c r="Q238" s="4" t="str">
        <f t="shared" ca="1" si="21"/>
        <v>0-2 Years</v>
      </c>
      <c r="R238">
        <f t="shared" ca="1" si="23"/>
        <v>1</v>
      </c>
      <c r="S238" t="s">
        <v>22</v>
      </c>
      <c r="T238">
        <v>3</v>
      </c>
      <c r="U238" t="s">
        <v>1394</v>
      </c>
      <c r="V238" t="s">
        <v>1394</v>
      </c>
      <c r="W238" t="s">
        <v>1394</v>
      </c>
      <c r="X238" s="3">
        <v>5</v>
      </c>
      <c r="Y238" t="s">
        <v>1395</v>
      </c>
      <c r="Z238">
        <v>26730</v>
      </c>
      <c r="AA238">
        <v>0.1</v>
      </c>
      <c r="AB238">
        <v>29403.000000000004</v>
      </c>
    </row>
    <row r="239" spans="1:28" x14ac:dyDescent="0.35">
      <c r="A239" t="str">
        <f t="shared" si="18"/>
        <v>EMP0238</v>
      </c>
      <c r="B239" t="str" cm="1">
        <f t="array" ref="B239">_xlfn.IFS(
ROW()&lt;=421,"NA",
ROW()&lt;=781,"LATAM",
ROW()&lt;=1021,"EMEA",
TRUE,"APAC"
)</f>
        <v>NA</v>
      </c>
      <c r="C239" t="str">
        <f t="shared" si="19"/>
        <v>USA</v>
      </c>
      <c r="D239" t="s">
        <v>32</v>
      </c>
      <c r="E239" t="s">
        <v>380</v>
      </c>
      <c r="F239" t="s">
        <v>669</v>
      </c>
      <c r="G239" t="s">
        <v>28</v>
      </c>
      <c r="H239" s="2">
        <v>45465</v>
      </c>
      <c r="I239" t="s">
        <v>57</v>
      </c>
      <c r="J239" t="s">
        <v>33</v>
      </c>
      <c r="K239" t="str">
        <f t="shared" ca="1" si="22"/>
        <v>OK</v>
      </c>
      <c r="L239" t="s">
        <v>1079</v>
      </c>
      <c r="M239">
        <v>5</v>
      </c>
      <c r="N239" s="2">
        <v>46071</v>
      </c>
      <c r="O239" s="2">
        <v>46071</v>
      </c>
      <c r="P239" s="4">
        <f t="shared" ca="1" si="20"/>
        <v>1</v>
      </c>
      <c r="Q239" s="4" t="str">
        <f t="shared" ca="1" si="21"/>
        <v>0-2 Years</v>
      </c>
      <c r="R239">
        <f t="shared" ca="1" si="23"/>
        <v>1</v>
      </c>
      <c r="S239" t="s">
        <v>23</v>
      </c>
      <c r="T239">
        <v>4</v>
      </c>
      <c r="U239" t="s">
        <v>1394</v>
      </c>
      <c r="V239" t="s">
        <v>1394</v>
      </c>
      <c r="W239" t="s">
        <v>1394</v>
      </c>
      <c r="X239" s="3">
        <v>5</v>
      </c>
      <c r="Y239" t="s">
        <v>1395</v>
      </c>
      <c r="Z239">
        <v>22982</v>
      </c>
      <c r="AA239">
        <v>0.1</v>
      </c>
      <c r="AB239">
        <v>25280.2</v>
      </c>
    </row>
    <row r="240" spans="1:28" x14ac:dyDescent="0.35">
      <c r="A240" t="str">
        <f t="shared" si="18"/>
        <v>EMP0239</v>
      </c>
      <c r="B240" t="str" cm="1">
        <f t="array" ref="B240">_xlfn.IFS(
ROW()&lt;=421,"NA",
ROW()&lt;=781,"LATAM",
ROW()&lt;=1021,"EMEA",
TRUE,"APAC"
)</f>
        <v>NA</v>
      </c>
      <c r="C240" t="str">
        <f t="shared" si="19"/>
        <v>USA</v>
      </c>
      <c r="D240" t="s">
        <v>32</v>
      </c>
      <c r="E240" t="s">
        <v>380</v>
      </c>
      <c r="F240" t="s">
        <v>675</v>
      </c>
      <c r="G240" t="s">
        <v>28</v>
      </c>
      <c r="H240" s="2">
        <v>43753</v>
      </c>
      <c r="I240" t="s">
        <v>29</v>
      </c>
      <c r="J240" t="s">
        <v>33</v>
      </c>
      <c r="K240" t="str">
        <f t="shared" ca="1" si="22"/>
        <v>OK</v>
      </c>
      <c r="L240" t="s">
        <v>1127</v>
      </c>
      <c r="M240">
        <v>5</v>
      </c>
      <c r="N240" s="2">
        <v>46065</v>
      </c>
      <c r="O240" s="2" t="s">
        <v>22</v>
      </c>
      <c r="P240" s="4">
        <f t="shared" ca="1" si="20"/>
        <v>6</v>
      </c>
      <c r="Q240" s="4" t="str">
        <f t="shared" ca="1" si="21"/>
        <v>6-10 Years</v>
      </c>
      <c r="R240">
        <f t="shared" ca="1" si="23"/>
        <v>0</v>
      </c>
      <c r="S240" t="s">
        <v>22</v>
      </c>
      <c r="T240">
        <v>3</v>
      </c>
      <c r="U240" t="s">
        <v>1394</v>
      </c>
      <c r="V240" t="s">
        <v>1394</v>
      </c>
      <c r="W240" t="s">
        <v>1394</v>
      </c>
      <c r="X240" s="3">
        <v>5</v>
      </c>
      <c r="Y240" t="s">
        <v>1395</v>
      </c>
      <c r="Z240">
        <v>34126</v>
      </c>
      <c r="AA240">
        <v>0.1</v>
      </c>
      <c r="AB240">
        <v>37538.600000000006</v>
      </c>
    </row>
    <row r="241" spans="1:28" x14ac:dyDescent="0.35">
      <c r="A241" t="str">
        <f t="shared" si="18"/>
        <v>EMP0240</v>
      </c>
      <c r="B241" t="str" cm="1">
        <f t="array" ref="B241">_xlfn.IFS(
ROW()&lt;=421,"NA",
ROW()&lt;=781,"LATAM",
ROW()&lt;=1021,"EMEA",
TRUE,"APAC"
)</f>
        <v>NA</v>
      </c>
      <c r="C241" t="str">
        <f t="shared" si="19"/>
        <v>USA</v>
      </c>
      <c r="D241" t="s">
        <v>35</v>
      </c>
      <c r="E241" t="s">
        <v>380</v>
      </c>
      <c r="F241" t="s">
        <v>865</v>
      </c>
      <c r="G241" t="s">
        <v>28</v>
      </c>
      <c r="H241" s="2">
        <v>45462</v>
      </c>
      <c r="I241" t="s">
        <v>29</v>
      </c>
      <c r="J241" t="s">
        <v>36</v>
      </c>
      <c r="K241" t="str">
        <f t="shared" ca="1" si="22"/>
        <v>OK</v>
      </c>
      <c r="L241" t="s">
        <v>1188</v>
      </c>
      <c r="M241">
        <v>5</v>
      </c>
      <c r="N241" s="2">
        <v>46076</v>
      </c>
      <c r="O241" s="2" t="s">
        <v>22</v>
      </c>
      <c r="P241" s="4">
        <f t="shared" ca="1" si="20"/>
        <v>1</v>
      </c>
      <c r="Q241" s="4" t="str">
        <f t="shared" ca="1" si="21"/>
        <v>0-2 Years</v>
      </c>
      <c r="R241">
        <f t="shared" ca="1" si="23"/>
        <v>1</v>
      </c>
      <c r="S241" t="s">
        <v>22</v>
      </c>
      <c r="T241">
        <v>3</v>
      </c>
      <c r="U241" t="s">
        <v>1394</v>
      </c>
      <c r="V241" t="s">
        <v>1394</v>
      </c>
      <c r="W241" t="s">
        <v>1394</v>
      </c>
      <c r="X241" s="3">
        <v>3</v>
      </c>
      <c r="Y241" t="s">
        <v>1398</v>
      </c>
      <c r="Z241">
        <v>34016</v>
      </c>
      <c r="AA241">
        <v>0.1</v>
      </c>
      <c r="AB241">
        <v>37417.600000000006</v>
      </c>
    </row>
    <row r="242" spans="1:28" x14ac:dyDescent="0.35">
      <c r="A242" t="str">
        <f t="shared" si="18"/>
        <v>EMP0241</v>
      </c>
      <c r="B242" t="str" cm="1">
        <f t="array" ref="B242">_xlfn.IFS(
ROW()&lt;=421,"NA",
ROW()&lt;=781,"LATAM",
ROW()&lt;=1021,"EMEA",
TRUE,"APAC"
)</f>
        <v>NA</v>
      </c>
      <c r="C242" t="str">
        <f t="shared" si="19"/>
        <v>USA</v>
      </c>
      <c r="D242" t="s">
        <v>41</v>
      </c>
      <c r="E242" t="s">
        <v>69</v>
      </c>
      <c r="F242" t="s">
        <v>94</v>
      </c>
      <c r="G242" t="s">
        <v>28</v>
      </c>
      <c r="H242" s="2">
        <v>45461</v>
      </c>
      <c r="I242" t="s">
        <v>29</v>
      </c>
      <c r="J242" t="s">
        <v>42</v>
      </c>
      <c r="K242" t="str">
        <f t="shared" ca="1" si="22"/>
        <v>OK</v>
      </c>
      <c r="L242" t="s">
        <v>95</v>
      </c>
      <c r="M242">
        <v>3</v>
      </c>
      <c r="N242" s="2">
        <v>46035</v>
      </c>
      <c r="O242" s="2" t="s">
        <v>22</v>
      </c>
      <c r="P242" s="4">
        <f t="shared" ca="1" si="20"/>
        <v>1</v>
      </c>
      <c r="Q242" s="4" t="str">
        <f t="shared" ca="1" si="21"/>
        <v>0-2 Years</v>
      </c>
      <c r="R242">
        <f t="shared" ca="1" si="23"/>
        <v>1</v>
      </c>
      <c r="S242" t="s">
        <v>22</v>
      </c>
      <c r="T242">
        <v>5</v>
      </c>
      <c r="U242" t="s">
        <v>1394</v>
      </c>
      <c r="V242" t="s">
        <v>1394</v>
      </c>
      <c r="W242" t="s">
        <v>1394</v>
      </c>
      <c r="X242" s="3">
        <v>4</v>
      </c>
      <c r="Y242" t="s">
        <v>1395</v>
      </c>
      <c r="Z242">
        <v>107715</v>
      </c>
      <c r="AA242">
        <v>0.2</v>
      </c>
      <c r="AB242">
        <v>129258</v>
      </c>
    </row>
    <row r="243" spans="1:28" x14ac:dyDescent="0.35">
      <c r="A243" t="str">
        <f t="shared" si="18"/>
        <v>EMP0242</v>
      </c>
      <c r="B243" t="str" cm="1">
        <f t="array" ref="B243">_xlfn.IFS(
ROW()&lt;=421,"NA",
ROW()&lt;=781,"LATAM",
ROW()&lt;=1021,"EMEA",
TRUE,"APAC"
)</f>
        <v>NA</v>
      </c>
      <c r="C243" t="str">
        <f t="shared" si="19"/>
        <v>USA</v>
      </c>
      <c r="D243" t="s">
        <v>32</v>
      </c>
      <c r="E243" t="s">
        <v>380</v>
      </c>
      <c r="F243" t="s">
        <v>521</v>
      </c>
      <c r="G243" t="s">
        <v>28</v>
      </c>
      <c r="H243" s="2">
        <v>43778</v>
      </c>
      <c r="I243" t="s">
        <v>29</v>
      </c>
      <c r="J243" t="s">
        <v>33</v>
      </c>
      <c r="K243" t="str">
        <f t="shared" ca="1" si="22"/>
        <v>OK</v>
      </c>
      <c r="L243" t="s">
        <v>157</v>
      </c>
      <c r="M243">
        <v>5</v>
      </c>
      <c r="N243" s="2">
        <v>46073</v>
      </c>
      <c r="O243" s="2" t="s">
        <v>22</v>
      </c>
      <c r="P243" s="4">
        <f t="shared" ca="1" si="20"/>
        <v>6</v>
      </c>
      <c r="Q243" s="4" t="str">
        <f t="shared" ca="1" si="21"/>
        <v>6-10 Years</v>
      </c>
      <c r="R243">
        <f t="shared" ca="1" si="23"/>
        <v>0</v>
      </c>
      <c r="S243" t="s">
        <v>22</v>
      </c>
      <c r="T243">
        <v>4</v>
      </c>
      <c r="U243" t="s">
        <v>1396</v>
      </c>
      <c r="V243" t="s">
        <v>1394</v>
      </c>
      <c r="W243" t="s">
        <v>1394</v>
      </c>
      <c r="X243" s="3">
        <v>4</v>
      </c>
      <c r="Y243" t="s">
        <v>1395</v>
      </c>
      <c r="Z243">
        <v>20012</v>
      </c>
      <c r="AA243">
        <v>0.1</v>
      </c>
      <c r="AB243">
        <v>22013.200000000001</v>
      </c>
    </row>
    <row r="244" spans="1:28" x14ac:dyDescent="0.35">
      <c r="A244" t="str">
        <f t="shared" si="18"/>
        <v>EMP0243</v>
      </c>
      <c r="B244" t="str" cm="1">
        <f t="array" ref="B244">_xlfn.IFS(
ROW()&lt;=421,"NA",
ROW()&lt;=781,"LATAM",
ROW()&lt;=1021,"EMEA",
TRUE,"APAC"
)</f>
        <v>NA</v>
      </c>
      <c r="C244" t="str">
        <f t="shared" si="19"/>
        <v>USA</v>
      </c>
      <c r="D244" t="s">
        <v>41</v>
      </c>
      <c r="E244" t="s">
        <v>380</v>
      </c>
      <c r="F244" t="s">
        <v>414</v>
      </c>
      <c r="G244" t="s">
        <v>28</v>
      </c>
      <c r="H244" s="2">
        <v>45447</v>
      </c>
      <c r="I244" t="s">
        <v>29</v>
      </c>
      <c r="J244" t="s">
        <v>42</v>
      </c>
      <c r="K244" t="str">
        <f t="shared" ca="1" si="22"/>
        <v>OK</v>
      </c>
      <c r="L244" t="s">
        <v>537</v>
      </c>
      <c r="M244">
        <v>5</v>
      </c>
      <c r="N244" s="2">
        <v>46035</v>
      </c>
      <c r="O244" s="2" t="s">
        <v>22</v>
      </c>
      <c r="P244" s="4">
        <f t="shared" ca="1" si="20"/>
        <v>1</v>
      </c>
      <c r="Q244" s="4" t="str">
        <f t="shared" ca="1" si="21"/>
        <v>0-2 Years</v>
      </c>
      <c r="R244">
        <f t="shared" ca="1" si="23"/>
        <v>1</v>
      </c>
      <c r="S244" t="s">
        <v>22</v>
      </c>
      <c r="T244">
        <v>5</v>
      </c>
      <c r="U244" t="s">
        <v>1394</v>
      </c>
      <c r="V244" t="s">
        <v>1394</v>
      </c>
      <c r="W244" t="s">
        <v>1394</v>
      </c>
      <c r="X244" s="3">
        <v>3</v>
      </c>
      <c r="Y244" t="s">
        <v>1398</v>
      </c>
      <c r="Z244">
        <v>35514</v>
      </c>
      <c r="AA244">
        <v>0.1</v>
      </c>
      <c r="AB244">
        <v>39065.4</v>
      </c>
    </row>
    <row r="245" spans="1:28" x14ac:dyDescent="0.35">
      <c r="A245" t="str">
        <f t="shared" si="18"/>
        <v>EMP0244</v>
      </c>
      <c r="B245" t="str" cm="1">
        <f t="array" ref="B245">_xlfn.IFS(
ROW()&lt;=421,"NA",
ROW()&lt;=781,"LATAM",
ROW()&lt;=1021,"EMEA",
TRUE,"APAC"
)</f>
        <v>NA</v>
      </c>
      <c r="C245" t="str">
        <f t="shared" si="19"/>
        <v>USA</v>
      </c>
      <c r="D245" t="s">
        <v>32</v>
      </c>
      <c r="E245" t="s">
        <v>380</v>
      </c>
      <c r="F245" t="s">
        <v>777</v>
      </c>
      <c r="G245" t="s">
        <v>28</v>
      </c>
      <c r="H245" s="2">
        <v>43764</v>
      </c>
      <c r="I245" t="s">
        <v>29</v>
      </c>
      <c r="J245" t="s">
        <v>33</v>
      </c>
      <c r="K245" t="str">
        <f t="shared" ca="1" si="22"/>
        <v>OK</v>
      </c>
      <c r="L245" t="s">
        <v>224</v>
      </c>
      <c r="M245">
        <v>5</v>
      </c>
      <c r="N245" s="2">
        <v>46028</v>
      </c>
      <c r="O245" s="2" t="s">
        <v>22</v>
      </c>
      <c r="P245" s="4">
        <f t="shared" ca="1" si="20"/>
        <v>6</v>
      </c>
      <c r="Q245" s="4" t="str">
        <f t="shared" ca="1" si="21"/>
        <v>6-10 Years</v>
      </c>
      <c r="R245">
        <f t="shared" ca="1" si="23"/>
        <v>0</v>
      </c>
      <c r="S245" t="s">
        <v>22</v>
      </c>
      <c r="T245">
        <v>3</v>
      </c>
      <c r="U245" t="s">
        <v>1394</v>
      </c>
      <c r="V245" t="s">
        <v>1394</v>
      </c>
      <c r="W245" t="s">
        <v>1394</v>
      </c>
      <c r="X245" s="3">
        <v>5</v>
      </c>
      <c r="Y245" t="s">
        <v>1395</v>
      </c>
      <c r="Z245">
        <v>35464</v>
      </c>
      <c r="AA245">
        <v>0.1</v>
      </c>
      <c r="AB245">
        <v>39010.400000000001</v>
      </c>
    </row>
    <row r="246" spans="1:28" x14ac:dyDescent="0.35">
      <c r="A246" t="str">
        <f t="shared" si="18"/>
        <v>EMP0245</v>
      </c>
      <c r="B246" t="str" cm="1">
        <f t="array" ref="B246">_xlfn.IFS(
ROW()&lt;=421,"NA",
ROW()&lt;=781,"LATAM",
ROW()&lt;=1021,"EMEA",
TRUE,"APAC"
)</f>
        <v>NA</v>
      </c>
      <c r="C246" t="str">
        <f t="shared" si="19"/>
        <v>USA</v>
      </c>
      <c r="D246" t="s">
        <v>35</v>
      </c>
      <c r="E246" t="s">
        <v>380</v>
      </c>
      <c r="F246" t="s">
        <v>577</v>
      </c>
      <c r="G246" t="s">
        <v>28</v>
      </c>
      <c r="H246" s="2">
        <v>45431</v>
      </c>
      <c r="I246" t="s">
        <v>29</v>
      </c>
      <c r="J246" t="s">
        <v>36</v>
      </c>
      <c r="K246" t="str">
        <f t="shared" ca="1" si="22"/>
        <v>OK</v>
      </c>
      <c r="L246" t="s">
        <v>898</v>
      </c>
      <c r="M246">
        <v>5</v>
      </c>
      <c r="N246" s="2">
        <v>46017</v>
      </c>
      <c r="O246" s="2" t="s">
        <v>22</v>
      </c>
      <c r="P246" s="4">
        <f t="shared" ca="1" si="20"/>
        <v>1</v>
      </c>
      <c r="Q246" s="4" t="str">
        <f t="shared" ca="1" si="21"/>
        <v>0-2 Years</v>
      </c>
      <c r="R246">
        <f t="shared" ca="1" si="23"/>
        <v>1</v>
      </c>
      <c r="S246" t="s">
        <v>22</v>
      </c>
      <c r="T246">
        <v>4</v>
      </c>
      <c r="U246" t="s">
        <v>1394</v>
      </c>
      <c r="V246" t="s">
        <v>1394</v>
      </c>
      <c r="W246" t="s">
        <v>1394</v>
      </c>
      <c r="X246" s="3">
        <v>1</v>
      </c>
      <c r="Y246" t="s">
        <v>1397</v>
      </c>
      <c r="Z246">
        <v>34162</v>
      </c>
      <c r="AA246">
        <v>0.1</v>
      </c>
      <c r="AB246">
        <v>37578.200000000004</v>
      </c>
    </row>
    <row r="247" spans="1:28" x14ac:dyDescent="0.35">
      <c r="A247" t="str">
        <f t="shared" si="18"/>
        <v>EMP0246</v>
      </c>
      <c r="B247" t="str" cm="1">
        <f t="array" ref="B247">_xlfn.IFS(
ROW()&lt;=421,"NA",
ROW()&lt;=781,"LATAM",
ROW()&lt;=1021,"EMEA",
TRUE,"APAC"
)</f>
        <v>NA</v>
      </c>
      <c r="C247" t="str">
        <f t="shared" si="19"/>
        <v>USA</v>
      </c>
      <c r="D247" t="s">
        <v>32</v>
      </c>
      <c r="E247" t="s">
        <v>380</v>
      </c>
      <c r="F247" t="s">
        <v>402</v>
      </c>
      <c r="G247" t="s">
        <v>28</v>
      </c>
      <c r="H247" s="2">
        <v>43550</v>
      </c>
      <c r="I247" t="s">
        <v>29</v>
      </c>
      <c r="J247" t="s">
        <v>33</v>
      </c>
      <c r="K247" t="str">
        <f t="shared" ca="1" si="22"/>
        <v>OK</v>
      </c>
      <c r="L247" t="s">
        <v>403</v>
      </c>
      <c r="M247">
        <v>5</v>
      </c>
      <c r="N247" s="2">
        <v>46028</v>
      </c>
      <c r="O247" s="2" t="s">
        <v>22</v>
      </c>
      <c r="P247" s="4">
        <f t="shared" ca="1" si="20"/>
        <v>6</v>
      </c>
      <c r="Q247" s="4" t="str">
        <f t="shared" ca="1" si="21"/>
        <v>6-10 Years</v>
      </c>
      <c r="R247">
        <f t="shared" ca="1" si="23"/>
        <v>0</v>
      </c>
      <c r="S247" t="s">
        <v>22</v>
      </c>
      <c r="T247">
        <v>2</v>
      </c>
      <c r="U247" t="s">
        <v>1394</v>
      </c>
      <c r="V247" t="s">
        <v>1394</v>
      </c>
      <c r="W247" t="s">
        <v>1394</v>
      </c>
      <c r="X247" s="3">
        <v>5</v>
      </c>
      <c r="Y247" t="s">
        <v>1395</v>
      </c>
      <c r="Z247">
        <v>37764</v>
      </c>
      <c r="AA247">
        <v>0.1</v>
      </c>
      <c r="AB247">
        <v>41540.400000000001</v>
      </c>
    </row>
    <row r="248" spans="1:28" x14ac:dyDescent="0.35">
      <c r="A248" t="str">
        <f t="shared" si="18"/>
        <v>EMP0247</v>
      </c>
      <c r="B248" t="str" cm="1">
        <f t="array" ref="B248">_xlfn.IFS(
ROW()&lt;=421,"NA",
ROW()&lt;=781,"LATAM",
ROW()&lt;=1021,"EMEA",
TRUE,"APAC"
)</f>
        <v>NA</v>
      </c>
      <c r="C248" t="str">
        <f t="shared" si="19"/>
        <v>USA</v>
      </c>
      <c r="D248" t="s">
        <v>41</v>
      </c>
      <c r="E248" t="s">
        <v>380</v>
      </c>
      <c r="F248" t="s">
        <v>666</v>
      </c>
      <c r="G248" t="s">
        <v>28</v>
      </c>
      <c r="H248" s="2">
        <v>45418</v>
      </c>
      <c r="I248" t="s">
        <v>29</v>
      </c>
      <c r="J248" t="s">
        <v>42</v>
      </c>
      <c r="K248" t="str">
        <f t="shared" ca="1" si="22"/>
        <v>OK</v>
      </c>
      <c r="L248" t="s">
        <v>915</v>
      </c>
      <c r="M248">
        <v>5</v>
      </c>
      <c r="N248" s="2">
        <v>46044</v>
      </c>
      <c r="O248" s="2" t="s">
        <v>22</v>
      </c>
      <c r="P248" s="4">
        <f t="shared" ca="1" si="20"/>
        <v>1</v>
      </c>
      <c r="Q248" s="4" t="str">
        <f t="shared" ca="1" si="21"/>
        <v>0-2 Years</v>
      </c>
      <c r="R248">
        <f t="shared" ca="1" si="23"/>
        <v>1</v>
      </c>
      <c r="S248" t="s">
        <v>22</v>
      </c>
      <c r="T248">
        <v>4</v>
      </c>
      <c r="U248" t="s">
        <v>1394</v>
      </c>
      <c r="V248" t="s">
        <v>1396</v>
      </c>
      <c r="W248" t="s">
        <v>1394</v>
      </c>
      <c r="X248" s="3">
        <v>1</v>
      </c>
      <c r="Y248" t="s">
        <v>1397</v>
      </c>
      <c r="Z248">
        <v>34195</v>
      </c>
      <c r="AA248">
        <v>0.1</v>
      </c>
      <c r="AB248">
        <v>37614.5</v>
      </c>
    </row>
    <row r="249" spans="1:28" x14ac:dyDescent="0.35">
      <c r="A249" t="str">
        <f t="shared" si="18"/>
        <v>EMP0248</v>
      </c>
      <c r="B249" t="str" cm="1">
        <f t="array" ref="B249">_xlfn.IFS(
ROW()&lt;=421,"NA",
ROW()&lt;=781,"LATAM",
ROW()&lt;=1021,"EMEA",
TRUE,"APAC"
)</f>
        <v>NA</v>
      </c>
      <c r="C249" t="str">
        <f t="shared" si="19"/>
        <v>USA</v>
      </c>
      <c r="D249" t="s">
        <v>26</v>
      </c>
      <c r="E249" t="s">
        <v>69</v>
      </c>
      <c r="F249" t="s">
        <v>76</v>
      </c>
      <c r="G249" t="s">
        <v>28</v>
      </c>
      <c r="H249" s="2">
        <v>45417</v>
      </c>
      <c r="I249" t="s">
        <v>29</v>
      </c>
      <c r="J249" t="s">
        <v>30</v>
      </c>
      <c r="K249" t="str">
        <f t="shared" ca="1" si="22"/>
        <v>OK</v>
      </c>
      <c r="L249" t="s">
        <v>143</v>
      </c>
      <c r="M249">
        <v>3</v>
      </c>
      <c r="N249" s="2">
        <v>46028</v>
      </c>
      <c r="O249" s="2" t="s">
        <v>22</v>
      </c>
      <c r="P249" s="4">
        <f t="shared" ca="1" si="20"/>
        <v>1</v>
      </c>
      <c r="Q249" s="4" t="str">
        <f t="shared" ca="1" si="21"/>
        <v>0-2 Years</v>
      </c>
      <c r="R249">
        <f t="shared" ca="1" si="23"/>
        <v>1</v>
      </c>
      <c r="S249" t="s">
        <v>22</v>
      </c>
      <c r="T249">
        <v>4</v>
      </c>
      <c r="U249" t="s">
        <v>1396</v>
      </c>
      <c r="V249" t="s">
        <v>1394</v>
      </c>
      <c r="W249" t="s">
        <v>1394</v>
      </c>
      <c r="X249" s="3">
        <v>2</v>
      </c>
      <c r="Y249" t="s">
        <v>1397</v>
      </c>
      <c r="Z249">
        <v>108583</v>
      </c>
      <c r="AA249">
        <v>0.2</v>
      </c>
      <c r="AB249">
        <v>130299.59999999999</v>
      </c>
    </row>
    <row r="250" spans="1:28" x14ac:dyDescent="0.35">
      <c r="A250" t="str">
        <f t="shared" si="18"/>
        <v>EMP0249</v>
      </c>
      <c r="B250" t="str" cm="1">
        <f t="array" ref="B250">_xlfn.IFS(
ROW()&lt;=421,"NA",
ROW()&lt;=781,"LATAM",
ROW()&lt;=1021,"EMEA",
TRUE,"APAC"
)</f>
        <v>NA</v>
      </c>
      <c r="C250" t="str">
        <f t="shared" si="19"/>
        <v>USA</v>
      </c>
      <c r="D250" t="s">
        <v>26</v>
      </c>
      <c r="E250" t="s">
        <v>380</v>
      </c>
      <c r="F250" t="s">
        <v>479</v>
      </c>
      <c r="G250" t="s">
        <v>28</v>
      </c>
      <c r="H250" s="2">
        <v>45406</v>
      </c>
      <c r="I250" t="s">
        <v>29</v>
      </c>
      <c r="J250" t="s">
        <v>30</v>
      </c>
      <c r="K250" t="str">
        <f t="shared" ca="1" si="22"/>
        <v>OK</v>
      </c>
      <c r="L250" t="s">
        <v>812</v>
      </c>
      <c r="M250">
        <v>5</v>
      </c>
      <c r="N250" s="2">
        <v>46069</v>
      </c>
      <c r="O250" s="2" t="s">
        <v>22</v>
      </c>
      <c r="P250" s="4">
        <f t="shared" ca="1" si="20"/>
        <v>1</v>
      </c>
      <c r="Q250" s="4" t="str">
        <f t="shared" ca="1" si="21"/>
        <v>0-2 Years</v>
      </c>
      <c r="R250">
        <f t="shared" ca="1" si="23"/>
        <v>1</v>
      </c>
      <c r="S250" t="s">
        <v>22</v>
      </c>
      <c r="T250">
        <v>4</v>
      </c>
      <c r="U250" t="s">
        <v>1394</v>
      </c>
      <c r="V250" t="s">
        <v>1394</v>
      </c>
      <c r="W250" t="s">
        <v>1394</v>
      </c>
      <c r="X250" s="3">
        <v>2</v>
      </c>
      <c r="Y250" t="s">
        <v>1397</v>
      </c>
      <c r="Z250">
        <v>29569</v>
      </c>
      <c r="AA250">
        <v>0.1</v>
      </c>
      <c r="AB250">
        <v>32525.9</v>
      </c>
    </row>
    <row r="251" spans="1:28" x14ac:dyDescent="0.35">
      <c r="A251" t="str">
        <f t="shared" si="18"/>
        <v>EMP0250</v>
      </c>
      <c r="B251" t="str" cm="1">
        <f t="array" ref="B251">_xlfn.IFS(
ROW()&lt;=421,"NA",
ROW()&lt;=781,"LATAM",
ROW()&lt;=1021,"EMEA",
TRUE,"APAC"
)</f>
        <v>NA</v>
      </c>
      <c r="C251" t="str">
        <f t="shared" si="19"/>
        <v>USA</v>
      </c>
      <c r="D251" t="s">
        <v>38</v>
      </c>
      <c r="E251" t="s">
        <v>380</v>
      </c>
      <c r="F251" t="s">
        <v>438</v>
      </c>
      <c r="G251" t="s">
        <v>28</v>
      </c>
      <c r="H251" s="2">
        <v>45405</v>
      </c>
      <c r="I251" t="s">
        <v>29</v>
      </c>
      <c r="J251" t="s">
        <v>39</v>
      </c>
      <c r="K251" t="str">
        <f t="shared" ca="1" si="22"/>
        <v>OK</v>
      </c>
      <c r="L251" t="s">
        <v>310</v>
      </c>
      <c r="M251">
        <v>5</v>
      </c>
      <c r="N251" s="2">
        <v>45997</v>
      </c>
      <c r="O251" s="2" t="s">
        <v>22</v>
      </c>
      <c r="P251" s="4">
        <f t="shared" ca="1" si="20"/>
        <v>1</v>
      </c>
      <c r="Q251" s="4" t="str">
        <f t="shared" ca="1" si="21"/>
        <v>0-2 Years</v>
      </c>
      <c r="R251">
        <f t="shared" ca="1" si="23"/>
        <v>1</v>
      </c>
      <c r="S251" t="s">
        <v>22</v>
      </c>
      <c r="T251">
        <v>3</v>
      </c>
      <c r="U251" t="s">
        <v>1394</v>
      </c>
      <c r="V251" t="s">
        <v>1394</v>
      </c>
      <c r="W251" t="s">
        <v>1394</v>
      </c>
      <c r="X251" s="3">
        <v>1</v>
      </c>
      <c r="Y251" t="s">
        <v>1397</v>
      </c>
      <c r="Z251">
        <v>44425</v>
      </c>
      <c r="AA251">
        <v>0.1</v>
      </c>
      <c r="AB251">
        <v>48867.500000000007</v>
      </c>
    </row>
    <row r="252" spans="1:28" x14ac:dyDescent="0.35">
      <c r="A252" t="str">
        <f t="shared" si="18"/>
        <v>EMP0251</v>
      </c>
      <c r="B252" t="str" cm="1">
        <f t="array" ref="B252">_xlfn.IFS(
ROW()&lt;=421,"NA",
ROW()&lt;=781,"LATAM",
ROW()&lt;=1021,"EMEA",
TRUE,"APAC"
)</f>
        <v>NA</v>
      </c>
      <c r="C252" t="str">
        <f t="shared" si="19"/>
        <v>USA</v>
      </c>
      <c r="D252" t="s">
        <v>41</v>
      </c>
      <c r="E252" t="s">
        <v>380</v>
      </c>
      <c r="F252" t="s">
        <v>777</v>
      </c>
      <c r="G252" t="s">
        <v>28</v>
      </c>
      <c r="H252" s="2">
        <v>45403</v>
      </c>
      <c r="I252" t="s">
        <v>29</v>
      </c>
      <c r="J252" t="s">
        <v>42</v>
      </c>
      <c r="K252" t="str">
        <f t="shared" ca="1" si="22"/>
        <v>OK</v>
      </c>
      <c r="L252" t="s">
        <v>778</v>
      </c>
      <c r="M252">
        <v>5</v>
      </c>
      <c r="N252" s="2">
        <v>46069</v>
      </c>
      <c r="O252" s="2" t="s">
        <v>22</v>
      </c>
      <c r="P252" s="4">
        <f t="shared" ca="1" si="20"/>
        <v>1</v>
      </c>
      <c r="Q252" s="4" t="str">
        <f t="shared" ca="1" si="21"/>
        <v>0-2 Years</v>
      </c>
      <c r="R252">
        <f t="shared" ca="1" si="23"/>
        <v>1</v>
      </c>
      <c r="S252" t="s">
        <v>22</v>
      </c>
      <c r="T252">
        <v>3</v>
      </c>
      <c r="U252" t="s">
        <v>1394</v>
      </c>
      <c r="V252" t="s">
        <v>1394</v>
      </c>
      <c r="W252" t="s">
        <v>1394</v>
      </c>
      <c r="X252" s="3">
        <v>2</v>
      </c>
      <c r="Y252" t="s">
        <v>1397</v>
      </c>
      <c r="Z252">
        <v>38498</v>
      </c>
      <c r="AA252">
        <v>0.1</v>
      </c>
      <c r="AB252">
        <v>42347.8</v>
      </c>
    </row>
    <row r="253" spans="1:28" x14ac:dyDescent="0.35">
      <c r="A253" t="str">
        <f t="shared" si="18"/>
        <v>EMP0252</v>
      </c>
      <c r="B253" t="str" cm="1">
        <f t="array" ref="B253">_xlfn.IFS(
ROW()&lt;=421,"NA",
ROW()&lt;=781,"LATAM",
ROW()&lt;=1021,"EMEA",
TRUE,"APAC"
)</f>
        <v>NA</v>
      </c>
      <c r="C253" t="str">
        <f t="shared" si="19"/>
        <v>USA</v>
      </c>
      <c r="D253" t="s">
        <v>32</v>
      </c>
      <c r="E253" t="s">
        <v>145</v>
      </c>
      <c r="F253" t="s">
        <v>255</v>
      </c>
      <c r="G253" t="s">
        <v>53</v>
      </c>
      <c r="H253" s="2">
        <v>43601</v>
      </c>
      <c r="I253" t="s">
        <v>29</v>
      </c>
      <c r="J253" t="s">
        <v>33</v>
      </c>
      <c r="K253" t="str">
        <f t="shared" ca="1" si="22"/>
        <v>OK</v>
      </c>
      <c r="L253" t="s">
        <v>256</v>
      </c>
      <c r="M253">
        <v>4</v>
      </c>
      <c r="N253" s="2">
        <v>45993</v>
      </c>
      <c r="O253" s="2" t="s">
        <v>22</v>
      </c>
      <c r="P253" s="4">
        <f t="shared" ca="1" si="20"/>
        <v>6</v>
      </c>
      <c r="Q253" s="4" t="str">
        <f t="shared" ca="1" si="21"/>
        <v>6-10 Years</v>
      </c>
      <c r="R253">
        <f t="shared" ca="1" si="23"/>
        <v>0</v>
      </c>
      <c r="S253" t="s">
        <v>22</v>
      </c>
      <c r="T253">
        <v>4</v>
      </c>
      <c r="U253" t="s">
        <v>1396</v>
      </c>
      <c r="V253" t="s">
        <v>1394</v>
      </c>
      <c r="W253" t="s">
        <v>1394</v>
      </c>
      <c r="X253" s="3">
        <v>4</v>
      </c>
      <c r="Y253" t="s">
        <v>1395</v>
      </c>
      <c r="Z253">
        <v>63264</v>
      </c>
      <c r="AA253">
        <v>0.15</v>
      </c>
      <c r="AB253">
        <v>72753.599999999991</v>
      </c>
    </row>
    <row r="254" spans="1:28" x14ac:dyDescent="0.35">
      <c r="A254" t="str">
        <f t="shared" si="18"/>
        <v>EMP0253</v>
      </c>
      <c r="B254" t="str" cm="1">
        <f t="array" ref="B254">_xlfn.IFS(
ROW()&lt;=421,"NA",
ROW()&lt;=781,"LATAM",
ROW()&lt;=1021,"EMEA",
TRUE,"APAC"
)</f>
        <v>NA</v>
      </c>
      <c r="C254" t="str">
        <f t="shared" si="19"/>
        <v>USA</v>
      </c>
      <c r="D254" t="s">
        <v>32</v>
      </c>
      <c r="E254" t="s">
        <v>380</v>
      </c>
      <c r="F254" t="s">
        <v>917</v>
      </c>
      <c r="G254" t="s">
        <v>28</v>
      </c>
      <c r="H254" s="2">
        <v>45397</v>
      </c>
      <c r="I254" t="s">
        <v>57</v>
      </c>
      <c r="J254" t="s">
        <v>33</v>
      </c>
      <c r="K254" t="str">
        <f t="shared" ca="1" si="22"/>
        <v>OK</v>
      </c>
      <c r="L254" t="s">
        <v>1157</v>
      </c>
      <c r="M254">
        <v>5</v>
      </c>
      <c r="N254" s="2">
        <v>46066</v>
      </c>
      <c r="O254" s="2">
        <v>46071</v>
      </c>
      <c r="P254" s="4">
        <f t="shared" ca="1" si="20"/>
        <v>1</v>
      </c>
      <c r="Q254" s="4" t="str">
        <f t="shared" ca="1" si="21"/>
        <v>0-2 Years</v>
      </c>
      <c r="R254">
        <f t="shared" ca="1" si="23"/>
        <v>1</v>
      </c>
      <c r="S254" t="s">
        <v>23</v>
      </c>
      <c r="T254">
        <v>3</v>
      </c>
      <c r="U254" t="s">
        <v>1394</v>
      </c>
      <c r="V254" t="s">
        <v>1394</v>
      </c>
      <c r="W254" t="s">
        <v>1394</v>
      </c>
      <c r="X254" s="3">
        <v>5</v>
      </c>
      <c r="Y254" t="s">
        <v>1395</v>
      </c>
      <c r="Z254">
        <v>39133</v>
      </c>
      <c r="AA254">
        <v>0.1</v>
      </c>
      <c r="AB254">
        <v>43046.3</v>
      </c>
    </row>
    <row r="255" spans="1:28" x14ac:dyDescent="0.35">
      <c r="A255" t="str">
        <f t="shared" si="18"/>
        <v>EMP0254</v>
      </c>
      <c r="B255" t="str" cm="1">
        <f t="array" ref="B255">_xlfn.IFS(
ROW()&lt;=421,"NA",
ROW()&lt;=781,"LATAM",
ROW()&lt;=1021,"EMEA",
TRUE,"APAC"
)</f>
        <v>NA</v>
      </c>
      <c r="C255" t="str">
        <f t="shared" si="19"/>
        <v>USA</v>
      </c>
      <c r="D255" t="s">
        <v>38</v>
      </c>
      <c r="E255" t="s">
        <v>145</v>
      </c>
      <c r="F255" t="s">
        <v>170</v>
      </c>
      <c r="G255" t="s">
        <v>28</v>
      </c>
      <c r="H255" s="2">
        <v>45394</v>
      </c>
      <c r="I255" t="s">
        <v>29</v>
      </c>
      <c r="J255" t="s">
        <v>39</v>
      </c>
      <c r="K255" t="str">
        <f t="shared" ca="1" si="22"/>
        <v>OK</v>
      </c>
      <c r="L255" t="s">
        <v>281</v>
      </c>
      <c r="M255">
        <v>4</v>
      </c>
      <c r="N255" s="2">
        <v>46014</v>
      </c>
      <c r="O255" s="2" t="s">
        <v>22</v>
      </c>
      <c r="P255" s="4">
        <f t="shared" ca="1" si="20"/>
        <v>1</v>
      </c>
      <c r="Q255" s="4" t="str">
        <f t="shared" ca="1" si="21"/>
        <v>0-2 Years</v>
      </c>
      <c r="R255">
        <f t="shared" ca="1" si="23"/>
        <v>1</v>
      </c>
      <c r="S255" t="s">
        <v>22</v>
      </c>
      <c r="T255">
        <v>4</v>
      </c>
      <c r="U255" t="s">
        <v>1394</v>
      </c>
      <c r="V255" t="s">
        <v>1394</v>
      </c>
      <c r="W255" t="s">
        <v>1394</v>
      </c>
      <c r="X255" s="3">
        <v>4</v>
      </c>
      <c r="Y255" t="s">
        <v>1395</v>
      </c>
      <c r="Z255">
        <v>68171</v>
      </c>
      <c r="AA255">
        <v>0.15</v>
      </c>
      <c r="AB255">
        <v>78396.649999999994</v>
      </c>
    </row>
    <row r="256" spans="1:28" x14ac:dyDescent="0.35">
      <c r="A256" t="str">
        <f t="shared" si="18"/>
        <v>EMP0255</v>
      </c>
      <c r="B256" t="str" cm="1">
        <f t="array" ref="B256">_xlfn.IFS(
ROW()&lt;=421,"NA",
ROW()&lt;=781,"LATAM",
ROW()&lt;=1021,"EMEA",
TRUE,"APAC"
)</f>
        <v>NA</v>
      </c>
      <c r="C256" t="str">
        <f t="shared" si="19"/>
        <v>USA</v>
      </c>
      <c r="D256" t="s">
        <v>41</v>
      </c>
      <c r="E256" t="s">
        <v>380</v>
      </c>
      <c r="F256" t="s">
        <v>609</v>
      </c>
      <c r="G256" t="s">
        <v>28</v>
      </c>
      <c r="H256" s="2">
        <v>45394</v>
      </c>
      <c r="I256" t="s">
        <v>29</v>
      </c>
      <c r="J256" t="s">
        <v>42</v>
      </c>
      <c r="K256" t="str">
        <f t="shared" ca="1" si="22"/>
        <v>OK</v>
      </c>
      <c r="L256" t="s">
        <v>997</v>
      </c>
      <c r="M256">
        <v>5</v>
      </c>
      <c r="N256" s="2">
        <v>46010</v>
      </c>
      <c r="O256" s="2" t="s">
        <v>22</v>
      </c>
      <c r="P256" s="4">
        <f t="shared" ca="1" si="20"/>
        <v>1</v>
      </c>
      <c r="Q256" s="4" t="str">
        <f t="shared" ca="1" si="21"/>
        <v>0-2 Years</v>
      </c>
      <c r="R256">
        <f t="shared" ca="1" si="23"/>
        <v>1</v>
      </c>
      <c r="S256" t="s">
        <v>22</v>
      </c>
      <c r="T256">
        <v>3</v>
      </c>
      <c r="U256" t="s">
        <v>1396</v>
      </c>
      <c r="V256" t="s">
        <v>1394</v>
      </c>
      <c r="W256" t="s">
        <v>1394</v>
      </c>
      <c r="X256" s="3">
        <v>1</v>
      </c>
      <c r="Y256" t="s">
        <v>1397</v>
      </c>
      <c r="Z256">
        <v>31802</v>
      </c>
      <c r="AA256">
        <v>0.1</v>
      </c>
      <c r="AB256">
        <v>34982.200000000004</v>
      </c>
    </row>
    <row r="257" spans="1:28" x14ac:dyDescent="0.35">
      <c r="A257" t="str">
        <f t="shared" si="18"/>
        <v>EMP0256</v>
      </c>
      <c r="B257" t="str" cm="1">
        <f t="array" ref="B257">_xlfn.IFS(
ROW()&lt;=421,"NA",
ROW()&lt;=781,"LATAM",
ROW()&lt;=1021,"EMEA",
TRUE,"APAC"
)</f>
        <v>NA</v>
      </c>
      <c r="C257" t="str">
        <f t="shared" si="19"/>
        <v>USA</v>
      </c>
      <c r="D257" t="s">
        <v>32</v>
      </c>
      <c r="E257" t="s">
        <v>380</v>
      </c>
      <c r="F257" t="s">
        <v>499</v>
      </c>
      <c r="G257" t="s">
        <v>28</v>
      </c>
      <c r="H257" s="2">
        <v>43319</v>
      </c>
      <c r="I257" t="s">
        <v>29</v>
      </c>
      <c r="J257" t="s">
        <v>33</v>
      </c>
      <c r="K257" t="str">
        <f t="shared" ca="1" si="22"/>
        <v>OK</v>
      </c>
      <c r="L257" t="s">
        <v>500</v>
      </c>
      <c r="M257">
        <v>5</v>
      </c>
      <c r="N257" s="2">
        <v>46008</v>
      </c>
      <c r="O257" s="2" t="s">
        <v>22</v>
      </c>
      <c r="P257" s="4">
        <f t="shared" ca="1" si="20"/>
        <v>7</v>
      </c>
      <c r="Q257" s="4" t="str">
        <f t="shared" ca="1" si="21"/>
        <v>6-10 Years</v>
      </c>
      <c r="R257">
        <f t="shared" ca="1" si="23"/>
        <v>0</v>
      </c>
      <c r="S257" t="s">
        <v>22</v>
      </c>
      <c r="T257">
        <v>4</v>
      </c>
      <c r="U257" t="s">
        <v>1394</v>
      </c>
      <c r="V257" t="s">
        <v>1394</v>
      </c>
      <c r="W257" t="s">
        <v>1394</v>
      </c>
      <c r="X257" s="3">
        <v>5</v>
      </c>
      <c r="Y257" t="s">
        <v>1395</v>
      </c>
      <c r="Z257">
        <v>41836</v>
      </c>
      <c r="AA257">
        <v>0.1</v>
      </c>
      <c r="AB257">
        <v>46019.600000000006</v>
      </c>
    </row>
    <row r="258" spans="1:28" x14ac:dyDescent="0.35">
      <c r="A258" t="str">
        <f t="shared" ref="A258:A321" si="24">"EMP"&amp;TEXT(ROW()-1,"0000")</f>
        <v>EMP0257</v>
      </c>
      <c r="B258" t="str" cm="1">
        <f t="array" ref="B258">_xlfn.IFS(
ROW()&lt;=421,"NA",
ROW()&lt;=781,"LATAM",
ROW()&lt;=1021,"EMEA",
TRUE,"APAC"
)</f>
        <v>NA</v>
      </c>
      <c r="C258" t="str">
        <f t="shared" ref="C258:C321" si="25">IF(B258="NA","USA",
IF(B258="LATAM","Mexico",
IF(B258="EMEA","Germany","Singapore")))</f>
        <v>USA</v>
      </c>
      <c r="D258" t="s">
        <v>26</v>
      </c>
      <c r="E258" t="s">
        <v>380</v>
      </c>
      <c r="F258" t="s">
        <v>573</v>
      </c>
      <c r="G258" t="s">
        <v>28</v>
      </c>
      <c r="H258" s="2">
        <v>45386</v>
      </c>
      <c r="I258" t="s">
        <v>29</v>
      </c>
      <c r="J258" t="s">
        <v>30</v>
      </c>
      <c r="K258" t="str">
        <f t="shared" ca="1" si="22"/>
        <v>OK</v>
      </c>
      <c r="L258" t="s">
        <v>1073</v>
      </c>
      <c r="M258">
        <v>5</v>
      </c>
      <c r="N258" s="2">
        <v>46054</v>
      </c>
      <c r="O258" s="2" t="s">
        <v>22</v>
      </c>
      <c r="P258" s="4">
        <f t="shared" ref="P258:P321" ca="1" si="26">IF(H258&gt;TODAY(),
"",
IF(I258="Active",
DATEDIF(H258,TODAY(),"Y"),
DATEDIF(H258,O258,"Y")
))</f>
        <v>1</v>
      </c>
      <c r="Q258" s="4" t="str">
        <f t="shared" ref="Q258:Q321" ca="1" si="27">IF(P258&lt;=2,"0-2 Years",
IF(P258&lt;=5,"3-5 Years",
IF(P258&lt;=10,"6-10 Years","10+ Years")))</f>
        <v>0-2 Years</v>
      </c>
      <c r="R258">
        <f t="shared" ca="1" si="23"/>
        <v>1</v>
      </c>
      <c r="S258" t="s">
        <v>22</v>
      </c>
      <c r="T258">
        <v>4</v>
      </c>
      <c r="U258" t="s">
        <v>1394</v>
      </c>
      <c r="V258" t="s">
        <v>1396</v>
      </c>
      <c r="W258" t="s">
        <v>1394</v>
      </c>
      <c r="X258" s="3">
        <v>2</v>
      </c>
      <c r="Y258" t="s">
        <v>1397</v>
      </c>
      <c r="Z258">
        <v>33557</v>
      </c>
      <c r="AA258">
        <v>0.1</v>
      </c>
      <c r="AB258">
        <v>36912.700000000004</v>
      </c>
    </row>
    <row r="259" spans="1:28" x14ac:dyDescent="0.35">
      <c r="A259" t="str">
        <f t="shared" si="24"/>
        <v>EMP0258</v>
      </c>
      <c r="B259" t="str" cm="1">
        <f t="array" ref="B259">_xlfn.IFS(
ROW()&lt;=421,"NA",
ROW()&lt;=781,"LATAM",
ROW()&lt;=1021,"EMEA",
TRUE,"APAC"
)</f>
        <v>NA</v>
      </c>
      <c r="C259" t="str">
        <f t="shared" si="25"/>
        <v>USA</v>
      </c>
      <c r="D259" t="s">
        <v>41</v>
      </c>
      <c r="E259" t="s">
        <v>145</v>
      </c>
      <c r="F259" t="s">
        <v>192</v>
      </c>
      <c r="G259" t="s">
        <v>28</v>
      </c>
      <c r="H259" s="2">
        <v>45385</v>
      </c>
      <c r="I259" t="s">
        <v>29</v>
      </c>
      <c r="J259" t="s">
        <v>42</v>
      </c>
      <c r="K259" t="str">
        <f t="shared" ref="K259:K322" ca="1" si="28">IF(
OR(
H259="",
I259="",
AND(I259="Inactive",O259=""),
H259&gt;TODAY(),
Z259="",
F259="",
D259="",
X259&lt;1
),
"⚠ Review",
"OK"
)</f>
        <v>OK</v>
      </c>
      <c r="L259" t="s">
        <v>193</v>
      </c>
      <c r="M259">
        <v>4</v>
      </c>
      <c r="N259" s="2">
        <v>45995</v>
      </c>
      <c r="O259" s="2" t="s">
        <v>22</v>
      </c>
      <c r="P259" s="4">
        <f t="shared" ca="1" si="26"/>
        <v>1</v>
      </c>
      <c r="Q259" s="4" t="str">
        <f t="shared" ca="1" si="27"/>
        <v>0-2 Years</v>
      </c>
      <c r="R259">
        <f t="shared" ref="R259:R322" ca="1" si="29">IF(P259&lt;=2,1,0)</f>
        <v>1</v>
      </c>
      <c r="S259" t="s">
        <v>22</v>
      </c>
      <c r="T259">
        <v>3</v>
      </c>
      <c r="U259" t="s">
        <v>1394</v>
      </c>
      <c r="V259" t="s">
        <v>1394</v>
      </c>
      <c r="W259" t="s">
        <v>1394</v>
      </c>
      <c r="X259" s="3">
        <v>3</v>
      </c>
      <c r="Y259" t="s">
        <v>1398</v>
      </c>
      <c r="Z259">
        <v>82085</v>
      </c>
      <c r="AA259">
        <v>0.15</v>
      </c>
      <c r="AB259">
        <v>94397.749999999985</v>
      </c>
    </row>
    <row r="260" spans="1:28" x14ac:dyDescent="0.35">
      <c r="A260" t="str">
        <f t="shared" si="24"/>
        <v>EMP0259</v>
      </c>
      <c r="B260" t="str" cm="1">
        <f t="array" ref="B260">_xlfn.IFS(
ROW()&lt;=421,"NA",
ROW()&lt;=781,"LATAM",
ROW()&lt;=1021,"EMEA",
TRUE,"APAC"
)</f>
        <v>NA</v>
      </c>
      <c r="C260" t="str">
        <f t="shared" si="25"/>
        <v>USA</v>
      </c>
      <c r="D260" t="s">
        <v>26</v>
      </c>
      <c r="E260" t="s">
        <v>380</v>
      </c>
      <c r="F260" t="s">
        <v>759</v>
      </c>
      <c r="G260" t="s">
        <v>28</v>
      </c>
      <c r="H260" s="2">
        <v>45385</v>
      </c>
      <c r="I260" t="s">
        <v>29</v>
      </c>
      <c r="J260" t="s">
        <v>30</v>
      </c>
      <c r="K260" t="str">
        <f t="shared" ca="1" si="28"/>
        <v>OK</v>
      </c>
      <c r="L260" t="s">
        <v>1024</v>
      </c>
      <c r="M260">
        <v>5</v>
      </c>
      <c r="N260" s="2">
        <v>46054</v>
      </c>
      <c r="O260" s="2" t="s">
        <v>22</v>
      </c>
      <c r="P260" s="4">
        <f t="shared" ca="1" si="26"/>
        <v>1</v>
      </c>
      <c r="Q260" s="4" t="str">
        <f t="shared" ca="1" si="27"/>
        <v>0-2 Years</v>
      </c>
      <c r="R260">
        <f t="shared" ca="1" si="29"/>
        <v>1</v>
      </c>
      <c r="S260" t="s">
        <v>22</v>
      </c>
      <c r="T260">
        <v>3</v>
      </c>
      <c r="U260" t="s">
        <v>1394</v>
      </c>
      <c r="V260" t="s">
        <v>1394</v>
      </c>
      <c r="W260" t="s">
        <v>1394</v>
      </c>
      <c r="X260" s="3">
        <v>1</v>
      </c>
      <c r="Y260" t="s">
        <v>1397</v>
      </c>
      <c r="Z260">
        <v>45584</v>
      </c>
      <c r="AA260">
        <v>0.1</v>
      </c>
      <c r="AB260">
        <v>50142.400000000001</v>
      </c>
    </row>
    <row r="261" spans="1:28" x14ac:dyDescent="0.35">
      <c r="A261" t="str">
        <f t="shared" si="24"/>
        <v>EMP0260</v>
      </c>
      <c r="B261" t="str" cm="1">
        <f t="array" ref="B261">_xlfn.IFS(
ROW()&lt;=421,"NA",
ROW()&lt;=781,"LATAM",
ROW()&lt;=1021,"EMEA",
TRUE,"APAC"
)</f>
        <v>NA</v>
      </c>
      <c r="C261" t="str">
        <f t="shared" si="25"/>
        <v>USA</v>
      </c>
      <c r="D261" t="s">
        <v>41</v>
      </c>
      <c r="E261" t="s">
        <v>380</v>
      </c>
      <c r="F261" t="s">
        <v>476</v>
      </c>
      <c r="G261" t="s">
        <v>28</v>
      </c>
      <c r="H261" s="2">
        <v>45379</v>
      </c>
      <c r="I261" t="s">
        <v>29</v>
      </c>
      <c r="J261" t="s">
        <v>42</v>
      </c>
      <c r="K261" t="str">
        <f t="shared" ca="1" si="28"/>
        <v>OK</v>
      </c>
      <c r="L261" t="s">
        <v>1040</v>
      </c>
      <c r="M261">
        <v>5</v>
      </c>
      <c r="N261" s="2">
        <v>46056</v>
      </c>
      <c r="O261" s="2" t="s">
        <v>22</v>
      </c>
      <c r="P261" s="4">
        <f t="shared" ca="1" si="26"/>
        <v>1</v>
      </c>
      <c r="Q261" s="4" t="str">
        <f t="shared" ca="1" si="27"/>
        <v>0-2 Years</v>
      </c>
      <c r="R261">
        <f t="shared" ca="1" si="29"/>
        <v>1</v>
      </c>
      <c r="S261" t="s">
        <v>22</v>
      </c>
      <c r="T261">
        <v>3</v>
      </c>
      <c r="U261" t="s">
        <v>1394</v>
      </c>
      <c r="V261" t="s">
        <v>1394</v>
      </c>
      <c r="W261" t="s">
        <v>1394</v>
      </c>
      <c r="X261" s="3">
        <v>2</v>
      </c>
      <c r="Y261" t="s">
        <v>1397</v>
      </c>
      <c r="Z261">
        <v>32600</v>
      </c>
      <c r="AA261">
        <v>0.1</v>
      </c>
      <c r="AB261">
        <v>35860</v>
      </c>
    </row>
    <row r="262" spans="1:28" x14ac:dyDescent="0.35">
      <c r="A262" t="str">
        <f t="shared" si="24"/>
        <v>EMP0261</v>
      </c>
      <c r="B262" t="str" cm="1">
        <f t="array" ref="B262">_xlfn.IFS(
ROW()&lt;=421,"NA",
ROW()&lt;=781,"LATAM",
ROW()&lt;=1021,"EMEA",
TRUE,"APAC"
)</f>
        <v>NA</v>
      </c>
      <c r="C262" t="str">
        <f t="shared" si="25"/>
        <v>USA</v>
      </c>
      <c r="D262" t="s">
        <v>32</v>
      </c>
      <c r="E262" t="s">
        <v>45</v>
      </c>
      <c r="F262" t="s">
        <v>46</v>
      </c>
      <c r="G262" t="s">
        <v>28</v>
      </c>
      <c r="H262" s="2">
        <v>45374</v>
      </c>
      <c r="I262" t="s">
        <v>29</v>
      </c>
      <c r="J262" t="s">
        <v>33</v>
      </c>
      <c r="K262" t="str">
        <f t="shared" ca="1" si="28"/>
        <v>OK</v>
      </c>
      <c r="L262" t="s">
        <v>68</v>
      </c>
      <c r="M262">
        <v>2</v>
      </c>
      <c r="N262" s="2">
        <v>46050</v>
      </c>
      <c r="O262" s="2" t="s">
        <v>22</v>
      </c>
      <c r="P262" s="4">
        <f t="shared" ca="1" si="26"/>
        <v>1</v>
      </c>
      <c r="Q262" s="4" t="str">
        <f t="shared" ca="1" si="27"/>
        <v>0-2 Years</v>
      </c>
      <c r="R262">
        <f t="shared" ca="1" si="29"/>
        <v>1</v>
      </c>
      <c r="S262" t="s">
        <v>22</v>
      </c>
      <c r="T262">
        <v>2</v>
      </c>
      <c r="U262" t="s">
        <v>1394</v>
      </c>
      <c r="V262" t="s">
        <v>1394</v>
      </c>
      <c r="W262" t="s">
        <v>1394</v>
      </c>
      <c r="X262" s="3">
        <v>5</v>
      </c>
      <c r="Y262" t="s">
        <v>1395</v>
      </c>
      <c r="Z262">
        <v>188471</v>
      </c>
      <c r="AA262">
        <v>0.25</v>
      </c>
      <c r="AB262">
        <v>235588.75</v>
      </c>
    </row>
    <row r="263" spans="1:28" x14ac:dyDescent="0.35">
      <c r="A263" t="str">
        <f t="shared" si="24"/>
        <v>EMP0262</v>
      </c>
      <c r="B263" t="str" cm="1">
        <f t="array" ref="B263">_xlfn.IFS(
ROW()&lt;=421,"NA",
ROW()&lt;=781,"LATAM",
ROW()&lt;=1021,"EMEA",
TRUE,"APAC"
)</f>
        <v>NA</v>
      </c>
      <c r="C263" t="str">
        <f t="shared" si="25"/>
        <v>USA</v>
      </c>
      <c r="D263" t="s">
        <v>32</v>
      </c>
      <c r="E263" t="s">
        <v>69</v>
      </c>
      <c r="F263" t="s">
        <v>118</v>
      </c>
      <c r="G263" t="s">
        <v>28</v>
      </c>
      <c r="H263" s="2">
        <v>43429</v>
      </c>
      <c r="I263" t="s">
        <v>29</v>
      </c>
      <c r="J263" t="s">
        <v>33</v>
      </c>
      <c r="K263" t="str">
        <f t="shared" ca="1" si="28"/>
        <v>OK</v>
      </c>
      <c r="L263" t="s">
        <v>119</v>
      </c>
      <c r="M263">
        <v>3</v>
      </c>
      <c r="N263" s="2">
        <v>46018</v>
      </c>
      <c r="O263" s="2" t="s">
        <v>22</v>
      </c>
      <c r="P263" s="4">
        <f t="shared" ca="1" si="26"/>
        <v>7</v>
      </c>
      <c r="Q263" s="4" t="str">
        <f t="shared" ca="1" si="27"/>
        <v>6-10 Years</v>
      </c>
      <c r="R263">
        <f t="shared" ca="1" si="29"/>
        <v>0</v>
      </c>
      <c r="S263" t="s">
        <v>22</v>
      </c>
      <c r="T263">
        <v>5</v>
      </c>
      <c r="U263" t="s">
        <v>1394</v>
      </c>
      <c r="V263" t="s">
        <v>1396</v>
      </c>
      <c r="W263" t="s">
        <v>1394</v>
      </c>
      <c r="X263" s="3">
        <v>5</v>
      </c>
      <c r="Y263" t="s">
        <v>1395</v>
      </c>
      <c r="Z263">
        <v>131544</v>
      </c>
      <c r="AA263">
        <v>0.2</v>
      </c>
      <c r="AB263">
        <v>157852.79999999999</v>
      </c>
    </row>
    <row r="264" spans="1:28" x14ac:dyDescent="0.35">
      <c r="A264" t="str">
        <f t="shared" si="24"/>
        <v>EMP0263</v>
      </c>
      <c r="B264" t="str" cm="1">
        <f t="array" ref="B264">_xlfn.IFS(
ROW()&lt;=421,"NA",
ROW()&lt;=781,"LATAM",
ROW()&lt;=1021,"EMEA",
TRUE,"APAC"
)</f>
        <v>NA</v>
      </c>
      <c r="C264" t="str">
        <f t="shared" si="25"/>
        <v>USA</v>
      </c>
      <c r="D264" t="s">
        <v>26</v>
      </c>
      <c r="E264" t="s">
        <v>380</v>
      </c>
      <c r="F264" t="s">
        <v>426</v>
      </c>
      <c r="G264" t="s">
        <v>53</v>
      </c>
      <c r="H264" s="2">
        <v>45372</v>
      </c>
      <c r="I264" t="s">
        <v>29</v>
      </c>
      <c r="J264" t="s">
        <v>30</v>
      </c>
      <c r="K264" t="str">
        <f t="shared" ca="1" si="28"/>
        <v>OK</v>
      </c>
      <c r="L264" t="s">
        <v>616</v>
      </c>
      <c r="M264">
        <v>5</v>
      </c>
      <c r="N264" s="2">
        <v>46051</v>
      </c>
      <c r="O264" s="2" t="s">
        <v>22</v>
      </c>
      <c r="P264" s="4">
        <f t="shared" ca="1" si="26"/>
        <v>1</v>
      </c>
      <c r="Q264" s="4" t="str">
        <f t="shared" ca="1" si="27"/>
        <v>0-2 Years</v>
      </c>
      <c r="R264">
        <f t="shared" ca="1" si="29"/>
        <v>1</v>
      </c>
      <c r="S264" t="s">
        <v>22</v>
      </c>
      <c r="T264">
        <v>5</v>
      </c>
      <c r="U264" t="s">
        <v>1396</v>
      </c>
      <c r="V264" t="s">
        <v>1394</v>
      </c>
      <c r="W264" t="s">
        <v>1394</v>
      </c>
      <c r="X264" s="3">
        <v>2</v>
      </c>
      <c r="Y264" t="s">
        <v>1397</v>
      </c>
      <c r="Z264">
        <v>41678</v>
      </c>
      <c r="AA264">
        <v>0.1</v>
      </c>
      <c r="AB264">
        <v>45845.8</v>
      </c>
    </row>
    <row r="265" spans="1:28" x14ac:dyDescent="0.35">
      <c r="A265" t="str">
        <f t="shared" si="24"/>
        <v>EMP0264</v>
      </c>
      <c r="B265" t="str" cm="1">
        <f t="array" ref="B265">_xlfn.IFS(
ROW()&lt;=421,"NA",
ROW()&lt;=781,"LATAM",
ROW()&lt;=1021,"EMEA",
TRUE,"APAC"
)</f>
        <v>NA</v>
      </c>
      <c r="C265" t="str">
        <f t="shared" si="25"/>
        <v>USA</v>
      </c>
      <c r="D265" t="s">
        <v>41</v>
      </c>
      <c r="E265" t="s">
        <v>380</v>
      </c>
      <c r="F265" t="s">
        <v>754</v>
      </c>
      <c r="G265" t="s">
        <v>28</v>
      </c>
      <c r="H265" s="2">
        <v>45365</v>
      </c>
      <c r="I265" t="s">
        <v>29</v>
      </c>
      <c r="J265" t="s">
        <v>42</v>
      </c>
      <c r="K265" t="str">
        <f t="shared" ca="1" si="28"/>
        <v>OK</v>
      </c>
      <c r="L265" t="s">
        <v>1302</v>
      </c>
      <c r="M265">
        <v>5</v>
      </c>
      <c r="N265" s="2">
        <v>46029</v>
      </c>
      <c r="O265" s="2" t="s">
        <v>22</v>
      </c>
      <c r="P265" s="4">
        <f t="shared" ca="1" si="26"/>
        <v>1</v>
      </c>
      <c r="Q265" s="4" t="str">
        <f t="shared" ca="1" si="27"/>
        <v>0-2 Years</v>
      </c>
      <c r="R265">
        <f t="shared" ca="1" si="29"/>
        <v>1</v>
      </c>
      <c r="S265" t="s">
        <v>22</v>
      </c>
      <c r="T265">
        <v>2</v>
      </c>
      <c r="U265" t="s">
        <v>1394</v>
      </c>
      <c r="V265" t="s">
        <v>1394</v>
      </c>
      <c r="W265" t="s">
        <v>1394</v>
      </c>
      <c r="X265" s="3">
        <v>1</v>
      </c>
      <c r="Y265" t="s">
        <v>1397</v>
      </c>
      <c r="Z265">
        <v>30521</v>
      </c>
      <c r="AA265">
        <v>0.1</v>
      </c>
      <c r="AB265">
        <v>33573.100000000006</v>
      </c>
    </row>
    <row r="266" spans="1:28" x14ac:dyDescent="0.35">
      <c r="A266" t="str">
        <f t="shared" si="24"/>
        <v>EMP0265</v>
      </c>
      <c r="B266" t="str" cm="1">
        <f t="array" ref="B266">_xlfn.IFS(
ROW()&lt;=421,"NA",
ROW()&lt;=781,"LATAM",
ROW()&lt;=1021,"EMEA",
TRUE,"APAC"
)</f>
        <v>NA</v>
      </c>
      <c r="C266" t="str">
        <f t="shared" si="25"/>
        <v>USA</v>
      </c>
      <c r="D266" t="s">
        <v>32</v>
      </c>
      <c r="E266" t="s">
        <v>380</v>
      </c>
      <c r="F266" t="s">
        <v>566</v>
      </c>
      <c r="G266" t="s">
        <v>28</v>
      </c>
      <c r="H266" s="2">
        <v>43806</v>
      </c>
      <c r="I266" t="s">
        <v>29</v>
      </c>
      <c r="J266" t="s">
        <v>33</v>
      </c>
      <c r="K266" t="str">
        <f t="shared" ca="1" si="28"/>
        <v>OK</v>
      </c>
      <c r="L266" t="s">
        <v>1061</v>
      </c>
      <c r="M266">
        <v>5</v>
      </c>
      <c r="N266" s="2">
        <v>46044</v>
      </c>
      <c r="O266" s="2" t="s">
        <v>22</v>
      </c>
      <c r="P266" s="4">
        <f t="shared" ca="1" si="26"/>
        <v>6</v>
      </c>
      <c r="Q266" s="4" t="str">
        <f t="shared" ca="1" si="27"/>
        <v>6-10 Years</v>
      </c>
      <c r="R266">
        <f t="shared" ca="1" si="29"/>
        <v>0</v>
      </c>
      <c r="S266" t="s">
        <v>22</v>
      </c>
      <c r="T266">
        <v>4</v>
      </c>
      <c r="U266" t="s">
        <v>1394</v>
      </c>
      <c r="V266" t="s">
        <v>1394</v>
      </c>
      <c r="W266" t="s">
        <v>1394</v>
      </c>
      <c r="X266" s="3">
        <v>5</v>
      </c>
      <c r="Y266" t="s">
        <v>1395</v>
      </c>
      <c r="Z266">
        <v>36957</v>
      </c>
      <c r="AA266">
        <v>0.1</v>
      </c>
      <c r="AB266">
        <v>40652.700000000004</v>
      </c>
    </row>
    <row r="267" spans="1:28" x14ac:dyDescent="0.35">
      <c r="A267" t="str">
        <f t="shared" si="24"/>
        <v>EMP0266</v>
      </c>
      <c r="B267" t="str" cm="1">
        <f t="array" ref="B267">_xlfn.IFS(
ROW()&lt;=421,"NA",
ROW()&lt;=781,"LATAM",
ROW()&lt;=1021,"EMEA",
TRUE,"APAC"
)</f>
        <v>NA</v>
      </c>
      <c r="C267" t="str">
        <f t="shared" si="25"/>
        <v>USA</v>
      </c>
      <c r="D267" t="s">
        <v>44</v>
      </c>
      <c r="E267" t="s">
        <v>380</v>
      </c>
      <c r="F267" t="s">
        <v>566</v>
      </c>
      <c r="G267" t="s">
        <v>28</v>
      </c>
      <c r="H267" s="2">
        <v>45361</v>
      </c>
      <c r="I267" t="s">
        <v>29</v>
      </c>
      <c r="J267" t="s">
        <v>47</v>
      </c>
      <c r="K267" t="str">
        <f t="shared" ca="1" si="28"/>
        <v>OK</v>
      </c>
      <c r="L267" t="s">
        <v>1155</v>
      </c>
      <c r="M267">
        <v>5</v>
      </c>
      <c r="N267" s="2">
        <v>46076</v>
      </c>
      <c r="O267" s="2" t="s">
        <v>22</v>
      </c>
      <c r="P267" s="4">
        <f t="shared" ca="1" si="26"/>
        <v>1</v>
      </c>
      <c r="Q267" s="4" t="str">
        <f t="shared" ca="1" si="27"/>
        <v>0-2 Years</v>
      </c>
      <c r="R267">
        <f t="shared" ca="1" si="29"/>
        <v>1</v>
      </c>
      <c r="S267" t="s">
        <v>22</v>
      </c>
      <c r="T267">
        <v>3</v>
      </c>
      <c r="U267" t="s">
        <v>1396</v>
      </c>
      <c r="V267" t="s">
        <v>1394</v>
      </c>
      <c r="W267" t="s">
        <v>1394</v>
      </c>
      <c r="X267" s="3">
        <v>4</v>
      </c>
      <c r="Y267" t="s">
        <v>1395</v>
      </c>
      <c r="Z267">
        <v>46658</v>
      </c>
      <c r="AA267">
        <v>0.1</v>
      </c>
      <c r="AB267">
        <v>51323.8</v>
      </c>
    </row>
    <row r="268" spans="1:28" x14ac:dyDescent="0.35">
      <c r="A268" t="str">
        <f t="shared" si="24"/>
        <v>EMP0267</v>
      </c>
      <c r="B268" t="str" cm="1">
        <f t="array" ref="B268">_xlfn.IFS(
ROW()&lt;=421,"NA",
ROW()&lt;=781,"LATAM",
ROW()&lt;=1021,"EMEA",
TRUE,"APAC"
)</f>
        <v>NA</v>
      </c>
      <c r="C268" t="str">
        <f t="shared" si="25"/>
        <v>USA</v>
      </c>
      <c r="D268" t="s">
        <v>35</v>
      </c>
      <c r="E268" t="s">
        <v>380</v>
      </c>
      <c r="F268" t="s">
        <v>736</v>
      </c>
      <c r="G268" t="s">
        <v>28</v>
      </c>
      <c r="H268" s="2">
        <v>45360</v>
      </c>
      <c r="I268" t="s">
        <v>29</v>
      </c>
      <c r="J268" t="s">
        <v>36</v>
      </c>
      <c r="K268" t="str">
        <f t="shared" ca="1" si="28"/>
        <v>OK</v>
      </c>
      <c r="L268" t="s">
        <v>1194</v>
      </c>
      <c r="M268">
        <v>5</v>
      </c>
      <c r="N268" s="2">
        <v>46049</v>
      </c>
      <c r="O268" s="2" t="s">
        <v>22</v>
      </c>
      <c r="P268" s="4">
        <f t="shared" ca="1" si="26"/>
        <v>1</v>
      </c>
      <c r="Q268" s="4" t="str">
        <f t="shared" ca="1" si="27"/>
        <v>0-2 Years</v>
      </c>
      <c r="R268">
        <f t="shared" ca="1" si="29"/>
        <v>1</v>
      </c>
      <c r="S268" t="s">
        <v>22</v>
      </c>
      <c r="T268">
        <v>4</v>
      </c>
      <c r="U268" t="s">
        <v>1394</v>
      </c>
      <c r="V268" t="s">
        <v>1394</v>
      </c>
      <c r="W268" t="s">
        <v>1394</v>
      </c>
      <c r="X268" s="3">
        <v>4</v>
      </c>
      <c r="Y268" t="s">
        <v>1395</v>
      </c>
      <c r="Z268">
        <v>26378</v>
      </c>
      <c r="AA268">
        <v>0.1</v>
      </c>
      <c r="AB268">
        <v>29015.800000000003</v>
      </c>
    </row>
    <row r="269" spans="1:28" x14ac:dyDescent="0.35">
      <c r="A269" t="str">
        <f t="shared" si="24"/>
        <v>EMP0268</v>
      </c>
      <c r="B269" t="str" cm="1">
        <f t="array" ref="B269">_xlfn.IFS(
ROW()&lt;=421,"NA",
ROW()&lt;=781,"LATAM",
ROW()&lt;=1021,"EMEA",
TRUE,"APAC"
)</f>
        <v>NA</v>
      </c>
      <c r="C269" t="str">
        <f t="shared" si="25"/>
        <v>USA</v>
      </c>
      <c r="D269" t="s">
        <v>38</v>
      </c>
      <c r="E269" t="s">
        <v>380</v>
      </c>
      <c r="F269" t="s">
        <v>754</v>
      </c>
      <c r="G269" t="s">
        <v>28</v>
      </c>
      <c r="H269" s="2">
        <v>45354</v>
      </c>
      <c r="I269" t="s">
        <v>29</v>
      </c>
      <c r="J269" t="s">
        <v>39</v>
      </c>
      <c r="K269" t="str">
        <f t="shared" ca="1" si="28"/>
        <v>OK</v>
      </c>
      <c r="L269" t="s">
        <v>755</v>
      </c>
      <c r="M269">
        <v>5</v>
      </c>
      <c r="N269" s="2">
        <v>46041</v>
      </c>
      <c r="O269" s="2" t="s">
        <v>22</v>
      </c>
      <c r="P269" s="4">
        <f t="shared" ca="1" si="26"/>
        <v>1</v>
      </c>
      <c r="Q269" s="4" t="str">
        <f t="shared" ca="1" si="27"/>
        <v>0-2 Years</v>
      </c>
      <c r="R269">
        <f t="shared" ca="1" si="29"/>
        <v>1</v>
      </c>
      <c r="S269" t="s">
        <v>22</v>
      </c>
      <c r="T269">
        <v>5</v>
      </c>
      <c r="U269" t="s">
        <v>1394</v>
      </c>
      <c r="V269" t="s">
        <v>1394</v>
      </c>
      <c r="W269" t="s">
        <v>1394</v>
      </c>
      <c r="X269" s="3">
        <v>1</v>
      </c>
      <c r="Y269" t="s">
        <v>1397</v>
      </c>
      <c r="Z269">
        <v>24989</v>
      </c>
      <c r="AA269">
        <v>0.1</v>
      </c>
      <c r="AB269">
        <v>27487.9</v>
      </c>
    </row>
    <row r="270" spans="1:28" x14ac:dyDescent="0.35">
      <c r="A270" t="str">
        <f t="shared" si="24"/>
        <v>EMP0269</v>
      </c>
      <c r="B270" t="str" cm="1">
        <f t="array" ref="B270">_xlfn.IFS(
ROW()&lt;=421,"NA",
ROW()&lt;=781,"LATAM",
ROW()&lt;=1021,"EMEA",
TRUE,"APAC"
)</f>
        <v>NA</v>
      </c>
      <c r="C270" t="str">
        <f t="shared" si="25"/>
        <v>USA</v>
      </c>
      <c r="D270" t="s">
        <v>32</v>
      </c>
      <c r="E270" t="s">
        <v>380</v>
      </c>
      <c r="F270" t="s">
        <v>613</v>
      </c>
      <c r="G270" t="s">
        <v>28</v>
      </c>
      <c r="H270" s="2">
        <v>43292</v>
      </c>
      <c r="I270" t="s">
        <v>29</v>
      </c>
      <c r="J270" t="s">
        <v>33</v>
      </c>
      <c r="K270" t="str">
        <f t="shared" ca="1" si="28"/>
        <v>OK</v>
      </c>
      <c r="L270" t="s">
        <v>701</v>
      </c>
      <c r="M270">
        <v>5</v>
      </c>
      <c r="N270" s="2">
        <v>45994</v>
      </c>
      <c r="O270" s="2" t="s">
        <v>22</v>
      </c>
      <c r="P270" s="4">
        <f t="shared" ca="1" si="26"/>
        <v>7</v>
      </c>
      <c r="Q270" s="4" t="str">
        <f t="shared" ca="1" si="27"/>
        <v>6-10 Years</v>
      </c>
      <c r="R270">
        <f t="shared" ca="1" si="29"/>
        <v>0</v>
      </c>
      <c r="S270" t="s">
        <v>22</v>
      </c>
      <c r="T270">
        <v>4</v>
      </c>
      <c r="U270" t="s">
        <v>1394</v>
      </c>
      <c r="V270" t="s">
        <v>1394</v>
      </c>
      <c r="W270" t="s">
        <v>1394</v>
      </c>
      <c r="X270" s="3">
        <v>5</v>
      </c>
      <c r="Y270" t="s">
        <v>1395</v>
      </c>
      <c r="Z270">
        <v>41626</v>
      </c>
      <c r="AA270">
        <v>0.1</v>
      </c>
      <c r="AB270">
        <v>45788.600000000006</v>
      </c>
    </row>
    <row r="271" spans="1:28" x14ac:dyDescent="0.35">
      <c r="A271" t="str">
        <f t="shared" si="24"/>
        <v>EMP0270</v>
      </c>
      <c r="B271" t="str" cm="1">
        <f t="array" ref="B271">_xlfn.IFS(
ROW()&lt;=421,"NA",
ROW()&lt;=781,"LATAM",
ROW()&lt;=1021,"EMEA",
TRUE,"APAC"
)</f>
        <v>NA</v>
      </c>
      <c r="C271" t="str">
        <f t="shared" si="25"/>
        <v>USA</v>
      </c>
      <c r="D271" t="s">
        <v>32</v>
      </c>
      <c r="E271" t="s">
        <v>380</v>
      </c>
      <c r="F271" t="s">
        <v>429</v>
      </c>
      <c r="G271" t="s">
        <v>28</v>
      </c>
      <c r="H271" s="2">
        <v>42830</v>
      </c>
      <c r="I271" t="s">
        <v>29</v>
      </c>
      <c r="J271" t="s">
        <v>33</v>
      </c>
      <c r="K271" t="str">
        <f t="shared" ca="1" si="28"/>
        <v>OK</v>
      </c>
      <c r="L271" t="s">
        <v>994</v>
      </c>
      <c r="M271">
        <v>5</v>
      </c>
      <c r="N271" s="2">
        <v>45992</v>
      </c>
      <c r="O271" s="2" t="s">
        <v>22</v>
      </c>
      <c r="P271" s="4">
        <f t="shared" ca="1" si="26"/>
        <v>8</v>
      </c>
      <c r="Q271" s="4" t="str">
        <f t="shared" ca="1" si="27"/>
        <v>6-10 Years</v>
      </c>
      <c r="R271">
        <f t="shared" ca="1" si="29"/>
        <v>0</v>
      </c>
      <c r="S271" t="s">
        <v>22</v>
      </c>
      <c r="T271">
        <v>2</v>
      </c>
      <c r="U271" t="s">
        <v>1394</v>
      </c>
      <c r="V271" t="s">
        <v>1394</v>
      </c>
      <c r="W271" t="s">
        <v>1394</v>
      </c>
      <c r="X271" s="3">
        <v>5</v>
      </c>
      <c r="Y271" t="s">
        <v>1395</v>
      </c>
      <c r="Z271">
        <v>41585</v>
      </c>
      <c r="AA271">
        <v>0.1</v>
      </c>
      <c r="AB271">
        <v>45743.500000000007</v>
      </c>
    </row>
    <row r="272" spans="1:28" x14ac:dyDescent="0.35">
      <c r="A272" t="str">
        <f t="shared" si="24"/>
        <v>EMP0271</v>
      </c>
      <c r="B272" t="str" cm="1">
        <f t="array" ref="B272">_xlfn.IFS(
ROW()&lt;=421,"NA",
ROW()&lt;=781,"LATAM",
ROW()&lt;=1021,"EMEA",
TRUE,"APAC"
)</f>
        <v>NA</v>
      </c>
      <c r="C272" t="str">
        <f t="shared" si="25"/>
        <v>USA</v>
      </c>
      <c r="D272" t="s">
        <v>38</v>
      </c>
      <c r="E272" t="s">
        <v>380</v>
      </c>
      <c r="F272" t="s">
        <v>408</v>
      </c>
      <c r="G272" t="s">
        <v>28</v>
      </c>
      <c r="H272" s="2">
        <v>45347</v>
      </c>
      <c r="I272" t="s">
        <v>29</v>
      </c>
      <c r="J272" t="s">
        <v>39</v>
      </c>
      <c r="K272" t="str">
        <f t="shared" ca="1" si="28"/>
        <v>OK</v>
      </c>
      <c r="L272" t="s">
        <v>793</v>
      </c>
      <c r="M272">
        <v>5</v>
      </c>
      <c r="N272" s="2">
        <v>46009</v>
      </c>
      <c r="O272" s="2" t="s">
        <v>22</v>
      </c>
      <c r="P272" s="4">
        <f t="shared" ca="1" si="26"/>
        <v>2</v>
      </c>
      <c r="Q272" s="4" t="str">
        <f t="shared" ca="1" si="27"/>
        <v>0-2 Years</v>
      </c>
      <c r="R272">
        <f t="shared" ca="1" si="29"/>
        <v>1</v>
      </c>
      <c r="S272" t="s">
        <v>22</v>
      </c>
      <c r="T272">
        <v>3</v>
      </c>
      <c r="U272" t="s">
        <v>1394</v>
      </c>
      <c r="V272" t="s">
        <v>1394</v>
      </c>
      <c r="W272" t="s">
        <v>1394</v>
      </c>
      <c r="X272" s="3">
        <v>2</v>
      </c>
      <c r="Y272" t="s">
        <v>1397</v>
      </c>
      <c r="Z272">
        <v>37044</v>
      </c>
      <c r="AA272">
        <v>0.1</v>
      </c>
      <c r="AB272">
        <v>40748.400000000001</v>
      </c>
    </row>
    <row r="273" spans="1:28" x14ac:dyDescent="0.35">
      <c r="A273" t="str">
        <f t="shared" si="24"/>
        <v>EMP0272</v>
      </c>
      <c r="B273" t="str" cm="1">
        <f t="array" ref="B273">_xlfn.IFS(
ROW()&lt;=421,"NA",
ROW()&lt;=781,"LATAM",
ROW()&lt;=1021,"EMEA",
TRUE,"APAC"
)</f>
        <v>NA</v>
      </c>
      <c r="C273" t="str">
        <f t="shared" si="25"/>
        <v>USA</v>
      </c>
      <c r="D273" t="s">
        <v>35</v>
      </c>
      <c r="E273" t="s">
        <v>380</v>
      </c>
      <c r="F273" t="s">
        <v>636</v>
      </c>
      <c r="G273" t="s">
        <v>53</v>
      </c>
      <c r="H273" s="2">
        <v>45343</v>
      </c>
      <c r="I273" t="s">
        <v>29</v>
      </c>
      <c r="J273" t="s">
        <v>36</v>
      </c>
      <c r="K273" t="str">
        <f t="shared" ca="1" si="28"/>
        <v>OK</v>
      </c>
      <c r="L273" t="s">
        <v>637</v>
      </c>
      <c r="M273">
        <v>5</v>
      </c>
      <c r="N273" s="2">
        <v>46077</v>
      </c>
      <c r="O273" s="2" t="s">
        <v>22</v>
      </c>
      <c r="P273" s="4">
        <f t="shared" ca="1" si="26"/>
        <v>2</v>
      </c>
      <c r="Q273" s="4" t="str">
        <f t="shared" ca="1" si="27"/>
        <v>0-2 Years</v>
      </c>
      <c r="R273">
        <f t="shared" ca="1" si="29"/>
        <v>1</v>
      </c>
      <c r="S273" t="s">
        <v>22</v>
      </c>
      <c r="T273">
        <v>5</v>
      </c>
      <c r="U273" t="s">
        <v>1394</v>
      </c>
      <c r="V273" t="s">
        <v>1394</v>
      </c>
      <c r="W273" t="s">
        <v>1394</v>
      </c>
      <c r="X273" s="3">
        <v>3</v>
      </c>
      <c r="Y273" t="s">
        <v>1398</v>
      </c>
      <c r="Z273">
        <v>40161</v>
      </c>
      <c r="AA273">
        <v>0.1</v>
      </c>
      <c r="AB273">
        <v>44177.100000000006</v>
      </c>
    </row>
    <row r="274" spans="1:28" x14ac:dyDescent="0.35">
      <c r="A274" t="str">
        <f t="shared" si="24"/>
        <v>EMP0273</v>
      </c>
      <c r="B274" t="str" cm="1">
        <f t="array" ref="B274">_xlfn.IFS(
ROW()&lt;=421,"NA",
ROW()&lt;=781,"LATAM",
ROW()&lt;=1021,"EMEA",
TRUE,"APAC"
)</f>
        <v>NA</v>
      </c>
      <c r="C274" t="str">
        <f t="shared" si="25"/>
        <v>USA</v>
      </c>
      <c r="D274" t="s">
        <v>26</v>
      </c>
      <c r="E274" t="s">
        <v>380</v>
      </c>
      <c r="F274" t="s">
        <v>736</v>
      </c>
      <c r="G274" t="s">
        <v>28</v>
      </c>
      <c r="H274" s="2">
        <v>45340</v>
      </c>
      <c r="I274" t="s">
        <v>29</v>
      </c>
      <c r="J274" t="s">
        <v>30</v>
      </c>
      <c r="K274" t="str">
        <f t="shared" ca="1" si="28"/>
        <v>OK</v>
      </c>
      <c r="L274" t="s">
        <v>1036</v>
      </c>
      <c r="M274">
        <v>5</v>
      </c>
      <c r="N274" s="2">
        <v>45996</v>
      </c>
      <c r="O274" s="2" t="s">
        <v>22</v>
      </c>
      <c r="P274" s="4">
        <f t="shared" ca="1" si="26"/>
        <v>2</v>
      </c>
      <c r="Q274" s="4" t="str">
        <f t="shared" ca="1" si="27"/>
        <v>0-2 Years</v>
      </c>
      <c r="R274">
        <f t="shared" ca="1" si="29"/>
        <v>1</v>
      </c>
      <c r="S274" t="s">
        <v>22</v>
      </c>
      <c r="T274">
        <v>4</v>
      </c>
      <c r="U274" t="s">
        <v>1394</v>
      </c>
      <c r="V274" t="s">
        <v>1394</v>
      </c>
      <c r="W274" t="s">
        <v>1394</v>
      </c>
      <c r="X274" s="3">
        <v>2</v>
      </c>
      <c r="Y274" t="s">
        <v>1397</v>
      </c>
      <c r="Z274">
        <v>35239</v>
      </c>
      <c r="AA274">
        <v>0.1</v>
      </c>
      <c r="AB274">
        <v>38762.9</v>
      </c>
    </row>
    <row r="275" spans="1:28" x14ac:dyDescent="0.35">
      <c r="A275" t="str">
        <f t="shared" si="24"/>
        <v>EMP0274</v>
      </c>
      <c r="B275" t="str" cm="1">
        <f t="array" ref="B275">_xlfn.IFS(
ROW()&lt;=421,"NA",
ROW()&lt;=781,"LATAM",
ROW()&lt;=1021,"EMEA",
TRUE,"APAC"
)</f>
        <v>NA</v>
      </c>
      <c r="C275" t="str">
        <f t="shared" si="25"/>
        <v>USA</v>
      </c>
      <c r="D275" t="s">
        <v>44</v>
      </c>
      <c r="E275" t="s">
        <v>380</v>
      </c>
      <c r="F275" t="s">
        <v>1012</v>
      </c>
      <c r="G275" t="s">
        <v>28</v>
      </c>
      <c r="H275" s="2">
        <v>45338</v>
      </c>
      <c r="I275" t="s">
        <v>57</v>
      </c>
      <c r="J275" t="s">
        <v>47</v>
      </c>
      <c r="K275" t="str">
        <f t="shared" ca="1" si="28"/>
        <v>OK</v>
      </c>
      <c r="L275" t="s">
        <v>1013</v>
      </c>
      <c r="M275">
        <v>5</v>
      </c>
      <c r="N275" s="2">
        <v>46075</v>
      </c>
      <c r="O275" s="2">
        <v>46071</v>
      </c>
      <c r="P275" s="4">
        <f t="shared" ca="1" si="26"/>
        <v>2</v>
      </c>
      <c r="Q275" s="4" t="str">
        <f t="shared" ca="1" si="27"/>
        <v>0-2 Years</v>
      </c>
      <c r="R275">
        <f t="shared" ca="1" si="29"/>
        <v>1</v>
      </c>
      <c r="S275" t="s">
        <v>24</v>
      </c>
      <c r="T275">
        <v>3</v>
      </c>
      <c r="U275" t="s">
        <v>1394</v>
      </c>
      <c r="V275" t="s">
        <v>1394</v>
      </c>
      <c r="W275" t="s">
        <v>1394</v>
      </c>
      <c r="X275" s="3">
        <v>1</v>
      </c>
      <c r="Y275" t="s">
        <v>1397</v>
      </c>
      <c r="Z275">
        <v>35996</v>
      </c>
      <c r="AA275">
        <v>0.1</v>
      </c>
      <c r="AB275">
        <v>39595.600000000006</v>
      </c>
    </row>
    <row r="276" spans="1:28" x14ac:dyDescent="0.35">
      <c r="A276" t="str">
        <f t="shared" si="24"/>
        <v>EMP0275</v>
      </c>
      <c r="B276" t="str" cm="1">
        <f t="array" ref="B276">_xlfn.IFS(
ROW()&lt;=421,"NA",
ROW()&lt;=781,"LATAM",
ROW()&lt;=1021,"EMEA",
TRUE,"APAC"
)</f>
        <v>NA</v>
      </c>
      <c r="C276" t="str">
        <f t="shared" si="25"/>
        <v>USA</v>
      </c>
      <c r="D276" t="s">
        <v>41</v>
      </c>
      <c r="E276" t="s">
        <v>380</v>
      </c>
      <c r="F276" t="s">
        <v>573</v>
      </c>
      <c r="G276" t="s">
        <v>28</v>
      </c>
      <c r="H276" s="2">
        <v>45333</v>
      </c>
      <c r="I276" t="s">
        <v>29</v>
      </c>
      <c r="J276" t="s">
        <v>42</v>
      </c>
      <c r="K276" t="str">
        <f t="shared" ca="1" si="28"/>
        <v>OK</v>
      </c>
      <c r="L276" t="s">
        <v>1217</v>
      </c>
      <c r="M276">
        <v>5</v>
      </c>
      <c r="N276" s="2">
        <v>46039</v>
      </c>
      <c r="O276" s="2" t="s">
        <v>22</v>
      </c>
      <c r="P276" s="4">
        <f t="shared" ca="1" si="26"/>
        <v>2</v>
      </c>
      <c r="Q276" s="4" t="str">
        <f t="shared" ca="1" si="27"/>
        <v>0-2 Years</v>
      </c>
      <c r="R276">
        <f t="shared" ca="1" si="29"/>
        <v>1</v>
      </c>
      <c r="S276" t="s">
        <v>22</v>
      </c>
      <c r="T276">
        <v>4</v>
      </c>
      <c r="U276" t="s">
        <v>1394</v>
      </c>
      <c r="V276" t="s">
        <v>1394</v>
      </c>
      <c r="W276" t="s">
        <v>1394</v>
      </c>
      <c r="X276" s="3">
        <v>2</v>
      </c>
      <c r="Y276" t="s">
        <v>1397</v>
      </c>
      <c r="Z276">
        <v>45261</v>
      </c>
      <c r="AA276">
        <v>0.1</v>
      </c>
      <c r="AB276">
        <v>49787.100000000006</v>
      </c>
    </row>
    <row r="277" spans="1:28" x14ac:dyDescent="0.35">
      <c r="A277" t="str">
        <f t="shared" si="24"/>
        <v>EMP0276</v>
      </c>
      <c r="B277" t="str" cm="1">
        <f t="array" ref="B277">_xlfn.IFS(
ROW()&lt;=421,"NA",
ROW()&lt;=781,"LATAM",
ROW()&lt;=1021,"EMEA",
TRUE,"APAC"
)</f>
        <v>NA</v>
      </c>
      <c r="C277" t="str">
        <f t="shared" si="25"/>
        <v>USA</v>
      </c>
      <c r="D277" t="s">
        <v>32</v>
      </c>
      <c r="E277" t="s">
        <v>380</v>
      </c>
      <c r="F277" t="s">
        <v>460</v>
      </c>
      <c r="G277" t="s">
        <v>28</v>
      </c>
      <c r="H277" s="2">
        <v>45319</v>
      </c>
      <c r="I277" t="s">
        <v>29</v>
      </c>
      <c r="J277" t="s">
        <v>33</v>
      </c>
      <c r="K277" t="str">
        <f t="shared" ca="1" si="28"/>
        <v>OK</v>
      </c>
      <c r="L277" t="s">
        <v>517</v>
      </c>
      <c r="M277">
        <v>5</v>
      </c>
      <c r="N277" s="2">
        <v>46060</v>
      </c>
      <c r="O277" s="2" t="s">
        <v>22</v>
      </c>
      <c r="P277" s="4">
        <f t="shared" ca="1" si="26"/>
        <v>2</v>
      </c>
      <c r="Q277" s="4" t="str">
        <f t="shared" ca="1" si="27"/>
        <v>0-2 Years</v>
      </c>
      <c r="R277">
        <f t="shared" ca="1" si="29"/>
        <v>1</v>
      </c>
      <c r="S277" t="s">
        <v>22</v>
      </c>
      <c r="T277">
        <v>4</v>
      </c>
      <c r="U277" t="s">
        <v>1394</v>
      </c>
      <c r="V277" t="s">
        <v>1394</v>
      </c>
      <c r="W277" t="s">
        <v>1394</v>
      </c>
      <c r="X277" s="3">
        <v>3</v>
      </c>
      <c r="Y277" t="s">
        <v>1398</v>
      </c>
      <c r="Z277">
        <v>34843</v>
      </c>
      <c r="AA277">
        <v>0.1</v>
      </c>
      <c r="AB277">
        <v>38327.300000000003</v>
      </c>
    </row>
    <row r="278" spans="1:28" x14ac:dyDescent="0.35">
      <c r="A278" t="str">
        <f t="shared" si="24"/>
        <v>EMP0277</v>
      </c>
      <c r="B278" t="str" cm="1">
        <f t="array" ref="B278">_xlfn.IFS(
ROW()&lt;=421,"NA",
ROW()&lt;=781,"LATAM",
ROW()&lt;=1021,"EMEA",
TRUE,"APAC"
)</f>
        <v>NA</v>
      </c>
      <c r="C278" t="str">
        <f t="shared" si="25"/>
        <v>USA</v>
      </c>
      <c r="D278" t="s">
        <v>35</v>
      </c>
      <c r="E278" t="s">
        <v>380</v>
      </c>
      <c r="F278" t="s">
        <v>666</v>
      </c>
      <c r="G278" t="s">
        <v>28</v>
      </c>
      <c r="H278" s="2">
        <v>45314</v>
      </c>
      <c r="I278" t="s">
        <v>29</v>
      </c>
      <c r="J278" t="s">
        <v>36</v>
      </c>
      <c r="K278" t="str">
        <f t="shared" ca="1" si="28"/>
        <v>OK</v>
      </c>
      <c r="L278" t="s">
        <v>470</v>
      </c>
      <c r="M278">
        <v>5</v>
      </c>
      <c r="N278" s="2">
        <v>46002</v>
      </c>
      <c r="O278" s="2" t="s">
        <v>22</v>
      </c>
      <c r="P278" s="4">
        <f t="shared" ca="1" si="26"/>
        <v>2</v>
      </c>
      <c r="Q278" s="4" t="str">
        <f t="shared" ca="1" si="27"/>
        <v>0-2 Years</v>
      </c>
      <c r="R278">
        <f t="shared" ca="1" si="29"/>
        <v>1</v>
      </c>
      <c r="S278" t="s">
        <v>22</v>
      </c>
      <c r="T278">
        <v>2</v>
      </c>
      <c r="U278" t="s">
        <v>1394</v>
      </c>
      <c r="V278" t="s">
        <v>1396</v>
      </c>
      <c r="W278" t="s">
        <v>1396</v>
      </c>
      <c r="X278" s="3">
        <v>4</v>
      </c>
      <c r="Y278" t="s">
        <v>1395</v>
      </c>
      <c r="Z278">
        <v>41570</v>
      </c>
      <c r="AA278">
        <v>0.1</v>
      </c>
      <c r="AB278">
        <v>45727.000000000007</v>
      </c>
    </row>
    <row r="279" spans="1:28" x14ac:dyDescent="0.35">
      <c r="A279" t="str">
        <f t="shared" si="24"/>
        <v>EMP0278</v>
      </c>
      <c r="B279" t="str" cm="1">
        <f t="array" ref="B279">_xlfn.IFS(
ROW()&lt;=421,"NA",
ROW()&lt;=781,"LATAM",
ROW()&lt;=1021,"EMEA",
TRUE,"APAC"
)</f>
        <v>NA</v>
      </c>
      <c r="C279" t="str">
        <f t="shared" si="25"/>
        <v>USA</v>
      </c>
      <c r="D279" t="s">
        <v>32</v>
      </c>
      <c r="E279" t="s">
        <v>380</v>
      </c>
      <c r="F279" t="s">
        <v>702</v>
      </c>
      <c r="G279" t="s">
        <v>28</v>
      </c>
      <c r="H279" s="2">
        <v>45313</v>
      </c>
      <c r="I279" t="s">
        <v>57</v>
      </c>
      <c r="J279" t="s">
        <v>33</v>
      </c>
      <c r="K279" t="str">
        <f t="shared" ca="1" si="28"/>
        <v>OK</v>
      </c>
      <c r="L279" t="s">
        <v>806</v>
      </c>
      <c r="M279">
        <v>5</v>
      </c>
      <c r="N279" s="2">
        <v>46065</v>
      </c>
      <c r="O279" s="2">
        <v>46071</v>
      </c>
      <c r="P279" s="4">
        <f t="shared" ca="1" si="26"/>
        <v>2</v>
      </c>
      <c r="Q279" s="4" t="str">
        <f t="shared" ca="1" si="27"/>
        <v>0-2 Years</v>
      </c>
      <c r="R279">
        <f t="shared" ca="1" si="29"/>
        <v>1</v>
      </c>
      <c r="S279" t="s">
        <v>24</v>
      </c>
      <c r="T279">
        <v>3</v>
      </c>
      <c r="U279" t="s">
        <v>1394</v>
      </c>
      <c r="V279" t="s">
        <v>1394</v>
      </c>
      <c r="W279" t="s">
        <v>1394</v>
      </c>
      <c r="X279" s="3">
        <v>5</v>
      </c>
      <c r="Y279" t="s">
        <v>1395</v>
      </c>
      <c r="Z279">
        <v>29575</v>
      </c>
      <c r="AA279">
        <v>0.1</v>
      </c>
      <c r="AB279">
        <v>32532.500000000004</v>
      </c>
    </row>
    <row r="280" spans="1:28" x14ac:dyDescent="0.35">
      <c r="A280" t="str">
        <f t="shared" si="24"/>
        <v>EMP0279</v>
      </c>
      <c r="B280" t="str" cm="1">
        <f t="array" ref="B280">_xlfn.IFS(
ROW()&lt;=421,"NA",
ROW()&lt;=781,"LATAM",
ROW()&lt;=1021,"EMEA",
TRUE,"APAC"
)</f>
        <v>NA</v>
      </c>
      <c r="C280" t="str">
        <f t="shared" si="25"/>
        <v>USA</v>
      </c>
      <c r="D280" t="s">
        <v>38</v>
      </c>
      <c r="E280" t="s">
        <v>380</v>
      </c>
      <c r="F280" t="s">
        <v>497</v>
      </c>
      <c r="G280" t="s">
        <v>28</v>
      </c>
      <c r="H280" s="2">
        <v>45310</v>
      </c>
      <c r="I280" t="s">
        <v>29</v>
      </c>
      <c r="J280" t="s">
        <v>39</v>
      </c>
      <c r="K280" t="str">
        <f t="shared" ca="1" si="28"/>
        <v>OK</v>
      </c>
      <c r="L280" t="s">
        <v>868</v>
      </c>
      <c r="M280">
        <v>5</v>
      </c>
      <c r="N280" s="2">
        <v>46012</v>
      </c>
      <c r="O280" s="2" t="s">
        <v>22</v>
      </c>
      <c r="P280" s="4">
        <f t="shared" ca="1" si="26"/>
        <v>2</v>
      </c>
      <c r="Q280" s="4" t="str">
        <f t="shared" ca="1" si="27"/>
        <v>0-2 Years</v>
      </c>
      <c r="R280">
        <f t="shared" ca="1" si="29"/>
        <v>1</v>
      </c>
      <c r="S280" t="s">
        <v>22</v>
      </c>
      <c r="T280">
        <v>4</v>
      </c>
      <c r="U280" t="s">
        <v>1394</v>
      </c>
      <c r="V280" t="s">
        <v>1396</v>
      </c>
      <c r="W280" t="s">
        <v>1394</v>
      </c>
      <c r="X280" s="3">
        <v>2</v>
      </c>
      <c r="Y280" t="s">
        <v>1397</v>
      </c>
      <c r="Z280">
        <v>23669</v>
      </c>
      <c r="AA280">
        <v>0.1</v>
      </c>
      <c r="AB280">
        <v>26035.9</v>
      </c>
    </row>
    <row r="281" spans="1:28" x14ac:dyDescent="0.35">
      <c r="A281" t="str">
        <f t="shared" si="24"/>
        <v>EMP0280</v>
      </c>
      <c r="B281" t="str" cm="1">
        <f t="array" ref="B281">_xlfn.IFS(
ROW()&lt;=421,"NA",
ROW()&lt;=781,"LATAM",
ROW()&lt;=1021,"EMEA",
TRUE,"APAC"
)</f>
        <v>NA</v>
      </c>
      <c r="C281" t="str">
        <f t="shared" si="25"/>
        <v>USA</v>
      </c>
      <c r="D281" t="s">
        <v>44</v>
      </c>
      <c r="E281" t="s">
        <v>69</v>
      </c>
      <c r="F281" t="s">
        <v>84</v>
      </c>
      <c r="G281" t="s">
        <v>28</v>
      </c>
      <c r="H281" s="2">
        <v>45308</v>
      </c>
      <c r="I281" t="s">
        <v>29</v>
      </c>
      <c r="J281" t="s">
        <v>47</v>
      </c>
      <c r="K281" t="str">
        <f t="shared" ca="1" si="28"/>
        <v>OK</v>
      </c>
      <c r="L281" t="s">
        <v>130</v>
      </c>
      <c r="M281">
        <v>3</v>
      </c>
      <c r="N281" s="2">
        <v>46059</v>
      </c>
      <c r="O281" s="2" t="s">
        <v>22</v>
      </c>
      <c r="P281" s="4">
        <f t="shared" ca="1" si="26"/>
        <v>2</v>
      </c>
      <c r="Q281" s="4" t="str">
        <f t="shared" ca="1" si="27"/>
        <v>0-2 Years</v>
      </c>
      <c r="R281">
        <f t="shared" ca="1" si="29"/>
        <v>1</v>
      </c>
      <c r="S281" t="s">
        <v>22</v>
      </c>
      <c r="T281">
        <v>4</v>
      </c>
      <c r="U281" t="s">
        <v>1396</v>
      </c>
      <c r="V281" t="s">
        <v>1394</v>
      </c>
      <c r="W281" t="s">
        <v>1394</v>
      </c>
      <c r="X281" s="3">
        <v>1</v>
      </c>
      <c r="Y281" t="s">
        <v>1397</v>
      </c>
      <c r="Z281">
        <v>99671</v>
      </c>
      <c r="AA281">
        <v>0.2</v>
      </c>
      <c r="AB281">
        <v>119605.2</v>
      </c>
    </row>
    <row r="282" spans="1:28" x14ac:dyDescent="0.35">
      <c r="A282" t="str">
        <f t="shared" si="24"/>
        <v>EMP0281</v>
      </c>
      <c r="B282" t="str" cm="1">
        <f t="array" ref="B282">_xlfn.IFS(
ROW()&lt;=421,"NA",
ROW()&lt;=781,"LATAM",
ROW()&lt;=1021,"EMEA",
TRUE,"APAC"
)</f>
        <v>NA</v>
      </c>
      <c r="C282" t="str">
        <f t="shared" si="25"/>
        <v>USA</v>
      </c>
      <c r="D282" t="s">
        <v>32</v>
      </c>
      <c r="E282" t="s">
        <v>380</v>
      </c>
      <c r="F282" t="s">
        <v>431</v>
      </c>
      <c r="G282" t="s">
        <v>28</v>
      </c>
      <c r="H282" s="2">
        <v>45307</v>
      </c>
      <c r="I282" t="s">
        <v>29</v>
      </c>
      <c r="J282" t="s">
        <v>33</v>
      </c>
      <c r="K282" t="str">
        <f t="shared" ca="1" si="28"/>
        <v>OK</v>
      </c>
      <c r="L282" t="s">
        <v>941</v>
      </c>
      <c r="M282">
        <v>5</v>
      </c>
      <c r="N282" s="2">
        <v>46066</v>
      </c>
      <c r="O282" s="2" t="s">
        <v>22</v>
      </c>
      <c r="P282" s="4">
        <f t="shared" ca="1" si="26"/>
        <v>2</v>
      </c>
      <c r="Q282" s="4" t="str">
        <f t="shared" ca="1" si="27"/>
        <v>0-2 Years</v>
      </c>
      <c r="R282">
        <f t="shared" ca="1" si="29"/>
        <v>1</v>
      </c>
      <c r="S282" t="s">
        <v>22</v>
      </c>
      <c r="T282">
        <v>2</v>
      </c>
      <c r="U282" t="s">
        <v>1394</v>
      </c>
      <c r="V282" t="s">
        <v>1394</v>
      </c>
      <c r="W282" t="s">
        <v>1394</v>
      </c>
      <c r="X282" s="3">
        <v>5</v>
      </c>
      <c r="Y282" t="s">
        <v>1395</v>
      </c>
      <c r="Z282">
        <v>44531</v>
      </c>
      <c r="AA282">
        <v>0.1</v>
      </c>
      <c r="AB282">
        <v>48984.100000000006</v>
      </c>
    </row>
    <row r="283" spans="1:28" x14ac:dyDescent="0.35">
      <c r="A283" t="str">
        <f t="shared" si="24"/>
        <v>EMP0282</v>
      </c>
      <c r="B283" t="str" cm="1">
        <f t="array" ref="B283">_xlfn.IFS(
ROW()&lt;=421,"NA",
ROW()&lt;=781,"LATAM",
ROW()&lt;=1021,"EMEA",
TRUE,"APAC"
)</f>
        <v>NA</v>
      </c>
      <c r="C283" t="str">
        <f t="shared" si="25"/>
        <v>USA</v>
      </c>
      <c r="D283" t="s">
        <v>35</v>
      </c>
      <c r="E283" t="s">
        <v>380</v>
      </c>
      <c r="F283" t="s">
        <v>505</v>
      </c>
      <c r="G283" t="s">
        <v>28</v>
      </c>
      <c r="H283" s="2">
        <v>45306</v>
      </c>
      <c r="I283" t="s">
        <v>29</v>
      </c>
      <c r="J283" t="s">
        <v>36</v>
      </c>
      <c r="K283" t="str">
        <f t="shared" ca="1" si="28"/>
        <v>OK</v>
      </c>
      <c r="L283" t="s">
        <v>800</v>
      </c>
      <c r="M283">
        <v>5</v>
      </c>
      <c r="N283" s="2">
        <v>46020</v>
      </c>
      <c r="O283" s="2" t="s">
        <v>22</v>
      </c>
      <c r="P283" s="4">
        <f t="shared" ca="1" si="26"/>
        <v>2</v>
      </c>
      <c r="Q283" s="4" t="str">
        <f t="shared" ca="1" si="27"/>
        <v>0-2 Years</v>
      </c>
      <c r="R283">
        <f t="shared" ca="1" si="29"/>
        <v>1</v>
      </c>
      <c r="S283" t="s">
        <v>22</v>
      </c>
      <c r="T283">
        <v>3</v>
      </c>
      <c r="U283" t="s">
        <v>1394</v>
      </c>
      <c r="V283" t="s">
        <v>1394</v>
      </c>
      <c r="W283" t="s">
        <v>1394</v>
      </c>
      <c r="X283" s="3">
        <v>4</v>
      </c>
      <c r="Y283" t="s">
        <v>1395</v>
      </c>
      <c r="Z283">
        <v>36424</v>
      </c>
      <c r="AA283">
        <v>0.1</v>
      </c>
      <c r="AB283">
        <v>40066.400000000001</v>
      </c>
    </row>
    <row r="284" spans="1:28" x14ac:dyDescent="0.35">
      <c r="A284" t="str">
        <f t="shared" si="24"/>
        <v>EMP0283</v>
      </c>
      <c r="B284" t="str" cm="1">
        <f t="array" ref="B284">_xlfn.IFS(
ROW()&lt;=421,"NA",
ROW()&lt;=781,"LATAM",
ROW()&lt;=1021,"EMEA",
TRUE,"APAC"
)</f>
        <v>NA</v>
      </c>
      <c r="C284" t="str">
        <f t="shared" si="25"/>
        <v>USA</v>
      </c>
      <c r="D284" t="s">
        <v>41</v>
      </c>
      <c r="E284" t="s">
        <v>380</v>
      </c>
      <c r="F284" t="s">
        <v>512</v>
      </c>
      <c r="G284" t="s">
        <v>53</v>
      </c>
      <c r="H284" s="2">
        <v>45303</v>
      </c>
      <c r="I284" t="s">
        <v>57</v>
      </c>
      <c r="J284" t="s">
        <v>42</v>
      </c>
      <c r="K284" t="str">
        <f t="shared" ca="1" si="28"/>
        <v>OK</v>
      </c>
      <c r="L284" t="s">
        <v>513</v>
      </c>
      <c r="M284">
        <v>5</v>
      </c>
      <c r="N284" s="2">
        <v>46065</v>
      </c>
      <c r="O284" s="2">
        <v>46071</v>
      </c>
      <c r="P284" s="4">
        <f t="shared" ca="1" si="26"/>
        <v>2</v>
      </c>
      <c r="Q284" s="4" t="str">
        <f t="shared" ca="1" si="27"/>
        <v>0-2 Years</v>
      </c>
      <c r="R284">
        <f t="shared" ca="1" si="29"/>
        <v>1</v>
      </c>
      <c r="S284" t="s">
        <v>24</v>
      </c>
      <c r="T284">
        <v>3</v>
      </c>
      <c r="U284" t="s">
        <v>1394</v>
      </c>
      <c r="V284" t="s">
        <v>1394</v>
      </c>
      <c r="W284" t="s">
        <v>1394</v>
      </c>
      <c r="X284" s="3">
        <v>3</v>
      </c>
      <c r="Y284" t="s">
        <v>1398</v>
      </c>
      <c r="Z284">
        <v>33816</v>
      </c>
      <c r="AA284">
        <v>0.1</v>
      </c>
      <c r="AB284">
        <v>37197.600000000006</v>
      </c>
    </row>
    <row r="285" spans="1:28" x14ac:dyDescent="0.35">
      <c r="A285" t="str">
        <f t="shared" si="24"/>
        <v>EMP0284</v>
      </c>
      <c r="B285" t="str" cm="1">
        <f t="array" ref="B285">_xlfn.IFS(
ROW()&lt;=421,"NA",
ROW()&lt;=781,"LATAM",
ROW()&lt;=1021,"EMEA",
TRUE,"APAC"
)</f>
        <v>NA</v>
      </c>
      <c r="C285" t="str">
        <f t="shared" si="25"/>
        <v>USA</v>
      </c>
      <c r="D285" t="s">
        <v>32</v>
      </c>
      <c r="E285" t="s">
        <v>380</v>
      </c>
      <c r="F285" t="s">
        <v>1065</v>
      </c>
      <c r="G285" t="s">
        <v>28</v>
      </c>
      <c r="H285" s="2">
        <v>45302</v>
      </c>
      <c r="I285" t="s">
        <v>57</v>
      </c>
      <c r="J285" t="s">
        <v>33</v>
      </c>
      <c r="K285" t="str">
        <f t="shared" ca="1" si="28"/>
        <v>OK</v>
      </c>
      <c r="L285" t="s">
        <v>1261</v>
      </c>
      <c r="M285">
        <v>5</v>
      </c>
      <c r="N285" s="2">
        <v>46019</v>
      </c>
      <c r="O285" s="2">
        <v>46071</v>
      </c>
      <c r="P285" s="4">
        <f t="shared" ca="1" si="26"/>
        <v>2</v>
      </c>
      <c r="Q285" s="4" t="str">
        <f t="shared" ca="1" si="27"/>
        <v>0-2 Years</v>
      </c>
      <c r="R285">
        <f t="shared" ca="1" si="29"/>
        <v>1</v>
      </c>
      <c r="S285" t="s">
        <v>23</v>
      </c>
      <c r="T285">
        <v>4</v>
      </c>
      <c r="U285" t="s">
        <v>1394</v>
      </c>
      <c r="V285" t="s">
        <v>1394</v>
      </c>
      <c r="W285" t="s">
        <v>1394</v>
      </c>
      <c r="X285" s="3">
        <v>1</v>
      </c>
      <c r="Y285" t="s">
        <v>1397</v>
      </c>
      <c r="Z285">
        <v>41115</v>
      </c>
      <c r="AA285">
        <v>0.1</v>
      </c>
      <c r="AB285">
        <v>45226.500000000007</v>
      </c>
    </row>
    <row r="286" spans="1:28" x14ac:dyDescent="0.35">
      <c r="A286" t="str">
        <f t="shared" si="24"/>
        <v>EMP0285</v>
      </c>
      <c r="B286" t="str" cm="1">
        <f t="array" ref="B286">_xlfn.IFS(
ROW()&lt;=421,"NA",
ROW()&lt;=781,"LATAM",
ROW()&lt;=1021,"EMEA",
TRUE,"APAC"
)</f>
        <v>NA</v>
      </c>
      <c r="C286" t="str">
        <f t="shared" si="25"/>
        <v>USA</v>
      </c>
      <c r="D286" t="s">
        <v>35</v>
      </c>
      <c r="E286" t="s">
        <v>145</v>
      </c>
      <c r="F286" t="s">
        <v>148</v>
      </c>
      <c r="G286" t="s">
        <v>28</v>
      </c>
      <c r="H286" s="2">
        <v>45300</v>
      </c>
      <c r="I286" t="s">
        <v>29</v>
      </c>
      <c r="J286" t="s">
        <v>36</v>
      </c>
      <c r="K286" t="str">
        <f t="shared" ca="1" si="28"/>
        <v>OK</v>
      </c>
      <c r="L286" t="s">
        <v>293</v>
      </c>
      <c r="M286">
        <v>4</v>
      </c>
      <c r="N286" s="2">
        <v>46057</v>
      </c>
      <c r="O286" s="2" t="s">
        <v>22</v>
      </c>
      <c r="P286" s="4">
        <f t="shared" ca="1" si="26"/>
        <v>2</v>
      </c>
      <c r="Q286" s="4" t="str">
        <f t="shared" ca="1" si="27"/>
        <v>0-2 Years</v>
      </c>
      <c r="R286">
        <f t="shared" ca="1" si="29"/>
        <v>1</v>
      </c>
      <c r="S286" t="s">
        <v>22</v>
      </c>
      <c r="T286">
        <v>3</v>
      </c>
      <c r="U286" t="s">
        <v>1394</v>
      </c>
      <c r="V286" t="s">
        <v>1394</v>
      </c>
      <c r="W286" t="s">
        <v>1394</v>
      </c>
      <c r="X286" s="3">
        <v>1</v>
      </c>
      <c r="Y286" t="s">
        <v>1397</v>
      </c>
      <c r="Z286">
        <v>84869</v>
      </c>
      <c r="AA286">
        <v>0.15</v>
      </c>
      <c r="AB286">
        <v>97599.349999999991</v>
      </c>
    </row>
    <row r="287" spans="1:28" x14ac:dyDescent="0.35">
      <c r="A287" t="str">
        <f t="shared" si="24"/>
        <v>EMP0286</v>
      </c>
      <c r="B287" t="str" cm="1">
        <f t="array" ref="B287">_xlfn.IFS(
ROW()&lt;=421,"NA",
ROW()&lt;=781,"LATAM",
ROW()&lt;=1021,"EMEA",
TRUE,"APAC"
)</f>
        <v>NA</v>
      </c>
      <c r="C287" t="str">
        <f t="shared" si="25"/>
        <v>USA</v>
      </c>
      <c r="D287" t="s">
        <v>32</v>
      </c>
      <c r="E287" t="s">
        <v>380</v>
      </c>
      <c r="F287" t="s">
        <v>623</v>
      </c>
      <c r="G287" t="s">
        <v>28</v>
      </c>
      <c r="H287" s="2">
        <v>45299</v>
      </c>
      <c r="I287" t="s">
        <v>29</v>
      </c>
      <c r="J287" t="s">
        <v>33</v>
      </c>
      <c r="K287" t="str">
        <f t="shared" ca="1" si="28"/>
        <v>OK</v>
      </c>
      <c r="L287" t="s">
        <v>872</v>
      </c>
      <c r="M287">
        <v>5</v>
      </c>
      <c r="N287" s="2">
        <v>45989</v>
      </c>
      <c r="O287" s="2" t="s">
        <v>22</v>
      </c>
      <c r="P287" s="4">
        <f t="shared" ca="1" si="26"/>
        <v>2</v>
      </c>
      <c r="Q287" s="4" t="str">
        <f t="shared" ca="1" si="27"/>
        <v>0-2 Years</v>
      </c>
      <c r="R287">
        <f t="shared" ca="1" si="29"/>
        <v>1</v>
      </c>
      <c r="S287" t="s">
        <v>22</v>
      </c>
      <c r="T287">
        <v>3</v>
      </c>
      <c r="U287" t="s">
        <v>1394</v>
      </c>
      <c r="V287" t="s">
        <v>1394</v>
      </c>
      <c r="W287" t="s">
        <v>1394</v>
      </c>
      <c r="X287" s="3">
        <v>1</v>
      </c>
      <c r="Y287" t="s">
        <v>1397</v>
      </c>
      <c r="Z287">
        <v>20973</v>
      </c>
      <c r="AA287">
        <v>0.1</v>
      </c>
      <c r="AB287">
        <v>23070.300000000003</v>
      </c>
    </row>
    <row r="288" spans="1:28" x14ac:dyDescent="0.35">
      <c r="A288" t="str">
        <f t="shared" si="24"/>
        <v>EMP0287</v>
      </c>
      <c r="B288" t="str" cm="1">
        <f t="array" ref="B288">_xlfn.IFS(
ROW()&lt;=421,"NA",
ROW()&lt;=781,"LATAM",
ROW()&lt;=1021,"EMEA",
TRUE,"APAC"
)</f>
        <v>NA</v>
      </c>
      <c r="C288" t="str">
        <f t="shared" si="25"/>
        <v>USA</v>
      </c>
      <c r="D288" t="s">
        <v>44</v>
      </c>
      <c r="E288" t="s">
        <v>380</v>
      </c>
      <c r="F288" t="s">
        <v>466</v>
      </c>
      <c r="G288" t="s">
        <v>28</v>
      </c>
      <c r="H288" s="2">
        <v>45297</v>
      </c>
      <c r="I288" t="s">
        <v>57</v>
      </c>
      <c r="J288" t="s">
        <v>47</v>
      </c>
      <c r="K288" t="str">
        <f t="shared" ca="1" si="28"/>
        <v>OK</v>
      </c>
      <c r="L288" t="s">
        <v>935</v>
      </c>
      <c r="M288">
        <v>5</v>
      </c>
      <c r="N288" s="2">
        <v>46031</v>
      </c>
      <c r="O288" s="2">
        <v>46071</v>
      </c>
      <c r="P288" s="4">
        <f t="shared" ca="1" si="26"/>
        <v>2</v>
      </c>
      <c r="Q288" s="4" t="str">
        <f t="shared" ca="1" si="27"/>
        <v>0-2 Years</v>
      </c>
      <c r="R288">
        <f t="shared" ca="1" si="29"/>
        <v>1</v>
      </c>
      <c r="S288" t="s">
        <v>23</v>
      </c>
      <c r="T288">
        <v>3</v>
      </c>
      <c r="U288" t="s">
        <v>1396</v>
      </c>
      <c r="V288" t="s">
        <v>1394</v>
      </c>
      <c r="W288" t="s">
        <v>1394</v>
      </c>
      <c r="X288" s="3">
        <v>5</v>
      </c>
      <c r="Y288" t="s">
        <v>1395</v>
      </c>
      <c r="Z288">
        <v>36690</v>
      </c>
      <c r="AA288">
        <v>0.1</v>
      </c>
      <c r="AB288">
        <v>40359</v>
      </c>
    </row>
    <row r="289" spans="1:28" x14ac:dyDescent="0.35">
      <c r="A289" t="str">
        <f t="shared" si="24"/>
        <v>EMP0288</v>
      </c>
      <c r="B289" t="str" cm="1">
        <f t="array" ref="B289">_xlfn.IFS(
ROW()&lt;=421,"NA",
ROW()&lt;=781,"LATAM",
ROW()&lt;=1021,"EMEA",
TRUE,"APAC"
)</f>
        <v>NA</v>
      </c>
      <c r="C289" t="str">
        <f t="shared" si="25"/>
        <v>USA</v>
      </c>
      <c r="D289" t="s">
        <v>26</v>
      </c>
      <c r="E289" t="s">
        <v>380</v>
      </c>
      <c r="F289" t="s">
        <v>426</v>
      </c>
      <c r="G289" t="s">
        <v>28</v>
      </c>
      <c r="H289" s="2">
        <v>45296</v>
      </c>
      <c r="I289" t="s">
        <v>29</v>
      </c>
      <c r="J289" t="s">
        <v>30</v>
      </c>
      <c r="K289" t="str">
        <f t="shared" ca="1" si="28"/>
        <v>OK</v>
      </c>
      <c r="L289" t="s">
        <v>659</v>
      </c>
      <c r="M289">
        <v>5</v>
      </c>
      <c r="N289" s="2">
        <v>46001</v>
      </c>
      <c r="O289" s="2" t="s">
        <v>22</v>
      </c>
      <c r="P289" s="4">
        <f t="shared" ca="1" si="26"/>
        <v>2</v>
      </c>
      <c r="Q289" s="4" t="str">
        <f t="shared" ca="1" si="27"/>
        <v>0-2 Years</v>
      </c>
      <c r="R289">
        <f t="shared" ca="1" si="29"/>
        <v>1</v>
      </c>
      <c r="S289" t="s">
        <v>22</v>
      </c>
      <c r="T289">
        <v>3</v>
      </c>
      <c r="U289" t="s">
        <v>1394</v>
      </c>
      <c r="V289" t="s">
        <v>1394</v>
      </c>
      <c r="W289" t="s">
        <v>1394</v>
      </c>
      <c r="X289" s="3">
        <v>2</v>
      </c>
      <c r="Y289" t="s">
        <v>1397</v>
      </c>
      <c r="Z289">
        <v>47725</v>
      </c>
      <c r="AA289">
        <v>0.1</v>
      </c>
      <c r="AB289">
        <v>52497.500000000007</v>
      </c>
    </row>
    <row r="290" spans="1:28" x14ac:dyDescent="0.35">
      <c r="A290" t="str">
        <f t="shared" si="24"/>
        <v>EMP0289</v>
      </c>
      <c r="B290" t="str" cm="1">
        <f t="array" ref="B290">_xlfn.IFS(
ROW()&lt;=421,"NA",
ROW()&lt;=781,"LATAM",
ROW()&lt;=1021,"EMEA",
TRUE,"APAC"
)</f>
        <v>NA</v>
      </c>
      <c r="C290" t="str">
        <f t="shared" si="25"/>
        <v>USA</v>
      </c>
      <c r="D290" t="s">
        <v>38</v>
      </c>
      <c r="E290" t="s">
        <v>380</v>
      </c>
      <c r="F290" t="s">
        <v>391</v>
      </c>
      <c r="G290" t="s">
        <v>28</v>
      </c>
      <c r="H290" s="2">
        <v>45292</v>
      </c>
      <c r="I290" t="s">
        <v>29</v>
      </c>
      <c r="J290" t="s">
        <v>39</v>
      </c>
      <c r="K290" t="str">
        <f t="shared" ca="1" si="28"/>
        <v>OK</v>
      </c>
      <c r="L290" t="s">
        <v>721</v>
      </c>
      <c r="M290">
        <v>5</v>
      </c>
      <c r="N290" s="2">
        <v>46010</v>
      </c>
      <c r="O290" s="2" t="s">
        <v>22</v>
      </c>
      <c r="P290" s="4">
        <f t="shared" ca="1" si="26"/>
        <v>2</v>
      </c>
      <c r="Q290" s="4" t="str">
        <f t="shared" ca="1" si="27"/>
        <v>0-2 Years</v>
      </c>
      <c r="R290">
        <f t="shared" ca="1" si="29"/>
        <v>1</v>
      </c>
      <c r="S290" t="s">
        <v>22</v>
      </c>
      <c r="T290">
        <v>2</v>
      </c>
      <c r="U290" t="s">
        <v>1394</v>
      </c>
      <c r="V290" t="s">
        <v>1394</v>
      </c>
      <c r="W290" t="s">
        <v>1394</v>
      </c>
      <c r="X290" s="3">
        <v>3</v>
      </c>
      <c r="Y290" t="s">
        <v>1398</v>
      </c>
      <c r="Z290">
        <v>39122</v>
      </c>
      <c r="AA290">
        <v>0.1</v>
      </c>
      <c r="AB290">
        <v>43034.200000000004</v>
      </c>
    </row>
    <row r="291" spans="1:28" x14ac:dyDescent="0.35">
      <c r="A291" t="str">
        <f t="shared" si="24"/>
        <v>EMP0290</v>
      </c>
      <c r="B291" t="str" cm="1">
        <f t="array" ref="B291">_xlfn.IFS(
ROW()&lt;=421,"NA",
ROW()&lt;=781,"LATAM",
ROW()&lt;=1021,"EMEA",
TRUE,"APAC"
)</f>
        <v>NA</v>
      </c>
      <c r="C291" t="str">
        <f t="shared" si="25"/>
        <v>USA</v>
      </c>
      <c r="D291" t="s">
        <v>44</v>
      </c>
      <c r="E291" t="s">
        <v>145</v>
      </c>
      <c r="F291" t="s">
        <v>174</v>
      </c>
      <c r="G291" t="s">
        <v>28</v>
      </c>
      <c r="H291" s="2">
        <v>45288</v>
      </c>
      <c r="I291" t="s">
        <v>57</v>
      </c>
      <c r="J291" t="s">
        <v>47</v>
      </c>
      <c r="K291" t="str">
        <f t="shared" ca="1" si="28"/>
        <v>OK</v>
      </c>
      <c r="L291" t="s">
        <v>175</v>
      </c>
      <c r="M291">
        <v>4</v>
      </c>
      <c r="N291" s="2">
        <v>46056</v>
      </c>
      <c r="O291" s="2">
        <v>46071</v>
      </c>
      <c r="P291" s="4">
        <f t="shared" ca="1" si="26"/>
        <v>2</v>
      </c>
      <c r="Q291" s="4" t="str">
        <f t="shared" ca="1" si="27"/>
        <v>0-2 Years</v>
      </c>
      <c r="R291">
        <f t="shared" ca="1" si="29"/>
        <v>1</v>
      </c>
      <c r="S291" t="s">
        <v>24</v>
      </c>
      <c r="T291">
        <v>4</v>
      </c>
      <c r="U291" t="s">
        <v>1394</v>
      </c>
      <c r="V291" t="s">
        <v>1394</v>
      </c>
      <c r="W291" t="s">
        <v>1394</v>
      </c>
      <c r="X291" s="3">
        <v>1</v>
      </c>
      <c r="Y291" t="s">
        <v>1397</v>
      </c>
      <c r="Z291">
        <v>75004</v>
      </c>
      <c r="AA291">
        <v>0.15</v>
      </c>
      <c r="AB291">
        <v>86254.599999999991</v>
      </c>
    </row>
    <row r="292" spans="1:28" x14ac:dyDescent="0.35">
      <c r="A292" t="str">
        <f t="shared" si="24"/>
        <v>EMP0291</v>
      </c>
      <c r="B292" t="str" cm="1">
        <f t="array" ref="B292">_xlfn.IFS(
ROW()&lt;=421,"NA",
ROW()&lt;=781,"LATAM",
ROW()&lt;=1021,"EMEA",
TRUE,"APAC"
)</f>
        <v>NA</v>
      </c>
      <c r="C292" t="str">
        <f t="shared" si="25"/>
        <v>USA</v>
      </c>
      <c r="D292" t="s">
        <v>35</v>
      </c>
      <c r="E292" t="s">
        <v>380</v>
      </c>
      <c r="F292" t="s">
        <v>422</v>
      </c>
      <c r="G292" t="s">
        <v>28</v>
      </c>
      <c r="H292" s="2">
        <v>45281</v>
      </c>
      <c r="I292" t="s">
        <v>29</v>
      </c>
      <c r="J292" t="s">
        <v>36</v>
      </c>
      <c r="K292" t="str">
        <f t="shared" ca="1" si="28"/>
        <v>OK</v>
      </c>
      <c r="L292" t="s">
        <v>558</v>
      </c>
      <c r="M292">
        <v>5</v>
      </c>
      <c r="N292" s="2">
        <v>46047</v>
      </c>
      <c r="O292" s="2" t="s">
        <v>22</v>
      </c>
      <c r="P292" s="4">
        <f t="shared" ca="1" si="26"/>
        <v>2</v>
      </c>
      <c r="Q292" s="4" t="str">
        <f t="shared" ca="1" si="27"/>
        <v>0-2 Years</v>
      </c>
      <c r="R292">
        <f t="shared" ca="1" si="29"/>
        <v>1</v>
      </c>
      <c r="S292" t="s">
        <v>22</v>
      </c>
      <c r="T292">
        <v>3</v>
      </c>
      <c r="U292" t="s">
        <v>1394</v>
      </c>
      <c r="V292" t="s">
        <v>1394</v>
      </c>
      <c r="W292" t="s">
        <v>1394</v>
      </c>
      <c r="X292" s="3">
        <v>4</v>
      </c>
      <c r="Y292" t="s">
        <v>1395</v>
      </c>
      <c r="Z292">
        <v>40372</v>
      </c>
      <c r="AA292">
        <v>0.1</v>
      </c>
      <c r="AB292">
        <v>44409.200000000004</v>
      </c>
    </row>
    <row r="293" spans="1:28" x14ac:dyDescent="0.35">
      <c r="A293" t="str">
        <f t="shared" si="24"/>
        <v>EMP0292</v>
      </c>
      <c r="B293" t="str" cm="1">
        <f t="array" ref="B293">_xlfn.IFS(
ROW()&lt;=421,"NA",
ROW()&lt;=781,"LATAM",
ROW()&lt;=1021,"EMEA",
TRUE,"APAC"
)</f>
        <v>NA</v>
      </c>
      <c r="C293" t="str">
        <f t="shared" si="25"/>
        <v>USA</v>
      </c>
      <c r="D293" t="s">
        <v>41</v>
      </c>
      <c r="E293" t="s">
        <v>69</v>
      </c>
      <c r="F293" t="s">
        <v>79</v>
      </c>
      <c r="G293" t="s">
        <v>28</v>
      </c>
      <c r="H293" s="2">
        <v>45279</v>
      </c>
      <c r="I293" t="s">
        <v>29</v>
      </c>
      <c r="J293" t="s">
        <v>42</v>
      </c>
      <c r="K293" t="str">
        <f t="shared" ca="1" si="28"/>
        <v>OK</v>
      </c>
      <c r="L293" t="s">
        <v>122</v>
      </c>
      <c r="M293">
        <v>3</v>
      </c>
      <c r="N293" s="2">
        <v>46014</v>
      </c>
      <c r="O293" s="2" t="s">
        <v>22</v>
      </c>
      <c r="P293" s="4">
        <f t="shared" ca="1" si="26"/>
        <v>2</v>
      </c>
      <c r="Q293" s="4" t="str">
        <f t="shared" ca="1" si="27"/>
        <v>0-2 Years</v>
      </c>
      <c r="R293">
        <f t="shared" ca="1" si="29"/>
        <v>1</v>
      </c>
      <c r="S293" t="s">
        <v>22</v>
      </c>
      <c r="T293">
        <v>4</v>
      </c>
      <c r="U293" t="s">
        <v>1394</v>
      </c>
      <c r="V293" t="s">
        <v>1396</v>
      </c>
      <c r="W293" t="s">
        <v>1394</v>
      </c>
      <c r="X293" s="3">
        <v>4</v>
      </c>
      <c r="Y293" t="s">
        <v>1395</v>
      </c>
      <c r="Z293">
        <v>118445</v>
      </c>
      <c r="AA293">
        <v>0.2</v>
      </c>
      <c r="AB293">
        <v>142134</v>
      </c>
    </row>
    <row r="294" spans="1:28" x14ac:dyDescent="0.35">
      <c r="A294" t="str">
        <f t="shared" si="24"/>
        <v>EMP0293</v>
      </c>
      <c r="B294" t="str" cm="1">
        <f t="array" ref="B294">_xlfn.IFS(
ROW()&lt;=421,"NA",
ROW()&lt;=781,"LATAM",
ROW()&lt;=1021,"EMEA",
TRUE,"APAC"
)</f>
        <v>NA</v>
      </c>
      <c r="C294" t="str">
        <f t="shared" si="25"/>
        <v>USA</v>
      </c>
      <c r="D294" t="s">
        <v>44</v>
      </c>
      <c r="E294" t="s">
        <v>380</v>
      </c>
      <c r="F294" t="s">
        <v>484</v>
      </c>
      <c r="G294" t="s">
        <v>28</v>
      </c>
      <c r="H294" s="2">
        <v>45270</v>
      </c>
      <c r="I294" t="s">
        <v>29</v>
      </c>
      <c r="J294" t="s">
        <v>47</v>
      </c>
      <c r="K294" t="str">
        <f t="shared" ca="1" si="28"/>
        <v>OK</v>
      </c>
      <c r="L294" t="s">
        <v>657</v>
      </c>
      <c r="M294">
        <v>5</v>
      </c>
      <c r="N294" s="2">
        <v>46001</v>
      </c>
      <c r="O294" s="2" t="s">
        <v>22</v>
      </c>
      <c r="P294" s="4">
        <f t="shared" ca="1" si="26"/>
        <v>2</v>
      </c>
      <c r="Q294" s="4" t="str">
        <f t="shared" ca="1" si="27"/>
        <v>0-2 Years</v>
      </c>
      <c r="R294">
        <f t="shared" ca="1" si="29"/>
        <v>1</v>
      </c>
      <c r="S294" t="s">
        <v>22</v>
      </c>
      <c r="T294">
        <v>3</v>
      </c>
      <c r="U294" t="s">
        <v>1394</v>
      </c>
      <c r="V294" t="s">
        <v>1394</v>
      </c>
      <c r="W294" t="s">
        <v>1394</v>
      </c>
      <c r="X294" s="3">
        <v>4</v>
      </c>
      <c r="Y294" t="s">
        <v>1395</v>
      </c>
      <c r="Z294">
        <v>32864</v>
      </c>
      <c r="AA294">
        <v>0.1</v>
      </c>
      <c r="AB294">
        <v>36150.400000000001</v>
      </c>
    </row>
    <row r="295" spans="1:28" x14ac:dyDescent="0.35">
      <c r="A295" t="str">
        <f t="shared" si="24"/>
        <v>EMP0294</v>
      </c>
      <c r="B295" t="str" cm="1">
        <f t="array" ref="B295">_xlfn.IFS(
ROW()&lt;=421,"NA",
ROW()&lt;=781,"LATAM",
ROW()&lt;=1021,"EMEA",
TRUE,"APAC"
)</f>
        <v>NA</v>
      </c>
      <c r="C295" t="str">
        <f t="shared" si="25"/>
        <v>USA</v>
      </c>
      <c r="D295" t="s">
        <v>41</v>
      </c>
      <c r="E295" t="s">
        <v>380</v>
      </c>
      <c r="F295" t="s">
        <v>512</v>
      </c>
      <c r="G295" t="s">
        <v>53</v>
      </c>
      <c r="H295" s="2">
        <v>45268</v>
      </c>
      <c r="I295" t="s">
        <v>57</v>
      </c>
      <c r="J295" t="s">
        <v>42</v>
      </c>
      <c r="K295" t="str">
        <f t="shared" ca="1" si="28"/>
        <v>OK</v>
      </c>
      <c r="L295" t="s">
        <v>670</v>
      </c>
      <c r="M295">
        <v>5</v>
      </c>
      <c r="N295" s="2">
        <v>46015</v>
      </c>
      <c r="O295" s="2">
        <v>46071</v>
      </c>
      <c r="P295" s="4">
        <f t="shared" ca="1" si="26"/>
        <v>2</v>
      </c>
      <c r="Q295" s="4" t="str">
        <f t="shared" ca="1" si="27"/>
        <v>0-2 Years</v>
      </c>
      <c r="R295">
        <f t="shared" ca="1" si="29"/>
        <v>1</v>
      </c>
      <c r="S295" t="s">
        <v>23</v>
      </c>
      <c r="T295">
        <v>3</v>
      </c>
      <c r="U295" t="s">
        <v>1394</v>
      </c>
      <c r="V295" t="s">
        <v>1394</v>
      </c>
      <c r="W295" t="s">
        <v>1394</v>
      </c>
      <c r="X295" s="3">
        <v>1</v>
      </c>
      <c r="Y295" t="s">
        <v>1397</v>
      </c>
      <c r="Z295">
        <v>28563</v>
      </c>
      <c r="AA295">
        <v>0.1</v>
      </c>
      <c r="AB295">
        <v>31419.300000000003</v>
      </c>
    </row>
    <row r="296" spans="1:28" x14ac:dyDescent="0.35">
      <c r="A296" t="str">
        <f t="shared" si="24"/>
        <v>EMP0295</v>
      </c>
      <c r="B296" t="str" cm="1">
        <f t="array" ref="B296">_xlfn.IFS(
ROW()&lt;=421,"NA",
ROW()&lt;=781,"LATAM",
ROW()&lt;=1021,"EMEA",
TRUE,"APAC"
)</f>
        <v>NA</v>
      </c>
      <c r="C296" t="str">
        <f t="shared" si="25"/>
        <v>USA</v>
      </c>
      <c r="D296" t="s">
        <v>38</v>
      </c>
      <c r="E296" t="s">
        <v>380</v>
      </c>
      <c r="F296" t="s">
        <v>474</v>
      </c>
      <c r="G296" t="s">
        <v>28</v>
      </c>
      <c r="H296" s="2">
        <v>45262</v>
      </c>
      <c r="I296" t="s">
        <v>29</v>
      </c>
      <c r="J296" t="s">
        <v>39</v>
      </c>
      <c r="K296" t="str">
        <f t="shared" ca="1" si="28"/>
        <v>OK</v>
      </c>
      <c r="L296" t="s">
        <v>551</v>
      </c>
      <c r="M296">
        <v>5</v>
      </c>
      <c r="N296" s="2">
        <v>46056</v>
      </c>
      <c r="O296" s="2" t="s">
        <v>22</v>
      </c>
      <c r="P296" s="4">
        <f t="shared" ca="1" si="26"/>
        <v>2</v>
      </c>
      <c r="Q296" s="4" t="str">
        <f t="shared" ca="1" si="27"/>
        <v>0-2 Years</v>
      </c>
      <c r="R296">
        <f t="shared" ca="1" si="29"/>
        <v>1</v>
      </c>
      <c r="S296" t="s">
        <v>22</v>
      </c>
      <c r="T296">
        <v>4</v>
      </c>
      <c r="U296" t="s">
        <v>1394</v>
      </c>
      <c r="V296" t="s">
        <v>1394</v>
      </c>
      <c r="W296" t="s">
        <v>1394</v>
      </c>
      <c r="X296" s="3">
        <v>2</v>
      </c>
      <c r="Y296" t="s">
        <v>1397</v>
      </c>
      <c r="Z296">
        <v>47310</v>
      </c>
      <c r="AA296">
        <v>0.1</v>
      </c>
      <c r="AB296">
        <v>52041.000000000007</v>
      </c>
    </row>
    <row r="297" spans="1:28" x14ac:dyDescent="0.35">
      <c r="A297" t="str">
        <f t="shared" si="24"/>
        <v>EMP0296</v>
      </c>
      <c r="B297" t="str" cm="1">
        <f t="array" ref="B297">_xlfn.IFS(
ROW()&lt;=421,"NA",
ROW()&lt;=781,"LATAM",
ROW()&lt;=1021,"EMEA",
TRUE,"APAC"
)</f>
        <v>NA</v>
      </c>
      <c r="C297" t="str">
        <f t="shared" si="25"/>
        <v>USA</v>
      </c>
      <c r="D297" t="s">
        <v>32</v>
      </c>
      <c r="E297" t="s">
        <v>380</v>
      </c>
      <c r="F297" t="s">
        <v>702</v>
      </c>
      <c r="G297" t="s">
        <v>28</v>
      </c>
      <c r="H297" s="2">
        <v>45255</v>
      </c>
      <c r="I297" t="s">
        <v>29</v>
      </c>
      <c r="J297" t="s">
        <v>33</v>
      </c>
      <c r="K297" t="str">
        <f t="shared" ca="1" si="28"/>
        <v>OK</v>
      </c>
      <c r="L297" t="s">
        <v>732</v>
      </c>
      <c r="M297">
        <v>5</v>
      </c>
      <c r="N297" s="2">
        <v>46040</v>
      </c>
      <c r="O297" s="2" t="s">
        <v>22</v>
      </c>
      <c r="P297" s="4">
        <f t="shared" ca="1" si="26"/>
        <v>2</v>
      </c>
      <c r="Q297" s="4" t="str">
        <f t="shared" ca="1" si="27"/>
        <v>0-2 Years</v>
      </c>
      <c r="R297">
        <f t="shared" ca="1" si="29"/>
        <v>1</v>
      </c>
      <c r="S297" t="s">
        <v>22</v>
      </c>
      <c r="T297">
        <v>3</v>
      </c>
      <c r="U297" t="s">
        <v>1394</v>
      </c>
      <c r="V297" t="s">
        <v>1394</v>
      </c>
      <c r="W297" t="s">
        <v>1394</v>
      </c>
      <c r="X297" s="3">
        <v>2</v>
      </c>
      <c r="Y297" t="s">
        <v>1397</v>
      </c>
      <c r="Z297">
        <v>44529</v>
      </c>
      <c r="AA297">
        <v>0.1</v>
      </c>
      <c r="AB297">
        <v>48981.9</v>
      </c>
    </row>
    <row r="298" spans="1:28" x14ac:dyDescent="0.35">
      <c r="A298" t="str">
        <f t="shared" si="24"/>
        <v>EMP0297</v>
      </c>
      <c r="B298" t="str" cm="1">
        <f t="array" ref="B298">_xlfn.IFS(
ROW()&lt;=421,"NA",
ROW()&lt;=781,"LATAM",
ROW()&lt;=1021,"EMEA",
TRUE,"APAC"
)</f>
        <v>NA</v>
      </c>
      <c r="C298" t="str">
        <f t="shared" si="25"/>
        <v>USA</v>
      </c>
      <c r="D298" t="s">
        <v>26</v>
      </c>
      <c r="E298" t="s">
        <v>380</v>
      </c>
      <c r="F298" t="s">
        <v>1106</v>
      </c>
      <c r="G298" t="s">
        <v>28</v>
      </c>
      <c r="H298" s="2">
        <v>45244</v>
      </c>
      <c r="I298" t="s">
        <v>29</v>
      </c>
      <c r="J298" t="s">
        <v>30</v>
      </c>
      <c r="K298" t="str">
        <f t="shared" ca="1" si="28"/>
        <v>OK</v>
      </c>
      <c r="L298" t="s">
        <v>1107</v>
      </c>
      <c r="M298">
        <v>5</v>
      </c>
      <c r="N298" s="2">
        <v>46070</v>
      </c>
      <c r="O298" s="2" t="s">
        <v>22</v>
      </c>
      <c r="P298" s="4">
        <f t="shared" ca="1" si="26"/>
        <v>2</v>
      </c>
      <c r="Q298" s="4" t="str">
        <f t="shared" ca="1" si="27"/>
        <v>0-2 Years</v>
      </c>
      <c r="R298">
        <f t="shared" ca="1" si="29"/>
        <v>1</v>
      </c>
      <c r="S298" t="s">
        <v>22</v>
      </c>
      <c r="T298">
        <v>1</v>
      </c>
      <c r="U298" t="s">
        <v>1396</v>
      </c>
      <c r="V298" t="s">
        <v>1394</v>
      </c>
      <c r="W298" t="s">
        <v>1394</v>
      </c>
      <c r="X298" s="3">
        <v>2</v>
      </c>
      <c r="Y298" t="s">
        <v>1397</v>
      </c>
      <c r="Z298">
        <v>44487</v>
      </c>
      <c r="AA298">
        <v>0.1</v>
      </c>
      <c r="AB298">
        <v>48935.700000000004</v>
      </c>
    </row>
    <row r="299" spans="1:28" x14ac:dyDescent="0.35">
      <c r="A299" t="str">
        <f t="shared" si="24"/>
        <v>EMP0298</v>
      </c>
      <c r="B299" t="str" cm="1">
        <f t="array" ref="B299">_xlfn.IFS(
ROW()&lt;=421,"NA",
ROW()&lt;=781,"LATAM",
ROW()&lt;=1021,"EMEA",
TRUE,"APAC"
)</f>
        <v>NA</v>
      </c>
      <c r="C299" t="str">
        <f t="shared" si="25"/>
        <v>USA</v>
      </c>
      <c r="D299" t="s">
        <v>35</v>
      </c>
      <c r="E299" t="s">
        <v>380</v>
      </c>
      <c r="F299" t="s">
        <v>450</v>
      </c>
      <c r="G299" t="s">
        <v>28</v>
      </c>
      <c r="H299" s="2">
        <v>45238</v>
      </c>
      <c r="I299" t="s">
        <v>29</v>
      </c>
      <c r="J299" t="s">
        <v>36</v>
      </c>
      <c r="K299" t="str">
        <f t="shared" ca="1" si="28"/>
        <v>OK</v>
      </c>
      <c r="L299" t="s">
        <v>776</v>
      </c>
      <c r="M299">
        <v>5</v>
      </c>
      <c r="N299" s="2">
        <v>46077</v>
      </c>
      <c r="O299" s="2" t="s">
        <v>22</v>
      </c>
      <c r="P299" s="4">
        <f t="shared" ca="1" si="26"/>
        <v>2</v>
      </c>
      <c r="Q299" s="4" t="str">
        <f t="shared" ca="1" si="27"/>
        <v>0-2 Years</v>
      </c>
      <c r="R299">
        <f t="shared" ca="1" si="29"/>
        <v>1</v>
      </c>
      <c r="S299" t="s">
        <v>22</v>
      </c>
      <c r="T299">
        <v>3</v>
      </c>
      <c r="U299" t="s">
        <v>1394</v>
      </c>
      <c r="V299" t="s">
        <v>1394</v>
      </c>
      <c r="W299" t="s">
        <v>1394</v>
      </c>
      <c r="X299" s="3">
        <v>4</v>
      </c>
      <c r="Y299" t="s">
        <v>1395</v>
      </c>
      <c r="Z299">
        <v>38648</v>
      </c>
      <c r="AA299">
        <v>0.1</v>
      </c>
      <c r="AB299">
        <v>42512.800000000003</v>
      </c>
    </row>
    <row r="300" spans="1:28" x14ac:dyDescent="0.35">
      <c r="A300" t="str">
        <f t="shared" si="24"/>
        <v>EMP0299</v>
      </c>
      <c r="B300" t="str" cm="1">
        <f t="array" ref="B300">_xlfn.IFS(
ROW()&lt;=421,"NA",
ROW()&lt;=781,"LATAM",
ROW()&lt;=1021,"EMEA",
TRUE,"APAC"
)</f>
        <v>NA</v>
      </c>
      <c r="C300" t="str">
        <f t="shared" si="25"/>
        <v>USA</v>
      </c>
      <c r="D300" t="s">
        <v>41</v>
      </c>
      <c r="E300" t="s">
        <v>380</v>
      </c>
      <c r="F300" t="s">
        <v>524</v>
      </c>
      <c r="G300" t="s">
        <v>28</v>
      </c>
      <c r="H300" s="2">
        <v>45235</v>
      </c>
      <c r="I300" t="s">
        <v>57</v>
      </c>
      <c r="J300" t="s">
        <v>42</v>
      </c>
      <c r="K300" t="str">
        <f t="shared" ca="1" si="28"/>
        <v>OK</v>
      </c>
      <c r="L300" t="s">
        <v>815</v>
      </c>
      <c r="M300">
        <v>5</v>
      </c>
      <c r="N300" s="2">
        <v>45993</v>
      </c>
      <c r="O300" s="2">
        <v>46071</v>
      </c>
      <c r="P300" s="4">
        <f t="shared" ca="1" si="26"/>
        <v>2</v>
      </c>
      <c r="Q300" s="4" t="str">
        <f t="shared" ca="1" si="27"/>
        <v>0-2 Years</v>
      </c>
      <c r="R300">
        <f t="shared" ca="1" si="29"/>
        <v>1</v>
      </c>
      <c r="S300" t="s">
        <v>23</v>
      </c>
      <c r="T300">
        <v>4</v>
      </c>
      <c r="U300" t="s">
        <v>1394</v>
      </c>
      <c r="V300" t="s">
        <v>1396</v>
      </c>
      <c r="W300" t="s">
        <v>1394</v>
      </c>
      <c r="X300" s="3">
        <v>2</v>
      </c>
      <c r="Y300" t="s">
        <v>1397</v>
      </c>
      <c r="Z300">
        <v>29908</v>
      </c>
      <c r="AA300">
        <v>0.1</v>
      </c>
      <c r="AB300">
        <v>32898.800000000003</v>
      </c>
    </row>
    <row r="301" spans="1:28" x14ac:dyDescent="0.35">
      <c r="A301" t="str">
        <f t="shared" si="24"/>
        <v>EMP0300</v>
      </c>
      <c r="B301" t="str" cm="1">
        <f t="array" ref="B301">_xlfn.IFS(
ROW()&lt;=421,"NA",
ROW()&lt;=781,"LATAM",
ROW()&lt;=1021,"EMEA",
TRUE,"APAC"
)</f>
        <v>NA</v>
      </c>
      <c r="C301" t="str">
        <f t="shared" si="25"/>
        <v>USA</v>
      </c>
      <c r="D301" t="s">
        <v>38</v>
      </c>
      <c r="E301" t="s">
        <v>380</v>
      </c>
      <c r="F301" t="s">
        <v>650</v>
      </c>
      <c r="G301" t="s">
        <v>28</v>
      </c>
      <c r="H301" s="2">
        <v>45234</v>
      </c>
      <c r="I301" t="s">
        <v>29</v>
      </c>
      <c r="J301" t="s">
        <v>39</v>
      </c>
      <c r="K301" t="str">
        <f t="shared" ca="1" si="28"/>
        <v>OK</v>
      </c>
      <c r="L301" t="s">
        <v>258</v>
      </c>
      <c r="M301">
        <v>5</v>
      </c>
      <c r="N301" s="2">
        <v>45994</v>
      </c>
      <c r="O301" s="2" t="s">
        <v>22</v>
      </c>
      <c r="P301" s="4">
        <f t="shared" ca="1" si="26"/>
        <v>2</v>
      </c>
      <c r="Q301" s="4" t="str">
        <f t="shared" ca="1" si="27"/>
        <v>0-2 Years</v>
      </c>
      <c r="R301">
        <f t="shared" ca="1" si="29"/>
        <v>1</v>
      </c>
      <c r="S301" t="s">
        <v>22</v>
      </c>
      <c r="T301">
        <v>3</v>
      </c>
      <c r="U301" t="s">
        <v>1394</v>
      </c>
      <c r="V301" t="s">
        <v>1394</v>
      </c>
      <c r="W301" t="s">
        <v>1394</v>
      </c>
      <c r="X301" s="3">
        <v>2</v>
      </c>
      <c r="Y301" t="s">
        <v>1397</v>
      </c>
      <c r="Z301">
        <v>28169</v>
      </c>
      <c r="AA301">
        <v>0.1</v>
      </c>
      <c r="AB301">
        <v>30985.9</v>
      </c>
    </row>
    <row r="302" spans="1:28" x14ac:dyDescent="0.35">
      <c r="A302" t="str">
        <f t="shared" si="24"/>
        <v>EMP0301</v>
      </c>
      <c r="B302" t="str" cm="1">
        <f t="array" ref="B302">_xlfn.IFS(
ROW()&lt;=421,"NA",
ROW()&lt;=781,"LATAM",
ROW()&lt;=1021,"EMEA",
TRUE,"APAC"
)</f>
        <v>NA</v>
      </c>
      <c r="C302" t="str">
        <f t="shared" si="25"/>
        <v>USA</v>
      </c>
      <c r="D302" t="s">
        <v>41</v>
      </c>
      <c r="E302" t="s">
        <v>380</v>
      </c>
      <c r="F302" t="s">
        <v>408</v>
      </c>
      <c r="G302" t="s">
        <v>28</v>
      </c>
      <c r="H302" s="2">
        <v>45233</v>
      </c>
      <c r="I302" t="s">
        <v>29</v>
      </c>
      <c r="J302" t="s">
        <v>42</v>
      </c>
      <c r="K302" t="str">
        <f t="shared" ca="1" si="28"/>
        <v>OK</v>
      </c>
      <c r="L302" t="s">
        <v>409</v>
      </c>
      <c r="M302">
        <v>5</v>
      </c>
      <c r="N302" s="2">
        <v>46023</v>
      </c>
      <c r="O302" s="2" t="s">
        <v>22</v>
      </c>
      <c r="P302" s="4">
        <f t="shared" ca="1" si="26"/>
        <v>2</v>
      </c>
      <c r="Q302" s="4" t="str">
        <f t="shared" ca="1" si="27"/>
        <v>0-2 Years</v>
      </c>
      <c r="R302">
        <f t="shared" ca="1" si="29"/>
        <v>1</v>
      </c>
      <c r="S302" t="s">
        <v>22</v>
      </c>
      <c r="T302">
        <v>2</v>
      </c>
      <c r="U302" t="s">
        <v>1394</v>
      </c>
      <c r="V302" t="s">
        <v>1394</v>
      </c>
      <c r="W302" t="s">
        <v>1394</v>
      </c>
      <c r="X302" s="3">
        <v>1</v>
      </c>
      <c r="Y302" t="s">
        <v>1397</v>
      </c>
      <c r="Z302">
        <v>33647</v>
      </c>
      <c r="AA302">
        <v>0.1</v>
      </c>
      <c r="AB302">
        <v>37011.700000000004</v>
      </c>
    </row>
    <row r="303" spans="1:28" x14ac:dyDescent="0.35">
      <c r="A303" t="str">
        <f t="shared" si="24"/>
        <v>EMP0302</v>
      </c>
      <c r="B303" t="str" cm="1">
        <f t="array" ref="B303">_xlfn.IFS(
ROW()&lt;=421,"NA",
ROW()&lt;=781,"LATAM",
ROW()&lt;=1021,"EMEA",
TRUE,"APAC"
)</f>
        <v>NA</v>
      </c>
      <c r="C303" t="str">
        <f t="shared" si="25"/>
        <v>USA</v>
      </c>
      <c r="D303" t="s">
        <v>26</v>
      </c>
      <c r="E303" t="s">
        <v>380</v>
      </c>
      <c r="F303" t="s">
        <v>759</v>
      </c>
      <c r="G303" t="s">
        <v>28</v>
      </c>
      <c r="H303" s="2">
        <v>45233</v>
      </c>
      <c r="I303" t="s">
        <v>29</v>
      </c>
      <c r="J303" t="s">
        <v>30</v>
      </c>
      <c r="K303" t="str">
        <f t="shared" ca="1" si="28"/>
        <v>OK</v>
      </c>
      <c r="L303" t="s">
        <v>1309</v>
      </c>
      <c r="M303">
        <v>5</v>
      </c>
      <c r="N303" s="2">
        <v>46067</v>
      </c>
      <c r="O303" s="2" t="s">
        <v>22</v>
      </c>
      <c r="P303" s="4">
        <f t="shared" ca="1" si="26"/>
        <v>2</v>
      </c>
      <c r="Q303" s="4" t="str">
        <f t="shared" ca="1" si="27"/>
        <v>0-2 Years</v>
      </c>
      <c r="R303">
        <f t="shared" ca="1" si="29"/>
        <v>1</v>
      </c>
      <c r="S303" t="s">
        <v>22</v>
      </c>
      <c r="T303">
        <v>2</v>
      </c>
      <c r="U303" t="s">
        <v>1394</v>
      </c>
      <c r="V303" t="s">
        <v>1394</v>
      </c>
      <c r="W303" t="s">
        <v>1394</v>
      </c>
      <c r="X303" s="3">
        <v>1</v>
      </c>
      <c r="Y303" t="s">
        <v>1397</v>
      </c>
      <c r="Z303">
        <v>37787</v>
      </c>
      <c r="AA303">
        <v>0.1</v>
      </c>
      <c r="AB303">
        <v>41565.700000000004</v>
      </c>
    </row>
    <row r="304" spans="1:28" x14ac:dyDescent="0.35">
      <c r="A304" t="str">
        <f t="shared" si="24"/>
        <v>EMP0303</v>
      </c>
      <c r="B304" t="str" cm="1">
        <f t="array" ref="B304">_xlfn.IFS(
ROW()&lt;=421,"NA",
ROW()&lt;=781,"LATAM",
ROW()&lt;=1021,"EMEA",
TRUE,"APAC"
)</f>
        <v>NA</v>
      </c>
      <c r="C304" t="str">
        <f t="shared" si="25"/>
        <v>USA</v>
      </c>
      <c r="D304" t="s">
        <v>26</v>
      </c>
      <c r="E304" t="s">
        <v>380</v>
      </c>
      <c r="F304" t="s">
        <v>567</v>
      </c>
      <c r="G304" t="s">
        <v>28</v>
      </c>
      <c r="H304" s="2">
        <v>45226</v>
      </c>
      <c r="I304" t="s">
        <v>57</v>
      </c>
      <c r="J304" t="s">
        <v>30</v>
      </c>
      <c r="K304" t="str">
        <f t="shared" ca="1" si="28"/>
        <v>OK</v>
      </c>
      <c r="L304" t="s">
        <v>1047</v>
      </c>
      <c r="M304">
        <v>5</v>
      </c>
      <c r="N304" s="2">
        <v>46052</v>
      </c>
      <c r="O304" s="2">
        <v>46071</v>
      </c>
      <c r="P304" s="4">
        <f t="shared" ca="1" si="26"/>
        <v>2</v>
      </c>
      <c r="Q304" s="4" t="str">
        <f t="shared" ca="1" si="27"/>
        <v>0-2 Years</v>
      </c>
      <c r="R304">
        <f t="shared" ca="1" si="29"/>
        <v>1</v>
      </c>
      <c r="S304" t="s">
        <v>23</v>
      </c>
      <c r="T304">
        <v>3</v>
      </c>
      <c r="U304" t="s">
        <v>1394</v>
      </c>
      <c r="V304" t="s">
        <v>1394</v>
      </c>
      <c r="W304" t="s">
        <v>1394</v>
      </c>
      <c r="X304" s="3">
        <v>2</v>
      </c>
      <c r="Y304" t="s">
        <v>1397</v>
      </c>
      <c r="Z304">
        <v>20812</v>
      </c>
      <c r="AA304">
        <v>0.1</v>
      </c>
      <c r="AB304">
        <v>22893.200000000001</v>
      </c>
    </row>
    <row r="305" spans="1:28" x14ac:dyDescent="0.35">
      <c r="A305" t="str">
        <f t="shared" si="24"/>
        <v>EMP0304</v>
      </c>
      <c r="B305" t="str" cm="1">
        <f t="array" ref="B305">_xlfn.IFS(
ROW()&lt;=421,"NA",
ROW()&lt;=781,"LATAM",
ROW()&lt;=1021,"EMEA",
TRUE,"APAC"
)</f>
        <v>NA</v>
      </c>
      <c r="C305" t="str">
        <f t="shared" si="25"/>
        <v>USA</v>
      </c>
      <c r="D305" t="s">
        <v>32</v>
      </c>
      <c r="E305" t="s">
        <v>380</v>
      </c>
      <c r="F305" t="s">
        <v>798</v>
      </c>
      <c r="G305" t="s">
        <v>28</v>
      </c>
      <c r="H305" s="2">
        <v>45221</v>
      </c>
      <c r="I305" t="s">
        <v>29</v>
      </c>
      <c r="J305" t="s">
        <v>33</v>
      </c>
      <c r="K305" t="str">
        <f t="shared" ca="1" si="28"/>
        <v>OK</v>
      </c>
      <c r="L305" t="s">
        <v>1122</v>
      </c>
      <c r="M305">
        <v>5</v>
      </c>
      <c r="N305" s="2">
        <v>46007</v>
      </c>
      <c r="O305" s="2" t="s">
        <v>22</v>
      </c>
      <c r="P305" s="4">
        <f t="shared" ca="1" si="26"/>
        <v>2</v>
      </c>
      <c r="Q305" s="4" t="str">
        <f t="shared" ca="1" si="27"/>
        <v>0-2 Years</v>
      </c>
      <c r="R305">
        <f t="shared" ca="1" si="29"/>
        <v>1</v>
      </c>
      <c r="S305" t="s">
        <v>22</v>
      </c>
      <c r="T305">
        <v>4</v>
      </c>
      <c r="U305" t="s">
        <v>1396</v>
      </c>
      <c r="V305" t="s">
        <v>1394</v>
      </c>
      <c r="W305" t="s">
        <v>1394</v>
      </c>
      <c r="X305" s="3">
        <v>4</v>
      </c>
      <c r="Y305" t="s">
        <v>1395</v>
      </c>
      <c r="Z305">
        <v>43021</v>
      </c>
      <c r="AA305">
        <v>0.1</v>
      </c>
      <c r="AB305">
        <v>47323.100000000006</v>
      </c>
    </row>
    <row r="306" spans="1:28" x14ac:dyDescent="0.35">
      <c r="A306" t="str">
        <f t="shared" si="24"/>
        <v>EMP0305</v>
      </c>
      <c r="B306" t="str" cm="1">
        <f t="array" ref="B306">_xlfn.IFS(
ROW()&lt;=421,"NA",
ROW()&lt;=781,"LATAM",
ROW()&lt;=1021,"EMEA",
TRUE,"APAC"
)</f>
        <v>NA</v>
      </c>
      <c r="C306" t="str">
        <f t="shared" si="25"/>
        <v>USA</v>
      </c>
      <c r="D306" t="s">
        <v>35</v>
      </c>
      <c r="E306" t="s">
        <v>380</v>
      </c>
      <c r="F306" t="s">
        <v>575</v>
      </c>
      <c r="G306" t="s">
        <v>28</v>
      </c>
      <c r="H306" s="2">
        <v>45219</v>
      </c>
      <c r="I306" t="s">
        <v>29</v>
      </c>
      <c r="J306" t="s">
        <v>36</v>
      </c>
      <c r="K306" t="str">
        <f t="shared" ca="1" si="28"/>
        <v>OK</v>
      </c>
      <c r="L306" t="s">
        <v>768</v>
      </c>
      <c r="M306">
        <v>5</v>
      </c>
      <c r="N306" s="2">
        <v>46059</v>
      </c>
      <c r="O306" s="2" t="s">
        <v>22</v>
      </c>
      <c r="P306" s="4">
        <f t="shared" ca="1" si="26"/>
        <v>2</v>
      </c>
      <c r="Q306" s="4" t="str">
        <f t="shared" ca="1" si="27"/>
        <v>0-2 Years</v>
      </c>
      <c r="R306">
        <f t="shared" ca="1" si="29"/>
        <v>1</v>
      </c>
      <c r="S306" t="s">
        <v>22</v>
      </c>
      <c r="T306">
        <v>4</v>
      </c>
      <c r="U306" t="s">
        <v>1394</v>
      </c>
      <c r="V306" t="s">
        <v>1394</v>
      </c>
      <c r="W306" t="s">
        <v>1394</v>
      </c>
      <c r="X306" s="3">
        <v>5</v>
      </c>
      <c r="Y306" t="s">
        <v>1395</v>
      </c>
      <c r="Z306">
        <v>36632</v>
      </c>
      <c r="AA306">
        <v>0.1</v>
      </c>
      <c r="AB306">
        <v>40295.200000000004</v>
      </c>
    </row>
    <row r="307" spans="1:28" x14ac:dyDescent="0.35">
      <c r="A307" t="str">
        <f t="shared" si="24"/>
        <v>EMP0306</v>
      </c>
      <c r="B307" t="str" cm="1">
        <f t="array" ref="B307">_xlfn.IFS(
ROW()&lt;=421,"NA",
ROW()&lt;=781,"LATAM",
ROW()&lt;=1021,"EMEA",
TRUE,"APAC"
)</f>
        <v>NA</v>
      </c>
      <c r="C307" t="str">
        <f t="shared" si="25"/>
        <v>USA</v>
      </c>
      <c r="D307" t="s">
        <v>44</v>
      </c>
      <c r="E307" t="s">
        <v>380</v>
      </c>
      <c r="F307" t="s">
        <v>460</v>
      </c>
      <c r="G307" t="s">
        <v>28</v>
      </c>
      <c r="H307" s="2">
        <v>45217</v>
      </c>
      <c r="I307" t="s">
        <v>29</v>
      </c>
      <c r="J307" t="s">
        <v>47</v>
      </c>
      <c r="K307" t="str">
        <f t="shared" ca="1" si="28"/>
        <v>OK</v>
      </c>
      <c r="L307" t="s">
        <v>1365</v>
      </c>
      <c r="M307">
        <v>5</v>
      </c>
      <c r="N307" s="2">
        <v>46062</v>
      </c>
      <c r="O307" s="2" t="s">
        <v>22</v>
      </c>
      <c r="P307" s="4">
        <f t="shared" ca="1" si="26"/>
        <v>2</v>
      </c>
      <c r="Q307" s="4" t="str">
        <f t="shared" ca="1" si="27"/>
        <v>0-2 Years</v>
      </c>
      <c r="R307">
        <f t="shared" ca="1" si="29"/>
        <v>1</v>
      </c>
      <c r="S307" t="s">
        <v>22</v>
      </c>
      <c r="T307">
        <v>2</v>
      </c>
      <c r="U307" t="s">
        <v>1396</v>
      </c>
      <c r="V307" t="s">
        <v>1396</v>
      </c>
      <c r="W307" t="s">
        <v>1394</v>
      </c>
      <c r="X307" s="3">
        <v>5</v>
      </c>
      <c r="Y307" t="s">
        <v>1395</v>
      </c>
      <c r="Z307">
        <v>29171</v>
      </c>
      <c r="AA307">
        <v>0.1</v>
      </c>
      <c r="AB307">
        <v>32088.100000000002</v>
      </c>
    </row>
    <row r="308" spans="1:28" x14ac:dyDescent="0.35">
      <c r="A308" t="str">
        <f t="shared" si="24"/>
        <v>EMP0307</v>
      </c>
      <c r="B308" t="str" cm="1">
        <f t="array" ref="B308">_xlfn.IFS(
ROW()&lt;=421,"NA",
ROW()&lt;=781,"LATAM",
ROW()&lt;=1021,"EMEA",
TRUE,"APAC"
)</f>
        <v>NA</v>
      </c>
      <c r="C308" t="str">
        <f t="shared" si="25"/>
        <v>USA</v>
      </c>
      <c r="D308" t="s">
        <v>41</v>
      </c>
      <c r="E308" t="s">
        <v>380</v>
      </c>
      <c r="F308" t="s">
        <v>770</v>
      </c>
      <c r="G308" t="s">
        <v>53</v>
      </c>
      <c r="H308" s="2">
        <v>45212</v>
      </c>
      <c r="I308" t="s">
        <v>29</v>
      </c>
      <c r="J308" t="s">
        <v>42</v>
      </c>
      <c r="K308" t="str">
        <f t="shared" ca="1" si="28"/>
        <v>OK</v>
      </c>
      <c r="L308" t="s">
        <v>1184</v>
      </c>
      <c r="M308">
        <v>5</v>
      </c>
      <c r="N308" s="2">
        <v>46035</v>
      </c>
      <c r="O308" s="2" t="s">
        <v>22</v>
      </c>
      <c r="P308" s="4">
        <f t="shared" ca="1" si="26"/>
        <v>2</v>
      </c>
      <c r="Q308" s="4" t="str">
        <f t="shared" ca="1" si="27"/>
        <v>0-2 Years</v>
      </c>
      <c r="R308">
        <f t="shared" ca="1" si="29"/>
        <v>1</v>
      </c>
      <c r="S308" t="s">
        <v>22</v>
      </c>
      <c r="T308">
        <v>4</v>
      </c>
      <c r="U308" t="s">
        <v>1394</v>
      </c>
      <c r="V308" t="s">
        <v>1396</v>
      </c>
      <c r="W308" t="s">
        <v>1396</v>
      </c>
      <c r="X308" s="3">
        <v>1</v>
      </c>
      <c r="Y308" t="s">
        <v>1397</v>
      </c>
      <c r="Z308">
        <v>23311</v>
      </c>
      <c r="AA308">
        <v>0.1</v>
      </c>
      <c r="AB308">
        <v>25642.100000000002</v>
      </c>
    </row>
    <row r="309" spans="1:28" x14ac:dyDescent="0.35">
      <c r="A309" t="str">
        <f t="shared" si="24"/>
        <v>EMP0308</v>
      </c>
      <c r="B309" t="str" cm="1">
        <f t="array" ref="B309">_xlfn.IFS(
ROW()&lt;=421,"NA",
ROW()&lt;=781,"LATAM",
ROW()&lt;=1021,"EMEA",
TRUE,"APAC"
)</f>
        <v>NA</v>
      </c>
      <c r="C309" t="str">
        <f t="shared" si="25"/>
        <v>USA</v>
      </c>
      <c r="D309" t="s">
        <v>26</v>
      </c>
      <c r="E309" t="s">
        <v>380</v>
      </c>
      <c r="F309" t="s">
        <v>638</v>
      </c>
      <c r="G309" t="s">
        <v>28</v>
      </c>
      <c r="H309" s="2">
        <v>45212</v>
      </c>
      <c r="I309" t="s">
        <v>29</v>
      </c>
      <c r="J309" t="s">
        <v>30</v>
      </c>
      <c r="K309" t="str">
        <f t="shared" ca="1" si="28"/>
        <v>OK</v>
      </c>
      <c r="L309" t="s">
        <v>817</v>
      </c>
      <c r="M309">
        <v>5</v>
      </c>
      <c r="N309" s="2">
        <v>46078</v>
      </c>
      <c r="O309" s="2" t="s">
        <v>22</v>
      </c>
      <c r="P309" s="4">
        <f t="shared" ca="1" si="26"/>
        <v>2</v>
      </c>
      <c r="Q309" s="4" t="str">
        <f t="shared" ca="1" si="27"/>
        <v>0-2 Years</v>
      </c>
      <c r="R309">
        <f t="shared" ca="1" si="29"/>
        <v>1</v>
      </c>
      <c r="S309" t="s">
        <v>22</v>
      </c>
      <c r="T309">
        <v>3</v>
      </c>
      <c r="U309" t="s">
        <v>1394</v>
      </c>
      <c r="V309" t="s">
        <v>1394</v>
      </c>
      <c r="W309" t="s">
        <v>1394</v>
      </c>
      <c r="X309" s="3">
        <v>2</v>
      </c>
      <c r="Y309" t="s">
        <v>1397</v>
      </c>
      <c r="Z309">
        <v>48737</v>
      </c>
      <c r="AA309">
        <v>0.1</v>
      </c>
      <c r="AB309">
        <v>53610.700000000004</v>
      </c>
    </row>
    <row r="310" spans="1:28" x14ac:dyDescent="0.35">
      <c r="A310" t="str">
        <f t="shared" si="24"/>
        <v>EMP0309</v>
      </c>
      <c r="B310" t="str" cm="1">
        <f t="array" ref="B310">_xlfn.IFS(
ROW()&lt;=421,"NA",
ROW()&lt;=781,"LATAM",
ROW()&lt;=1021,"EMEA",
TRUE,"APAC"
)</f>
        <v>NA</v>
      </c>
      <c r="C310" t="str">
        <f t="shared" si="25"/>
        <v>USA</v>
      </c>
      <c r="D310" t="s">
        <v>38</v>
      </c>
      <c r="E310" t="s">
        <v>380</v>
      </c>
      <c r="F310" t="s">
        <v>904</v>
      </c>
      <c r="G310" t="s">
        <v>28</v>
      </c>
      <c r="H310" s="2">
        <v>45211</v>
      </c>
      <c r="I310" t="s">
        <v>29</v>
      </c>
      <c r="J310" t="s">
        <v>39</v>
      </c>
      <c r="K310" t="str">
        <f t="shared" ca="1" si="28"/>
        <v>OK</v>
      </c>
      <c r="L310" t="s">
        <v>1216</v>
      </c>
      <c r="M310">
        <v>5</v>
      </c>
      <c r="N310" s="2">
        <v>46020</v>
      </c>
      <c r="O310" s="2" t="s">
        <v>22</v>
      </c>
      <c r="P310" s="4">
        <f t="shared" ca="1" si="26"/>
        <v>2</v>
      </c>
      <c r="Q310" s="4" t="str">
        <f t="shared" ca="1" si="27"/>
        <v>0-2 Years</v>
      </c>
      <c r="R310">
        <f t="shared" ca="1" si="29"/>
        <v>1</v>
      </c>
      <c r="S310" t="s">
        <v>22</v>
      </c>
      <c r="T310">
        <v>3</v>
      </c>
      <c r="U310" t="s">
        <v>1394</v>
      </c>
      <c r="V310" t="s">
        <v>1394</v>
      </c>
      <c r="W310" t="s">
        <v>1394</v>
      </c>
      <c r="X310" s="3">
        <v>4</v>
      </c>
      <c r="Y310" t="s">
        <v>1395</v>
      </c>
      <c r="Z310">
        <v>39406</v>
      </c>
      <c r="AA310">
        <v>0.1</v>
      </c>
      <c r="AB310">
        <v>43346.600000000006</v>
      </c>
    </row>
    <row r="311" spans="1:28" x14ac:dyDescent="0.35">
      <c r="A311" t="str">
        <f t="shared" si="24"/>
        <v>EMP0310</v>
      </c>
      <c r="B311" t="str" cm="1">
        <f t="array" ref="B311">_xlfn.IFS(
ROW()&lt;=421,"NA",
ROW()&lt;=781,"LATAM",
ROW()&lt;=1021,"EMEA",
TRUE,"APAC"
)</f>
        <v>NA</v>
      </c>
      <c r="C311" t="str">
        <f t="shared" si="25"/>
        <v>USA</v>
      </c>
      <c r="D311" t="s">
        <v>35</v>
      </c>
      <c r="E311" t="s">
        <v>380</v>
      </c>
      <c r="F311" t="s">
        <v>655</v>
      </c>
      <c r="G311" t="s">
        <v>28</v>
      </c>
      <c r="H311" s="2">
        <v>45207</v>
      </c>
      <c r="I311" t="s">
        <v>57</v>
      </c>
      <c r="J311" t="s">
        <v>36</v>
      </c>
      <c r="K311" t="str">
        <f t="shared" ca="1" si="28"/>
        <v>OK</v>
      </c>
      <c r="L311" t="s">
        <v>841</v>
      </c>
      <c r="M311">
        <v>5</v>
      </c>
      <c r="N311" s="2">
        <v>46052</v>
      </c>
      <c r="O311" s="2">
        <v>45927</v>
      </c>
      <c r="P311" s="4">
        <f t="shared" ca="1" si="26"/>
        <v>1</v>
      </c>
      <c r="Q311" s="4" t="str">
        <f t="shared" ca="1" si="27"/>
        <v>0-2 Years</v>
      </c>
      <c r="R311">
        <f t="shared" ca="1" si="29"/>
        <v>1</v>
      </c>
      <c r="S311" t="s">
        <v>23</v>
      </c>
      <c r="T311">
        <v>3</v>
      </c>
      <c r="U311" t="s">
        <v>1394</v>
      </c>
      <c r="V311" t="s">
        <v>1394</v>
      </c>
      <c r="W311" t="s">
        <v>1394</v>
      </c>
      <c r="X311" s="3">
        <v>3</v>
      </c>
      <c r="Y311" t="s">
        <v>1398</v>
      </c>
      <c r="Z311">
        <v>38388</v>
      </c>
      <c r="AA311">
        <v>0.1</v>
      </c>
      <c r="AB311">
        <v>42226.8</v>
      </c>
    </row>
    <row r="312" spans="1:28" x14ac:dyDescent="0.35">
      <c r="A312" t="str">
        <f t="shared" si="24"/>
        <v>EMP0311</v>
      </c>
      <c r="B312" t="str" cm="1">
        <f t="array" ref="B312">_xlfn.IFS(
ROW()&lt;=421,"NA",
ROW()&lt;=781,"LATAM",
ROW()&lt;=1021,"EMEA",
TRUE,"APAC"
)</f>
        <v>NA</v>
      </c>
      <c r="C312" t="str">
        <f t="shared" si="25"/>
        <v>USA</v>
      </c>
      <c r="D312" t="s">
        <v>41</v>
      </c>
      <c r="E312" t="s">
        <v>45</v>
      </c>
      <c r="F312" t="s">
        <v>56</v>
      </c>
      <c r="G312" t="s">
        <v>28</v>
      </c>
      <c r="H312" s="2">
        <v>45203</v>
      </c>
      <c r="I312" t="s">
        <v>57</v>
      </c>
      <c r="J312" t="s">
        <v>42</v>
      </c>
      <c r="K312" t="str">
        <f t="shared" ca="1" si="28"/>
        <v>OK</v>
      </c>
      <c r="L312" t="s">
        <v>65</v>
      </c>
      <c r="M312">
        <v>2</v>
      </c>
      <c r="N312" s="2">
        <v>46021</v>
      </c>
      <c r="O312" s="2">
        <v>46071</v>
      </c>
      <c r="P312" s="4">
        <f t="shared" ca="1" si="26"/>
        <v>2</v>
      </c>
      <c r="Q312" s="4" t="str">
        <f t="shared" ca="1" si="27"/>
        <v>0-2 Years</v>
      </c>
      <c r="R312">
        <f t="shared" ca="1" si="29"/>
        <v>1</v>
      </c>
      <c r="S312" t="s">
        <v>23</v>
      </c>
      <c r="T312">
        <v>3</v>
      </c>
      <c r="U312" t="s">
        <v>1396</v>
      </c>
      <c r="V312" t="s">
        <v>1394</v>
      </c>
      <c r="W312" t="s">
        <v>1394</v>
      </c>
      <c r="X312" s="3">
        <v>4</v>
      </c>
      <c r="Y312" t="s">
        <v>1395</v>
      </c>
      <c r="Z312">
        <v>181995</v>
      </c>
      <c r="AA312">
        <v>0.25</v>
      </c>
      <c r="AB312">
        <v>227493.75</v>
      </c>
    </row>
    <row r="313" spans="1:28" x14ac:dyDescent="0.35">
      <c r="A313" t="str">
        <f t="shared" si="24"/>
        <v>EMP0312</v>
      </c>
      <c r="B313" t="str" cm="1">
        <f t="array" ref="B313">_xlfn.IFS(
ROW()&lt;=421,"NA",
ROW()&lt;=781,"LATAM",
ROW()&lt;=1021,"EMEA",
TRUE,"APAC"
)</f>
        <v>NA</v>
      </c>
      <c r="C313" t="str">
        <f t="shared" si="25"/>
        <v>USA</v>
      </c>
      <c r="D313" t="s">
        <v>26</v>
      </c>
      <c r="E313" t="s">
        <v>380</v>
      </c>
      <c r="F313" t="s">
        <v>456</v>
      </c>
      <c r="G313" t="s">
        <v>28</v>
      </c>
      <c r="H313" s="2">
        <v>45194</v>
      </c>
      <c r="I313" t="s">
        <v>29</v>
      </c>
      <c r="J313" t="s">
        <v>30</v>
      </c>
      <c r="K313" t="str">
        <f t="shared" ca="1" si="28"/>
        <v>OK</v>
      </c>
      <c r="L313" t="s">
        <v>457</v>
      </c>
      <c r="M313">
        <v>5</v>
      </c>
      <c r="N313" s="2">
        <v>46040</v>
      </c>
      <c r="O313" s="2" t="s">
        <v>22</v>
      </c>
      <c r="P313" s="4">
        <f t="shared" ca="1" si="26"/>
        <v>2</v>
      </c>
      <c r="Q313" s="4" t="str">
        <f t="shared" ca="1" si="27"/>
        <v>0-2 Years</v>
      </c>
      <c r="R313">
        <f t="shared" ca="1" si="29"/>
        <v>1</v>
      </c>
      <c r="S313" t="s">
        <v>22</v>
      </c>
      <c r="T313">
        <v>3</v>
      </c>
      <c r="U313" t="s">
        <v>1394</v>
      </c>
      <c r="V313" t="s">
        <v>1394</v>
      </c>
      <c r="W313" t="s">
        <v>1394</v>
      </c>
      <c r="X313" s="3">
        <v>2</v>
      </c>
      <c r="Y313" t="s">
        <v>1397</v>
      </c>
      <c r="Z313">
        <v>29498</v>
      </c>
      <c r="AA313">
        <v>0.1</v>
      </c>
      <c r="AB313">
        <v>32447.800000000003</v>
      </c>
    </row>
    <row r="314" spans="1:28" x14ac:dyDescent="0.35">
      <c r="A314" t="str">
        <f t="shared" si="24"/>
        <v>EMP0313</v>
      </c>
      <c r="B314" t="str" cm="1">
        <f t="array" ref="B314">_xlfn.IFS(
ROW()&lt;=421,"NA",
ROW()&lt;=781,"LATAM",
ROW()&lt;=1021,"EMEA",
TRUE,"APAC"
)</f>
        <v>NA</v>
      </c>
      <c r="C314" t="str">
        <f t="shared" si="25"/>
        <v>USA</v>
      </c>
      <c r="D314" t="s">
        <v>32</v>
      </c>
      <c r="E314" t="s">
        <v>380</v>
      </c>
      <c r="F314" t="s">
        <v>468</v>
      </c>
      <c r="G314" t="s">
        <v>28</v>
      </c>
      <c r="H314" s="2">
        <v>45193</v>
      </c>
      <c r="I314" t="s">
        <v>29</v>
      </c>
      <c r="J314" t="s">
        <v>33</v>
      </c>
      <c r="K314" t="str">
        <f t="shared" ca="1" si="28"/>
        <v>OK</v>
      </c>
      <c r="L314" t="s">
        <v>1357</v>
      </c>
      <c r="M314">
        <v>5</v>
      </c>
      <c r="N314" s="2">
        <v>46060</v>
      </c>
      <c r="O314" s="2" t="s">
        <v>22</v>
      </c>
      <c r="P314" s="4">
        <f t="shared" ca="1" si="26"/>
        <v>2</v>
      </c>
      <c r="Q314" s="4" t="str">
        <f t="shared" ca="1" si="27"/>
        <v>0-2 Years</v>
      </c>
      <c r="R314">
        <f t="shared" ca="1" si="29"/>
        <v>1</v>
      </c>
      <c r="S314" t="s">
        <v>22</v>
      </c>
      <c r="T314">
        <v>4</v>
      </c>
      <c r="U314" t="s">
        <v>1396</v>
      </c>
      <c r="V314" t="s">
        <v>1394</v>
      </c>
      <c r="W314" t="s">
        <v>1394</v>
      </c>
      <c r="X314" s="3">
        <v>1</v>
      </c>
      <c r="Y314" t="s">
        <v>1397</v>
      </c>
      <c r="Z314">
        <v>43196</v>
      </c>
      <c r="AA314">
        <v>0.1</v>
      </c>
      <c r="AB314">
        <v>47515.600000000006</v>
      </c>
    </row>
    <row r="315" spans="1:28" x14ac:dyDescent="0.35">
      <c r="A315" t="str">
        <f t="shared" si="24"/>
        <v>EMP0314</v>
      </c>
      <c r="B315" t="str" cm="1">
        <f t="array" ref="B315">_xlfn.IFS(
ROW()&lt;=421,"NA",
ROW()&lt;=781,"LATAM",
ROW()&lt;=1021,"EMEA",
TRUE,"APAC"
)</f>
        <v>NA</v>
      </c>
      <c r="C315" t="str">
        <f t="shared" si="25"/>
        <v>USA</v>
      </c>
      <c r="D315" t="s">
        <v>41</v>
      </c>
      <c r="E315" t="s">
        <v>380</v>
      </c>
      <c r="F315" t="s">
        <v>438</v>
      </c>
      <c r="G315" t="s">
        <v>28</v>
      </c>
      <c r="H315" s="2">
        <v>45185</v>
      </c>
      <c r="I315" t="s">
        <v>29</v>
      </c>
      <c r="J315" t="s">
        <v>42</v>
      </c>
      <c r="K315" t="str">
        <f t="shared" ca="1" si="28"/>
        <v>OK</v>
      </c>
      <c r="L315" t="s">
        <v>463</v>
      </c>
      <c r="M315">
        <v>5</v>
      </c>
      <c r="N315" s="2">
        <v>46059</v>
      </c>
      <c r="O315" s="2" t="s">
        <v>22</v>
      </c>
      <c r="P315" s="4">
        <f t="shared" ca="1" si="26"/>
        <v>2</v>
      </c>
      <c r="Q315" s="4" t="str">
        <f t="shared" ca="1" si="27"/>
        <v>0-2 Years</v>
      </c>
      <c r="R315">
        <f t="shared" ca="1" si="29"/>
        <v>1</v>
      </c>
      <c r="S315" t="s">
        <v>22</v>
      </c>
      <c r="T315">
        <v>3</v>
      </c>
      <c r="U315" t="s">
        <v>1394</v>
      </c>
      <c r="V315" t="s">
        <v>1394</v>
      </c>
      <c r="W315" t="s">
        <v>1394</v>
      </c>
      <c r="X315" s="3">
        <v>3</v>
      </c>
      <c r="Y315" t="s">
        <v>1398</v>
      </c>
      <c r="Z315">
        <v>36596</v>
      </c>
      <c r="AA315">
        <v>0.1</v>
      </c>
      <c r="AB315">
        <v>40255.600000000006</v>
      </c>
    </row>
    <row r="316" spans="1:28" x14ac:dyDescent="0.35">
      <c r="A316" t="str">
        <f t="shared" si="24"/>
        <v>EMP0315</v>
      </c>
      <c r="B316" t="str" cm="1">
        <f t="array" ref="B316">_xlfn.IFS(
ROW()&lt;=421,"NA",
ROW()&lt;=781,"LATAM",
ROW()&lt;=1021,"EMEA",
TRUE,"APAC"
)</f>
        <v>NA</v>
      </c>
      <c r="C316" t="str">
        <f t="shared" si="25"/>
        <v>USA</v>
      </c>
      <c r="D316" t="s">
        <v>26</v>
      </c>
      <c r="E316" t="s">
        <v>27</v>
      </c>
      <c r="F316" t="s">
        <v>22</v>
      </c>
      <c r="G316" t="s">
        <v>28</v>
      </c>
      <c r="H316" s="2">
        <v>45174</v>
      </c>
      <c r="I316" t="s">
        <v>29</v>
      </c>
      <c r="J316" t="s">
        <v>30</v>
      </c>
      <c r="K316" t="str">
        <f t="shared" ca="1" si="28"/>
        <v>⚠ Review</v>
      </c>
      <c r="L316" t="s">
        <v>31</v>
      </c>
      <c r="M316">
        <v>1</v>
      </c>
      <c r="N316" s="2">
        <v>46078</v>
      </c>
      <c r="O316" s="2" t="s">
        <v>22</v>
      </c>
      <c r="P316" s="4">
        <f t="shared" ca="1" si="26"/>
        <v>2</v>
      </c>
      <c r="Q316" s="4" t="str">
        <f t="shared" ca="1" si="27"/>
        <v>0-2 Years</v>
      </c>
      <c r="R316">
        <f t="shared" ca="1" si="29"/>
        <v>1</v>
      </c>
      <c r="S316" t="s">
        <v>22</v>
      </c>
      <c r="T316">
        <v>4</v>
      </c>
      <c r="U316" t="s">
        <v>1394</v>
      </c>
      <c r="V316" t="s">
        <v>1394</v>
      </c>
      <c r="W316" t="s">
        <v>1394</v>
      </c>
      <c r="X316" s="3">
        <v>4</v>
      </c>
      <c r="Y316" t="s">
        <v>1395</v>
      </c>
      <c r="Z316">
        <v>241085</v>
      </c>
      <c r="AA316">
        <v>0.3</v>
      </c>
      <c r="AB316">
        <v>313410.5</v>
      </c>
    </row>
    <row r="317" spans="1:28" x14ac:dyDescent="0.35">
      <c r="A317" t="str">
        <f t="shared" si="24"/>
        <v>EMP0316</v>
      </c>
      <c r="B317" t="str" cm="1">
        <f t="array" ref="B317">_xlfn.IFS(
ROW()&lt;=421,"NA",
ROW()&lt;=781,"LATAM",
ROW()&lt;=1021,"EMEA",
TRUE,"APAC"
)</f>
        <v>NA</v>
      </c>
      <c r="C317" t="str">
        <f t="shared" si="25"/>
        <v>USA</v>
      </c>
      <c r="D317" t="s">
        <v>26</v>
      </c>
      <c r="E317" t="s">
        <v>380</v>
      </c>
      <c r="F317" t="s">
        <v>422</v>
      </c>
      <c r="G317" t="s">
        <v>28</v>
      </c>
      <c r="H317" s="2">
        <v>45172</v>
      </c>
      <c r="I317" t="s">
        <v>29</v>
      </c>
      <c r="J317" t="s">
        <v>30</v>
      </c>
      <c r="K317" t="str">
        <f t="shared" ca="1" si="28"/>
        <v>OK</v>
      </c>
      <c r="L317" t="s">
        <v>731</v>
      </c>
      <c r="M317">
        <v>5</v>
      </c>
      <c r="N317" s="2">
        <v>46005</v>
      </c>
      <c r="O317" s="2" t="s">
        <v>22</v>
      </c>
      <c r="P317" s="4">
        <f t="shared" ca="1" si="26"/>
        <v>2</v>
      </c>
      <c r="Q317" s="4" t="str">
        <f t="shared" ca="1" si="27"/>
        <v>0-2 Years</v>
      </c>
      <c r="R317">
        <f t="shared" ca="1" si="29"/>
        <v>1</v>
      </c>
      <c r="S317" t="s">
        <v>22</v>
      </c>
      <c r="T317">
        <v>4</v>
      </c>
      <c r="U317" t="s">
        <v>1394</v>
      </c>
      <c r="V317" t="s">
        <v>1394</v>
      </c>
      <c r="W317" t="s">
        <v>1394</v>
      </c>
      <c r="X317" s="3">
        <v>3</v>
      </c>
      <c r="Y317" t="s">
        <v>1398</v>
      </c>
      <c r="Z317">
        <v>43317</v>
      </c>
      <c r="AA317">
        <v>0.1</v>
      </c>
      <c r="AB317">
        <v>47648.700000000004</v>
      </c>
    </row>
    <row r="318" spans="1:28" x14ac:dyDescent="0.35">
      <c r="A318" t="str">
        <f t="shared" si="24"/>
        <v>EMP0317</v>
      </c>
      <c r="B318" t="str" cm="1">
        <f t="array" ref="B318">_xlfn.IFS(
ROW()&lt;=421,"NA",
ROW()&lt;=781,"LATAM",
ROW()&lt;=1021,"EMEA",
TRUE,"APAC"
)</f>
        <v>NA</v>
      </c>
      <c r="C318" t="str">
        <f t="shared" si="25"/>
        <v>USA</v>
      </c>
      <c r="D318" t="s">
        <v>32</v>
      </c>
      <c r="E318" t="s">
        <v>380</v>
      </c>
      <c r="F318" t="s">
        <v>456</v>
      </c>
      <c r="G318" t="s">
        <v>28</v>
      </c>
      <c r="H318" s="2">
        <v>45171</v>
      </c>
      <c r="I318" t="s">
        <v>29</v>
      </c>
      <c r="J318" t="s">
        <v>33</v>
      </c>
      <c r="K318" t="str">
        <f t="shared" ca="1" si="28"/>
        <v>OK</v>
      </c>
      <c r="L318" t="s">
        <v>608</v>
      </c>
      <c r="M318">
        <v>5</v>
      </c>
      <c r="N318" s="2">
        <v>46078</v>
      </c>
      <c r="O318" s="2" t="s">
        <v>22</v>
      </c>
      <c r="P318" s="4">
        <f t="shared" ca="1" si="26"/>
        <v>2</v>
      </c>
      <c r="Q318" s="4" t="str">
        <f t="shared" ca="1" si="27"/>
        <v>0-2 Years</v>
      </c>
      <c r="R318">
        <f t="shared" ca="1" si="29"/>
        <v>1</v>
      </c>
      <c r="S318" t="s">
        <v>22</v>
      </c>
      <c r="T318">
        <v>3</v>
      </c>
      <c r="U318" t="s">
        <v>1394</v>
      </c>
      <c r="V318" t="s">
        <v>1396</v>
      </c>
      <c r="W318" t="s">
        <v>1394</v>
      </c>
      <c r="X318" s="3">
        <v>2</v>
      </c>
      <c r="Y318" t="s">
        <v>1397</v>
      </c>
      <c r="Z318">
        <v>49754</v>
      </c>
      <c r="AA318">
        <v>0.1</v>
      </c>
      <c r="AB318">
        <v>54729.4</v>
      </c>
    </row>
    <row r="319" spans="1:28" x14ac:dyDescent="0.35">
      <c r="A319" t="str">
        <f t="shared" si="24"/>
        <v>EMP0318</v>
      </c>
      <c r="B319" t="str" cm="1">
        <f t="array" ref="B319">_xlfn.IFS(
ROW()&lt;=421,"NA",
ROW()&lt;=781,"LATAM",
ROW()&lt;=1021,"EMEA",
TRUE,"APAC"
)</f>
        <v>NA</v>
      </c>
      <c r="C319" t="str">
        <f t="shared" si="25"/>
        <v>USA</v>
      </c>
      <c r="D319" t="s">
        <v>32</v>
      </c>
      <c r="E319" t="s">
        <v>380</v>
      </c>
      <c r="F319" t="s">
        <v>399</v>
      </c>
      <c r="G319" t="s">
        <v>28</v>
      </c>
      <c r="H319" s="2">
        <v>45158</v>
      </c>
      <c r="I319" t="s">
        <v>29</v>
      </c>
      <c r="J319" t="s">
        <v>33</v>
      </c>
      <c r="K319" t="str">
        <f t="shared" ca="1" si="28"/>
        <v>OK</v>
      </c>
      <c r="L319" t="s">
        <v>549</v>
      </c>
      <c r="M319">
        <v>5</v>
      </c>
      <c r="N319" s="2">
        <v>46055</v>
      </c>
      <c r="O319" s="2" t="s">
        <v>22</v>
      </c>
      <c r="P319" s="4">
        <f t="shared" ca="1" si="26"/>
        <v>2</v>
      </c>
      <c r="Q319" s="4" t="str">
        <f t="shared" ca="1" si="27"/>
        <v>0-2 Years</v>
      </c>
      <c r="R319">
        <f t="shared" ca="1" si="29"/>
        <v>1</v>
      </c>
      <c r="S319" t="s">
        <v>22</v>
      </c>
      <c r="T319">
        <v>3</v>
      </c>
      <c r="U319" t="s">
        <v>1394</v>
      </c>
      <c r="V319" t="s">
        <v>1394</v>
      </c>
      <c r="W319" t="s">
        <v>1394</v>
      </c>
      <c r="X319" s="3">
        <v>4</v>
      </c>
      <c r="Y319" t="s">
        <v>1395</v>
      </c>
      <c r="Z319">
        <v>33823</v>
      </c>
      <c r="AA319">
        <v>0.1</v>
      </c>
      <c r="AB319">
        <v>37205.300000000003</v>
      </c>
    </row>
    <row r="320" spans="1:28" x14ac:dyDescent="0.35">
      <c r="A320" t="str">
        <f t="shared" si="24"/>
        <v>EMP0319</v>
      </c>
      <c r="B320" t="str" cm="1">
        <f t="array" ref="B320">_xlfn.IFS(
ROW()&lt;=421,"NA",
ROW()&lt;=781,"LATAM",
ROW()&lt;=1021,"EMEA",
TRUE,"APAC"
)</f>
        <v>NA</v>
      </c>
      <c r="C320" t="str">
        <f t="shared" si="25"/>
        <v>USA</v>
      </c>
      <c r="D320" t="s">
        <v>41</v>
      </c>
      <c r="E320" t="s">
        <v>380</v>
      </c>
      <c r="F320" t="s">
        <v>524</v>
      </c>
      <c r="G320" t="s">
        <v>28</v>
      </c>
      <c r="H320" s="2">
        <v>45155</v>
      </c>
      <c r="I320" t="s">
        <v>57</v>
      </c>
      <c r="J320" t="s">
        <v>42</v>
      </c>
      <c r="K320" t="str">
        <f t="shared" ca="1" si="28"/>
        <v>OK</v>
      </c>
      <c r="L320" t="s">
        <v>1202</v>
      </c>
      <c r="M320">
        <v>5</v>
      </c>
      <c r="N320" s="2">
        <v>46012</v>
      </c>
      <c r="O320" s="2">
        <v>46071</v>
      </c>
      <c r="P320" s="4">
        <f t="shared" ca="1" si="26"/>
        <v>2</v>
      </c>
      <c r="Q320" s="4" t="str">
        <f t="shared" ca="1" si="27"/>
        <v>0-2 Years</v>
      </c>
      <c r="R320">
        <f t="shared" ca="1" si="29"/>
        <v>1</v>
      </c>
      <c r="S320" t="s">
        <v>24</v>
      </c>
      <c r="T320">
        <v>3</v>
      </c>
      <c r="U320" t="s">
        <v>1394</v>
      </c>
      <c r="V320" t="s">
        <v>1394</v>
      </c>
      <c r="W320" t="s">
        <v>1394</v>
      </c>
      <c r="X320" s="3">
        <v>1</v>
      </c>
      <c r="Y320" t="s">
        <v>1397</v>
      </c>
      <c r="Z320">
        <v>45289</v>
      </c>
      <c r="AA320">
        <v>0.1</v>
      </c>
      <c r="AB320">
        <v>49817.9</v>
      </c>
    </row>
    <row r="321" spans="1:28" x14ac:dyDescent="0.35">
      <c r="A321" t="str">
        <f t="shared" si="24"/>
        <v>EMP0320</v>
      </c>
      <c r="B321" t="str" cm="1">
        <f t="array" ref="B321">_xlfn.IFS(
ROW()&lt;=421,"NA",
ROW()&lt;=781,"LATAM",
ROW()&lt;=1021,"EMEA",
TRUE,"APAC"
)</f>
        <v>NA</v>
      </c>
      <c r="C321" t="str">
        <f t="shared" si="25"/>
        <v>USA</v>
      </c>
      <c r="D321" t="s">
        <v>35</v>
      </c>
      <c r="E321" t="s">
        <v>145</v>
      </c>
      <c r="F321" t="s">
        <v>174</v>
      </c>
      <c r="G321" t="s">
        <v>28</v>
      </c>
      <c r="H321" s="2">
        <v>45147</v>
      </c>
      <c r="I321" t="s">
        <v>29</v>
      </c>
      <c r="J321" t="s">
        <v>36</v>
      </c>
      <c r="K321" t="str">
        <f t="shared" ca="1" si="28"/>
        <v>OK</v>
      </c>
      <c r="L321" t="s">
        <v>368</v>
      </c>
      <c r="M321">
        <v>4</v>
      </c>
      <c r="N321" s="2">
        <v>45998</v>
      </c>
      <c r="O321" s="2" t="s">
        <v>22</v>
      </c>
      <c r="P321" s="4">
        <f t="shared" ca="1" si="26"/>
        <v>2</v>
      </c>
      <c r="Q321" s="4" t="str">
        <f t="shared" ca="1" si="27"/>
        <v>0-2 Years</v>
      </c>
      <c r="R321">
        <f t="shared" ca="1" si="29"/>
        <v>1</v>
      </c>
      <c r="S321" t="s">
        <v>22</v>
      </c>
      <c r="T321">
        <v>4</v>
      </c>
      <c r="U321" t="s">
        <v>1394</v>
      </c>
      <c r="V321" t="s">
        <v>1394</v>
      </c>
      <c r="W321" t="s">
        <v>1394</v>
      </c>
      <c r="X321" s="3">
        <v>2</v>
      </c>
      <c r="Y321" t="s">
        <v>1397</v>
      </c>
      <c r="Z321">
        <v>63237</v>
      </c>
      <c r="AA321">
        <v>0.15</v>
      </c>
      <c r="AB321">
        <v>72722.549999999988</v>
      </c>
    </row>
    <row r="322" spans="1:28" x14ac:dyDescent="0.35">
      <c r="A322" t="str">
        <f t="shared" ref="A322:A385" si="30">"EMP"&amp;TEXT(ROW()-1,"0000")</f>
        <v>EMP0321</v>
      </c>
      <c r="B322" t="str" cm="1">
        <f t="array" ref="B322">_xlfn.IFS(
ROW()&lt;=421,"NA",
ROW()&lt;=781,"LATAM",
ROW()&lt;=1021,"EMEA",
TRUE,"APAC"
)</f>
        <v>NA</v>
      </c>
      <c r="C322" t="str">
        <f t="shared" ref="C322:C385" si="31">IF(B322="NA","USA",
IF(B322="LATAM","Mexico",
IF(B322="EMEA","Germany","Singapore")))</f>
        <v>USA</v>
      </c>
      <c r="D322" t="s">
        <v>35</v>
      </c>
      <c r="E322" t="s">
        <v>380</v>
      </c>
      <c r="F322" t="s">
        <v>611</v>
      </c>
      <c r="G322" t="s">
        <v>28</v>
      </c>
      <c r="H322" s="2">
        <v>45143</v>
      </c>
      <c r="I322" t="s">
        <v>29</v>
      </c>
      <c r="J322" t="s">
        <v>36</v>
      </c>
      <c r="K322" t="str">
        <f t="shared" ca="1" si="28"/>
        <v>OK</v>
      </c>
      <c r="L322" t="s">
        <v>1128</v>
      </c>
      <c r="M322">
        <v>5</v>
      </c>
      <c r="N322" s="2">
        <v>46015</v>
      </c>
      <c r="O322" s="2" t="s">
        <v>22</v>
      </c>
      <c r="P322" s="4">
        <f t="shared" ref="P322:P385" ca="1" si="32">IF(H322&gt;TODAY(),
"",
IF(I322="Active",
DATEDIF(H322,TODAY(),"Y"),
DATEDIF(H322,O322,"Y")
))</f>
        <v>2</v>
      </c>
      <c r="Q322" s="4" t="str">
        <f t="shared" ref="Q322:Q385" ca="1" si="33">IF(P322&lt;=2,"0-2 Years",
IF(P322&lt;=5,"3-5 Years",
IF(P322&lt;=10,"6-10 Years","10+ Years")))</f>
        <v>0-2 Years</v>
      </c>
      <c r="R322">
        <f t="shared" ca="1" si="29"/>
        <v>1</v>
      </c>
      <c r="S322" t="s">
        <v>22</v>
      </c>
      <c r="T322">
        <v>4</v>
      </c>
      <c r="U322" t="s">
        <v>1394</v>
      </c>
      <c r="V322" t="s">
        <v>1394</v>
      </c>
      <c r="W322" t="s">
        <v>1394</v>
      </c>
      <c r="X322" s="3">
        <v>2</v>
      </c>
      <c r="Y322" t="s">
        <v>1397</v>
      </c>
      <c r="Z322">
        <v>32569</v>
      </c>
      <c r="AA322">
        <v>0.1</v>
      </c>
      <c r="AB322">
        <v>35825.9</v>
      </c>
    </row>
    <row r="323" spans="1:28" x14ac:dyDescent="0.35">
      <c r="A323" t="str">
        <f t="shared" si="30"/>
        <v>EMP0322</v>
      </c>
      <c r="B323" t="str" cm="1">
        <f t="array" ref="B323">_xlfn.IFS(
ROW()&lt;=421,"NA",
ROW()&lt;=781,"LATAM",
ROW()&lt;=1021,"EMEA",
TRUE,"APAC"
)</f>
        <v>NA</v>
      </c>
      <c r="C323" t="str">
        <f t="shared" si="31"/>
        <v>USA</v>
      </c>
      <c r="D323" t="s">
        <v>26</v>
      </c>
      <c r="E323" t="s">
        <v>380</v>
      </c>
      <c r="F323" t="s">
        <v>695</v>
      </c>
      <c r="G323" t="s">
        <v>53</v>
      </c>
      <c r="H323" s="2">
        <v>45134</v>
      </c>
      <c r="I323" t="s">
        <v>29</v>
      </c>
      <c r="J323" t="s">
        <v>30</v>
      </c>
      <c r="K323" t="str">
        <f t="shared" ref="K323:K386" ca="1" si="34">IF(
OR(
H323="",
I323="",
AND(I323="Inactive",O323=""),
H323&gt;TODAY(),
Z323="",
F323="",
D323="",
X323&lt;1
),
"⚠ Review",
"OK"
)</f>
        <v>OK</v>
      </c>
      <c r="L323" t="s">
        <v>1294</v>
      </c>
      <c r="M323">
        <v>5</v>
      </c>
      <c r="N323" s="2">
        <v>46069</v>
      </c>
      <c r="O323" s="2" t="s">
        <v>22</v>
      </c>
      <c r="P323" s="4">
        <f t="shared" ca="1" si="32"/>
        <v>2</v>
      </c>
      <c r="Q323" s="4" t="str">
        <f t="shared" ca="1" si="33"/>
        <v>0-2 Years</v>
      </c>
      <c r="R323">
        <f t="shared" ref="R323:R386" ca="1" si="35">IF(P323&lt;=2,1,0)</f>
        <v>1</v>
      </c>
      <c r="S323" t="s">
        <v>22</v>
      </c>
      <c r="T323">
        <v>3</v>
      </c>
      <c r="U323" t="s">
        <v>1394</v>
      </c>
      <c r="V323" t="s">
        <v>1394</v>
      </c>
      <c r="W323" t="s">
        <v>1394</v>
      </c>
      <c r="X323" s="3">
        <v>3</v>
      </c>
      <c r="Y323" t="s">
        <v>1398</v>
      </c>
      <c r="Z323">
        <v>47062</v>
      </c>
      <c r="AA323">
        <v>0.1</v>
      </c>
      <c r="AB323">
        <v>51768.200000000004</v>
      </c>
    </row>
    <row r="324" spans="1:28" x14ac:dyDescent="0.35">
      <c r="A324" t="str">
        <f t="shared" si="30"/>
        <v>EMP0323</v>
      </c>
      <c r="B324" t="str" cm="1">
        <f t="array" ref="B324">_xlfn.IFS(
ROW()&lt;=421,"NA",
ROW()&lt;=781,"LATAM",
ROW()&lt;=1021,"EMEA",
TRUE,"APAC"
)</f>
        <v>NA</v>
      </c>
      <c r="C324" t="str">
        <f t="shared" si="31"/>
        <v>USA</v>
      </c>
      <c r="D324" t="s">
        <v>38</v>
      </c>
      <c r="E324" t="s">
        <v>380</v>
      </c>
      <c r="F324" t="s">
        <v>406</v>
      </c>
      <c r="G324" t="s">
        <v>28</v>
      </c>
      <c r="H324" s="2">
        <v>45134</v>
      </c>
      <c r="I324" t="s">
        <v>29</v>
      </c>
      <c r="J324" t="s">
        <v>39</v>
      </c>
      <c r="K324" t="str">
        <f t="shared" ca="1" si="34"/>
        <v>OK</v>
      </c>
      <c r="L324" t="s">
        <v>1335</v>
      </c>
      <c r="M324">
        <v>5</v>
      </c>
      <c r="N324" s="2">
        <v>45992</v>
      </c>
      <c r="O324" s="2" t="s">
        <v>22</v>
      </c>
      <c r="P324" s="4">
        <f t="shared" ca="1" si="32"/>
        <v>2</v>
      </c>
      <c r="Q324" s="4" t="str">
        <f t="shared" ca="1" si="33"/>
        <v>0-2 Years</v>
      </c>
      <c r="R324">
        <f t="shared" ca="1" si="35"/>
        <v>1</v>
      </c>
      <c r="S324" t="s">
        <v>22</v>
      </c>
      <c r="T324">
        <v>3</v>
      </c>
      <c r="U324" t="s">
        <v>1394</v>
      </c>
      <c r="V324" t="s">
        <v>1394</v>
      </c>
      <c r="W324" t="s">
        <v>1394</v>
      </c>
      <c r="X324" s="3">
        <v>4</v>
      </c>
      <c r="Y324" t="s">
        <v>1395</v>
      </c>
      <c r="Z324">
        <v>49441</v>
      </c>
      <c r="AA324">
        <v>0.1</v>
      </c>
      <c r="AB324">
        <v>54385.100000000006</v>
      </c>
    </row>
    <row r="325" spans="1:28" x14ac:dyDescent="0.35">
      <c r="A325" t="str">
        <f t="shared" si="30"/>
        <v>EMP0324</v>
      </c>
      <c r="B325" t="str" cm="1">
        <f t="array" ref="B325">_xlfn.IFS(
ROW()&lt;=421,"NA",
ROW()&lt;=781,"LATAM",
ROW()&lt;=1021,"EMEA",
TRUE,"APAC"
)</f>
        <v>NA</v>
      </c>
      <c r="C325" t="str">
        <f t="shared" si="31"/>
        <v>USA</v>
      </c>
      <c r="D325" t="s">
        <v>38</v>
      </c>
      <c r="E325" t="s">
        <v>380</v>
      </c>
      <c r="F325" t="s">
        <v>948</v>
      </c>
      <c r="G325" t="s">
        <v>28</v>
      </c>
      <c r="H325" s="2">
        <v>45133</v>
      </c>
      <c r="I325" t="s">
        <v>29</v>
      </c>
      <c r="J325" t="s">
        <v>39</v>
      </c>
      <c r="K325" t="str">
        <f t="shared" ca="1" si="34"/>
        <v>OK</v>
      </c>
      <c r="L325" t="s">
        <v>949</v>
      </c>
      <c r="M325">
        <v>5</v>
      </c>
      <c r="N325" s="2">
        <v>46032</v>
      </c>
      <c r="O325" s="2" t="s">
        <v>22</v>
      </c>
      <c r="P325" s="4">
        <f t="shared" ca="1" si="32"/>
        <v>2</v>
      </c>
      <c r="Q325" s="4" t="str">
        <f t="shared" ca="1" si="33"/>
        <v>0-2 Years</v>
      </c>
      <c r="R325">
        <f t="shared" ca="1" si="35"/>
        <v>1</v>
      </c>
      <c r="S325" t="s">
        <v>22</v>
      </c>
      <c r="T325">
        <v>3</v>
      </c>
      <c r="U325" t="s">
        <v>1394</v>
      </c>
      <c r="V325" t="s">
        <v>1396</v>
      </c>
      <c r="W325" t="s">
        <v>1394</v>
      </c>
      <c r="X325" s="3">
        <v>3</v>
      </c>
      <c r="Y325" t="s">
        <v>1398</v>
      </c>
      <c r="Z325">
        <v>29578</v>
      </c>
      <c r="AA325">
        <v>0.1</v>
      </c>
      <c r="AB325">
        <v>32535.800000000003</v>
      </c>
    </row>
    <row r="326" spans="1:28" x14ac:dyDescent="0.35">
      <c r="A326" t="str">
        <f t="shared" si="30"/>
        <v>EMP0325</v>
      </c>
      <c r="B326" t="str" cm="1">
        <f t="array" ref="B326">_xlfn.IFS(
ROW()&lt;=421,"NA",
ROW()&lt;=781,"LATAM",
ROW()&lt;=1021,"EMEA",
TRUE,"APAC"
)</f>
        <v>NA</v>
      </c>
      <c r="C326" t="str">
        <f t="shared" si="31"/>
        <v>USA</v>
      </c>
      <c r="D326" t="s">
        <v>32</v>
      </c>
      <c r="E326" t="s">
        <v>380</v>
      </c>
      <c r="F326" t="s">
        <v>904</v>
      </c>
      <c r="G326" t="s">
        <v>28</v>
      </c>
      <c r="H326" s="2">
        <v>45132</v>
      </c>
      <c r="I326" t="s">
        <v>29</v>
      </c>
      <c r="J326" t="s">
        <v>33</v>
      </c>
      <c r="K326" t="str">
        <f t="shared" ca="1" si="34"/>
        <v>OK</v>
      </c>
      <c r="L326" t="s">
        <v>923</v>
      </c>
      <c r="M326">
        <v>5</v>
      </c>
      <c r="N326" s="2">
        <v>46018</v>
      </c>
      <c r="O326" s="2" t="s">
        <v>22</v>
      </c>
      <c r="P326" s="4">
        <f t="shared" ca="1" si="32"/>
        <v>2</v>
      </c>
      <c r="Q326" s="4" t="str">
        <f t="shared" ca="1" si="33"/>
        <v>0-2 Years</v>
      </c>
      <c r="R326">
        <f t="shared" ca="1" si="35"/>
        <v>1</v>
      </c>
      <c r="S326" t="s">
        <v>22</v>
      </c>
      <c r="T326">
        <v>4</v>
      </c>
      <c r="U326" t="s">
        <v>1394</v>
      </c>
      <c r="V326" t="s">
        <v>1394</v>
      </c>
      <c r="W326" t="s">
        <v>1394</v>
      </c>
      <c r="X326" s="3">
        <v>3</v>
      </c>
      <c r="Y326" t="s">
        <v>1398</v>
      </c>
      <c r="Z326">
        <v>46732</v>
      </c>
      <c r="AA326">
        <v>0.1</v>
      </c>
      <c r="AB326">
        <v>51405.200000000004</v>
      </c>
    </row>
    <row r="327" spans="1:28" x14ac:dyDescent="0.35">
      <c r="A327" t="str">
        <f t="shared" si="30"/>
        <v>EMP0326</v>
      </c>
      <c r="B327" t="str" cm="1">
        <f t="array" ref="B327">_xlfn.IFS(
ROW()&lt;=421,"NA",
ROW()&lt;=781,"LATAM",
ROW()&lt;=1021,"EMEA",
TRUE,"APAC"
)</f>
        <v>NA</v>
      </c>
      <c r="C327" t="str">
        <f t="shared" si="31"/>
        <v>USA</v>
      </c>
      <c r="D327" t="s">
        <v>35</v>
      </c>
      <c r="E327" t="s">
        <v>380</v>
      </c>
      <c r="F327" t="s">
        <v>391</v>
      </c>
      <c r="G327" t="s">
        <v>28</v>
      </c>
      <c r="H327" s="2">
        <v>45130</v>
      </c>
      <c r="I327" t="s">
        <v>29</v>
      </c>
      <c r="J327" t="s">
        <v>36</v>
      </c>
      <c r="K327" t="str">
        <f t="shared" ca="1" si="34"/>
        <v>OK</v>
      </c>
      <c r="L327" t="s">
        <v>792</v>
      </c>
      <c r="M327">
        <v>5</v>
      </c>
      <c r="N327" s="2">
        <v>46031</v>
      </c>
      <c r="O327" s="2" t="s">
        <v>22</v>
      </c>
      <c r="P327" s="4">
        <f t="shared" ca="1" si="32"/>
        <v>2</v>
      </c>
      <c r="Q327" s="4" t="str">
        <f t="shared" ca="1" si="33"/>
        <v>0-2 Years</v>
      </c>
      <c r="R327">
        <f t="shared" ca="1" si="35"/>
        <v>1</v>
      </c>
      <c r="S327" t="s">
        <v>22</v>
      </c>
      <c r="T327">
        <v>4</v>
      </c>
      <c r="U327" t="s">
        <v>1394</v>
      </c>
      <c r="V327" t="s">
        <v>1394</v>
      </c>
      <c r="W327" t="s">
        <v>1394</v>
      </c>
      <c r="X327" s="3">
        <v>5</v>
      </c>
      <c r="Y327" t="s">
        <v>1395</v>
      </c>
      <c r="Z327">
        <v>31631</v>
      </c>
      <c r="AA327">
        <v>0.1</v>
      </c>
      <c r="AB327">
        <v>34794.100000000006</v>
      </c>
    </row>
    <row r="328" spans="1:28" x14ac:dyDescent="0.35">
      <c r="A328" t="str">
        <f t="shared" si="30"/>
        <v>EMP0327</v>
      </c>
      <c r="B328" t="str" cm="1">
        <f t="array" ref="B328">_xlfn.IFS(
ROW()&lt;=421,"NA",
ROW()&lt;=781,"LATAM",
ROW()&lt;=1021,"EMEA",
TRUE,"APAC"
)</f>
        <v>NA</v>
      </c>
      <c r="C328" t="str">
        <f t="shared" si="31"/>
        <v>USA</v>
      </c>
      <c r="D328" t="s">
        <v>26</v>
      </c>
      <c r="E328" t="s">
        <v>380</v>
      </c>
      <c r="F328" t="s">
        <v>408</v>
      </c>
      <c r="G328" t="s">
        <v>28</v>
      </c>
      <c r="H328" s="2">
        <v>45112</v>
      </c>
      <c r="I328" t="s">
        <v>29</v>
      </c>
      <c r="J328" t="s">
        <v>30</v>
      </c>
      <c r="K328" t="str">
        <f t="shared" ca="1" si="34"/>
        <v>OK</v>
      </c>
      <c r="L328" t="s">
        <v>910</v>
      </c>
      <c r="M328">
        <v>5</v>
      </c>
      <c r="N328" s="2">
        <v>46016</v>
      </c>
      <c r="O328" s="2" t="s">
        <v>22</v>
      </c>
      <c r="P328" s="4">
        <f t="shared" ca="1" si="32"/>
        <v>2</v>
      </c>
      <c r="Q328" s="4" t="str">
        <f t="shared" ca="1" si="33"/>
        <v>0-2 Years</v>
      </c>
      <c r="R328">
        <f t="shared" ca="1" si="35"/>
        <v>1</v>
      </c>
      <c r="S328" t="s">
        <v>22</v>
      </c>
      <c r="T328">
        <v>4</v>
      </c>
      <c r="U328" t="s">
        <v>1394</v>
      </c>
      <c r="V328" t="s">
        <v>1394</v>
      </c>
      <c r="W328" t="s">
        <v>1394</v>
      </c>
      <c r="X328" s="3">
        <v>4</v>
      </c>
      <c r="Y328" t="s">
        <v>1395</v>
      </c>
      <c r="Z328">
        <v>28644</v>
      </c>
      <c r="AA328">
        <v>0.1</v>
      </c>
      <c r="AB328">
        <v>31508.400000000001</v>
      </c>
    </row>
    <row r="329" spans="1:28" x14ac:dyDescent="0.35">
      <c r="A329" t="str">
        <f t="shared" si="30"/>
        <v>EMP0328</v>
      </c>
      <c r="B329" t="str" cm="1">
        <f t="array" ref="B329">_xlfn.IFS(
ROW()&lt;=421,"NA",
ROW()&lt;=781,"LATAM",
ROW()&lt;=1021,"EMEA",
TRUE,"APAC"
)</f>
        <v>NA</v>
      </c>
      <c r="C329" t="str">
        <f t="shared" si="31"/>
        <v>USA</v>
      </c>
      <c r="D329" t="s">
        <v>35</v>
      </c>
      <c r="E329" t="s">
        <v>380</v>
      </c>
      <c r="F329" t="s">
        <v>770</v>
      </c>
      <c r="G329" t="s">
        <v>28</v>
      </c>
      <c r="H329" s="2">
        <v>45111</v>
      </c>
      <c r="I329" t="s">
        <v>29</v>
      </c>
      <c r="J329" t="s">
        <v>36</v>
      </c>
      <c r="K329" t="str">
        <f t="shared" ca="1" si="34"/>
        <v>OK</v>
      </c>
      <c r="L329" t="s">
        <v>1319</v>
      </c>
      <c r="M329">
        <v>5</v>
      </c>
      <c r="N329" s="2">
        <v>46004</v>
      </c>
      <c r="O329" s="2" t="s">
        <v>22</v>
      </c>
      <c r="P329" s="4">
        <f t="shared" ca="1" si="32"/>
        <v>2</v>
      </c>
      <c r="Q329" s="4" t="str">
        <f t="shared" ca="1" si="33"/>
        <v>0-2 Years</v>
      </c>
      <c r="R329">
        <f t="shared" ca="1" si="35"/>
        <v>1</v>
      </c>
      <c r="S329" t="s">
        <v>22</v>
      </c>
      <c r="T329">
        <v>4</v>
      </c>
      <c r="U329" t="s">
        <v>1394</v>
      </c>
      <c r="V329" t="s">
        <v>1394</v>
      </c>
      <c r="W329" t="s">
        <v>1394</v>
      </c>
      <c r="X329" s="3">
        <v>4</v>
      </c>
      <c r="Y329" t="s">
        <v>1395</v>
      </c>
      <c r="Z329">
        <v>49637</v>
      </c>
      <c r="AA329">
        <v>0.1</v>
      </c>
      <c r="AB329">
        <v>54600.700000000004</v>
      </c>
    </row>
    <row r="330" spans="1:28" x14ac:dyDescent="0.35">
      <c r="A330" t="str">
        <f t="shared" si="30"/>
        <v>EMP0329</v>
      </c>
      <c r="B330" t="str" cm="1">
        <f t="array" ref="B330">_xlfn.IFS(
ROW()&lt;=421,"NA",
ROW()&lt;=781,"LATAM",
ROW()&lt;=1021,"EMEA",
TRUE,"APAC"
)</f>
        <v>NA</v>
      </c>
      <c r="C330" t="str">
        <f t="shared" si="31"/>
        <v>USA</v>
      </c>
      <c r="D330" t="s">
        <v>32</v>
      </c>
      <c r="E330" t="s">
        <v>380</v>
      </c>
      <c r="F330" t="s">
        <v>702</v>
      </c>
      <c r="G330" t="s">
        <v>28</v>
      </c>
      <c r="H330" s="2">
        <v>45110</v>
      </c>
      <c r="I330" t="s">
        <v>29</v>
      </c>
      <c r="J330" t="s">
        <v>33</v>
      </c>
      <c r="K330" t="str">
        <f t="shared" ca="1" si="34"/>
        <v>OK</v>
      </c>
      <c r="L330" t="s">
        <v>1299</v>
      </c>
      <c r="M330">
        <v>5</v>
      </c>
      <c r="N330" s="2">
        <v>46037</v>
      </c>
      <c r="O330" s="2" t="s">
        <v>22</v>
      </c>
      <c r="P330" s="4">
        <f t="shared" ca="1" si="32"/>
        <v>2</v>
      </c>
      <c r="Q330" s="4" t="str">
        <f t="shared" ca="1" si="33"/>
        <v>0-2 Years</v>
      </c>
      <c r="R330">
        <f t="shared" ca="1" si="35"/>
        <v>1</v>
      </c>
      <c r="S330" t="s">
        <v>22</v>
      </c>
      <c r="T330">
        <v>4</v>
      </c>
      <c r="U330" t="s">
        <v>1394</v>
      </c>
      <c r="V330" t="s">
        <v>1394</v>
      </c>
      <c r="W330" t="s">
        <v>1394</v>
      </c>
      <c r="X330" s="3">
        <v>5</v>
      </c>
      <c r="Y330" t="s">
        <v>1395</v>
      </c>
      <c r="Z330">
        <v>37847</v>
      </c>
      <c r="AA330">
        <v>0.1</v>
      </c>
      <c r="AB330">
        <v>41631.700000000004</v>
      </c>
    </row>
    <row r="331" spans="1:28" x14ac:dyDescent="0.35">
      <c r="A331" t="str">
        <f t="shared" si="30"/>
        <v>EMP0330</v>
      </c>
      <c r="B331" t="str" cm="1">
        <f t="array" ref="B331">_xlfn.IFS(
ROW()&lt;=421,"NA",
ROW()&lt;=781,"LATAM",
ROW()&lt;=1021,"EMEA",
TRUE,"APAC"
)</f>
        <v>NA</v>
      </c>
      <c r="C331" t="str">
        <f t="shared" si="31"/>
        <v>USA</v>
      </c>
      <c r="D331" t="s">
        <v>26</v>
      </c>
      <c r="E331" t="s">
        <v>380</v>
      </c>
      <c r="F331" t="s">
        <v>460</v>
      </c>
      <c r="G331" t="s">
        <v>28</v>
      </c>
      <c r="H331" s="2">
        <v>45108</v>
      </c>
      <c r="I331" t="s">
        <v>29</v>
      </c>
      <c r="J331" t="s">
        <v>30</v>
      </c>
      <c r="K331" t="str">
        <f t="shared" ca="1" si="34"/>
        <v>OK</v>
      </c>
      <c r="L331" t="s">
        <v>975</v>
      </c>
      <c r="M331">
        <v>5</v>
      </c>
      <c r="N331" s="2">
        <v>46054</v>
      </c>
      <c r="O331" s="2" t="s">
        <v>22</v>
      </c>
      <c r="P331" s="4">
        <f t="shared" ca="1" si="32"/>
        <v>2</v>
      </c>
      <c r="Q331" s="4" t="str">
        <f t="shared" ca="1" si="33"/>
        <v>0-2 Years</v>
      </c>
      <c r="R331">
        <f t="shared" ca="1" si="35"/>
        <v>1</v>
      </c>
      <c r="S331" t="s">
        <v>22</v>
      </c>
      <c r="T331">
        <v>2</v>
      </c>
      <c r="U331" t="s">
        <v>1394</v>
      </c>
      <c r="V331" t="s">
        <v>1394</v>
      </c>
      <c r="W331" t="s">
        <v>1394</v>
      </c>
      <c r="X331" s="3">
        <v>1</v>
      </c>
      <c r="Y331" t="s">
        <v>1397</v>
      </c>
      <c r="Z331">
        <v>39856</v>
      </c>
      <c r="AA331">
        <v>0.1</v>
      </c>
      <c r="AB331">
        <v>43841.600000000006</v>
      </c>
    </row>
    <row r="332" spans="1:28" x14ac:dyDescent="0.35">
      <c r="A332" t="str">
        <f t="shared" si="30"/>
        <v>EMP0331</v>
      </c>
      <c r="B332" t="str" cm="1">
        <f t="array" ref="B332">_xlfn.IFS(
ROW()&lt;=421,"NA",
ROW()&lt;=781,"LATAM",
ROW()&lt;=1021,"EMEA",
TRUE,"APAC"
)</f>
        <v>NA</v>
      </c>
      <c r="C332" t="str">
        <f t="shared" si="31"/>
        <v>USA</v>
      </c>
      <c r="D332" t="s">
        <v>32</v>
      </c>
      <c r="E332" t="s">
        <v>380</v>
      </c>
      <c r="F332" t="s">
        <v>541</v>
      </c>
      <c r="G332" t="s">
        <v>28</v>
      </c>
      <c r="H332" s="2">
        <v>45098</v>
      </c>
      <c r="I332" t="s">
        <v>29</v>
      </c>
      <c r="J332" t="s">
        <v>33</v>
      </c>
      <c r="K332" t="str">
        <f t="shared" ca="1" si="34"/>
        <v>OK</v>
      </c>
      <c r="L332" t="s">
        <v>726</v>
      </c>
      <c r="M332">
        <v>5</v>
      </c>
      <c r="N332" s="2">
        <v>46046</v>
      </c>
      <c r="O332" s="2" t="s">
        <v>22</v>
      </c>
      <c r="P332" s="4">
        <f t="shared" ca="1" si="32"/>
        <v>2</v>
      </c>
      <c r="Q332" s="4" t="str">
        <f t="shared" ca="1" si="33"/>
        <v>0-2 Years</v>
      </c>
      <c r="R332">
        <f t="shared" ca="1" si="35"/>
        <v>1</v>
      </c>
      <c r="S332" t="s">
        <v>22</v>
      </c>
      <c r="T332">
        <v>4</v>
      </c>
      <c r="U332" t="s">
        <v>1394</v>
      </c>
      <c r="V332" t="s">
        <v>1394</v>
      </c>
      <c r="W332" t="s">
        <v>1394</v>
      </c>
      <c r="X332" s="3">
        <v>1</v>
      </c>
      <c r="Y332" t="s">
        <v>1397</v>
      </c>
      <c r="Z332">
        <v>34485</v>
      </c>
      <c r="AA332">
        <v>0.1</v>
      </c>
      <c r="AB332">
        <v>37933.5</v>
      </c>
    </row>
    <row r="333" spans="1:28" x14ac:dyDescent="0.35">
      <c r="A333" t="str">
        <f t="shared" si="30"/>
        <v>EMP0332</v>
      </c>
      <c r="B333" t="str" cm="1">
        <f t="array" ref="B333">_xlfn.IFS(
ROW()&lt;=421,"NA",
ROW()&lt;=781,"LATAM",
ROW()&lt;=1021,"EMEA",
TRUE,"APAC"
)</f>
        <v>NA</v>
      </c>
      <c r="C333" t="str">
        <f t="shared" si="31"/>
        <v>USA</v>
      </c>
      <c r="D333" t="s">
        <v>26</v>
      </c>
      <c r="E333" t="s">
        <v>380</v>
      </c>
      <c r="F333" t="s">
        <v>456</v>
      </c>
      <c r="G333" t="s">
        <v>28</v>
      </c>
      <c r="H333" s="2">
        <v>45088</v>
      </c>
      <c r="I333" t="s">
        <v>29</v>
      </c>
      <c r="J333" t="s">
        <v>30</v>
      </c>
      <c r="K333" t="str">
        <f t="shared" ca="1" si="34"/>
        <v>OK</v>
      </c>
      <c r="L333" t="s">
        <v>766</v>
      </c>
      <c r="M333">
        <v>5</v>
      </c>
      <c r="N333" s="2">
        <v>46040</v>
      </c>
      <c r="O333" s="2" t="s">
        <v>22</v>
      </c>
      <c r="P333" s="4">
        <f t="shared" ca="1" si="32"/>
        <v>2</v>
      </c>
      <c r="Q333" s="4" t="str">
        <f t="shared" ca="1" si="33"/>
        <v>0-2 Years</v>
      </c>
      <c r="R333">
        <f t="shared" ca="1" si="35"/>
        <v>1</v>
      </c>
      <c r="S333" t="s">
        <v>22</v>
      </c>
      <c r="T333">
        <v>3</v>
      </c>
      <c r="U333" t="s">
        <v>1394</v>
      </c>
      <c r="V333" t="s">
        <v>1394</v>
      </c>
      <c r="W333" t="s">
        <v>1394</v>
      </c>
      <c r="X333" s="3">
        <v>5</v>
      </c>
      <c r="Y333" t="s">
        <v>1395</v>
      </c>
      <c r="Z333">
        <v>45009</v>
      </c>
      <c r="AA333">
        <v>0.1</v>
      </c>
      <c r="AB333">
        <v>49509.9</v>
      </c>
    </row>
    <row r="334" spans="1:28" x14ac:dyDescent="0.35">
      <c r="A334" t="str">
        <f t="shared" si="30"/>
        <v>EMP0333</v>
      </c>
      <c r="B334" t="str" cm="1">
        <f t="array" ref="B334">_xlfn.IFS(
ROW()&lt;=421,"NA",
ROW()&lt;=781,"LATAM",
ROW()&lt;=1021,"EMEA",
TRUE,"APAC"
)</f>
        <v>NA</v>
      </c>
      <c r="C334" t="str">
        <f t="shared" si="31"/>
        <v>USA</v>
      </c>
      <c r="D334" t="s">
        <v>26</v>
      </c>
      <c r="E334" t="s">
        <v>380</v>
      </c>
      <c r="F334" t="s">
        <v>666</v>
      </c>
      <c r="G334" t="s">
        <v>28</v>
      </c>
      <c r="H334" s="2">
        <v>45087</v>
      </c>
      <c r="I334" t="s">
        <v>29</v>
      </c>
      <c r="J334" t="s">
        <v>30</v>
      </c>
      <c r="K334" t="str">
        <f t="shared" ca="1" si="34"/>
        <v>OK</v>
      </c>
      <c r="L334" t="s">
        <v>744</v>
      </c>
      <c r="M334">
        <v>5</v>
      </c>
      <c r="N334" s="2">
        <v>46019</v>
      </c>
      <c r="O334" s="2" t="s">
        <v>22</v>
      </c>
      <c r="P334" s="4">
        <f t="shared" ca="1" si="32"/>
        <v>2</v>
      </c>
      <c r="Q334" s="4" t="str">
        <f t="shared" ca="1" si="33"/>
        <v>0-2 Years</v>
      </c>
      <c r="R334">
        <f t="shared" ca="1" si="35"/>
        <v>1</v>
      </c>
      <c r="S334" t="s">
        <v>22</v>
      </c>
      <c r="T334">
        <v>3</v>
      </c>
      <c r="U334" t="s">
        <v>1394</v>
      </c>
      <c r="V334" t="s">
        <v>1394</v>
      </c>
      <c r="W334" t="s">
        <v>1394</v>
      </c>
      <c r="X334" s="3">
        <v>2</v>
      </c>
      <c r="Y334" t="s">
        <v>1397</v>
      </c>
      <c r="Z334">
        <v>39421</v>
      </c>
      <c r="AA334">
        <v>0.1</v>
      </c>
      <c r="AB334">
        <v>43363.100000000006</v>
      </c>
    </row>
    <row r="335" spans="1:28" x14ac:dyDescent="0.35">
      <c r="A335" t="str">
        <f t="shared" si="30"/>
        <v>EMP0334</v>
      </c>
      <c r="B335" t="str" cm="1">
        <f t="array" ref="B335">_xlfn.IFS(
ROW()&lt;=421,"NA",
ROW()&lt;=781,"LATAM",
ROW()&lt;=1021,"EMEA",
TRUE,"APAC"
)</f>
        <v>NA</v>
      </c>
      <c r="C335" t="str">
        <f t="shared" si="31"/>
        <v>USA</v>
      </c>
      <c r="D335" t="s">
        <v>35</v>
      </c>
      <c r="E335" t="s">
        <v>380</v>
      </c>
      <c r="F335" t="s">
        <v>702</v>
      </c>
      <c r="G335" t="s">
        <v>28</v>
      </c>
      <c r="H335" s="2">
        <v>45084</v>
      </c>
      <c r="I335" t="s">
        <v>29</v>
      </c>
      <c r="J335" t="s">
        <v>36</v>
      </c>
      <c r="K335" t="str">
        <f t="shared" ca="1" si="34"/>
        <v>OK</v>
      </c>
      <c r="L335" t="s">
        <v>703</v>
      </c>
      <c r="M335">
        <v>5</v>
      </c>
      <c r="N335" s="2">
        <v>46048</v>
      </c>
      <c r="O335" s="2" t="s">
        <v>22</v>
      </c>
      <c r="P335" s="4">
        <f t="shared" ca="1" si="32"/>
        <v>2</v>
      </c>
      <c r="Q335" s="4" t="str">
        <f t="shared" ca="1" si="33"/>
        <v>0-2 Years</v>
      </c>
      <c r="R335">
        <f t="shared" ca="1" si="35"/>
        <v>1</v>
      </c>
      <c r="S335" t="s">
        <v>22</v>
      </c>
      <c r="T335">
        <v>3</v>
      </c>
      <c r="U335" t="s">
        <v>1394</v>
      </c>
      <c r="V335" t="s">
        <v>1394</v>
      </c>
      <c r="W335" t="s">
        <v>1394</v>
      </c>
      <c r="X335" s="3">
        <v>5</v>
      </c>
      <c r="Y335" t="s">
        <v>1395</v>
      </c>
      <c r="Z335">
        <v>24270</v>
      </c>
      <c r="AA335">
        <v>0.1</v>
      </c>
      <c r="AB335">
        <v>26697.000000000004</v>
      </c>
    </row>
    <row r="336" spans="1:28" x14ac:dyDescent="0.35">
      <c r="A336" t="str">
        <f t="shared" si="30"/>
        <v>EMP0335</v>
      </c>
      <c r="B336" t="str" cm="1">
        <f t="array" ref="B336">_xlfn.IFS(
ROW()&lt;=421,"NA",
ROW()&lt;=781,"LATAM",
ROW()&lt;=1021,"EMEA",
TRUE,"APAC"
)</f>
        <v>NA</v>
      </c>
      <c r="C336" t="str">
        <f t="shared" si="31"/>
        <v>USA</v>
      </c>
      <c r="D336" t="s">
        <v>44</v>
      </c>
      <c r="E336" t="s">
        <v>380</v>
      </c>
      <c r="F336" t="s">
        <v>399</v>
      </c>
      <c r="G336" t="s">
        <v>28</v>
      </c>
      <c r="H336" s="2">
        <v>45072</v>
      </c>
      <c r="I336" t="s">
        <v>57</v>
      </c>
      <c r="J336" t="s">
        <v>47</v>
      </c>
      <c r="K336" t="str">
        <f t="shared" ca="1" si="34"/>
        <v>OK</v>
      </c>
      <c r="L336" t="s">
        <v>400</v>
      </c>
      <c r="M336">
        <v>5</v>
      </c>
      <c r="N336" s="2">
        <v>46057</v>
      </c>
      <c r="O336" s="2">
        <v>46071</v>
      </c>
      <c r="P336" s="4">
        <f t="shared" ca="1" si="32"/>
        <v>2</v>
      </c>
      <c r="Q336" s="4" t="str">
        <f t="shared" ca="1" si="33"/>
        <v>0-2 Years</v>
      </c>
      <c r="R336">
        <f t="shared" ca="1" si="35"/>
        <v>1</v>
      </c>
      <c r="S336" t="s">
        <v>23</v>
      </c>
      <c r="T336">
        <v>4</v>
      </c>
      <c r="U336" t="s">
        <v>1394</v>
      </c>
      <c r="V336" t="s">
        <v>1396</v>
      </c>
      <c r="W336" t="s">
        <v>1394</v>
      </c>
      <c r="X336" s="3">
        <v>1</v>
      </c>
      <c r="Y336" t="s">
        <v>1397</v>
      </c>
      <c r="Z336">
        <v>45214</v>
      </c>
      <c r="AA336">
        <v>0.1</v>
      </c>
      <c r="AB336">
        <v>49735.4</v>
      </c>
    </row>
    <row r="337" spans="1:28" x14ac:dyDescent="0.35">
      <c r="A337" t="str">
        <f t="shared" si="30"/>
        <v>EMP0336</v>
      </c>
      <c r="B337" t="str" cm="1">
        <f t="array" ref="B337">_xlfn.IFS(
ROW()&lt;=421,"NA",
ROW()&lt;=781,"LATAM",
ROW()&lt;=1021,"EMEA",
TRUE,"APAC"
)</f>
        <v>NA</v>
      </c>
      <c r="C337" t="str">
        <f t="shared" si="31"/>
        <v>USA</v>
      </c>
      <c r="D337" t="s">
        <v>44</v>
      </c>
      <c r="E337" t="s">
        <v>380</v>
      </c>
      <c r="F337" t="s">
        <v>598</v>
      </c>
      <c r="G337" t="s">
        <v>28</v>
      </c>
      <c r="H337" s="2">
        <v>45072</v>
      </c>
      <c r="I337" t="s">
        <v>29</v>
      </c>
      <c r="J337" t="s">
        <v>47</v>
      </c>
      <c r="K337" t="str">
        <f t="shared" ca="1" si="34"/>
        <v>OK</v>
      </c>
      <c r="L337" t="s">
        <v>599</v>
      </c>
      <c r="M337">
        <v>5</v>
      </c>
      <c r="N337" s="2">
        <v>46022</v>
      </c>
      <c r="O337" s="2" t="s">
        <v>22</v>
      </c>
      <c r="P337" s="4">
        <f t="shared" ca="1" si="32"/>
        <v>2</v>
      </c>
      <c r="Q337" s="4" t="str">
        <f t="shared" ca="1" si="33"/>
        <v>0-2 Years</v>
      </c>
      <c r="R337">
        <f t="shared" ca="1" si="35"/>
        <v>1</v>
      </c>
      <c r="S337" t="s">
        <v>22</v>
      </c>
      <c r="T337">
        <v>3</v>
      </c>
      <c r="U337" t="s">
        <v>1394</v>
      </c>
      <c r="V337" t="s">
        <v>1394</v>
      </c>
      <c r="W337" t="s">
        <v>1394</v>
      </c>
      <c r="X337" s="3">
        <v>5</v>
      </c>
      <c r="Y337" t="s">
        <v>1395</v>
      </c>
      <c r="Z337">
        <v>34811</v>
      </c>
      <c r="AA337">
        <v>0.1</v>
      </c>
      <c r="AB337">
        <v>38292.100000000006</v>
      </c>
    </row>
    <row r="338" spans="1:28" x14ac:dyDescent="0.35">
      <c r="A338" t="str">
        <f t="shared" si="30"/>
        <v>EMP0337</v>
      </c>
      <c r="B338" t="str" cm="1">
        <f t="array" ref="B338">_xlfn.IFS(
ROW()&lt;=421,"NA",
ROW()&lt;=781,"LATAM",
ROW()&lt;=1021,"EMEA",
TRUE,"APAC"
)</f>
        <v>NA</v>
      </c>
      <c r="C338" t="str">
        <f t="shared" si="31"/>
        <v>USA</v>
      </c>
      <c r="D338" t="s">
        <v>26</v>
      </c>
      <c r="E338" t="s">
        <v>380</v>
      </c>
      <c r="F338" t="s">
        <v>964</v>
      </c>
      <c r="G338" t="s">
        <v>28</v>
      </c>
      <c r="H338" s="2">
        <v>45072</v>
      </c>
      <c r="I338" t="s">
        <v>29</v>
      </c>
      <c r="J338" t="s">
        <v>30</v>
      </c>
      <c r="K338" t="str">
        <f t="shared" ca="1" si="34"/>
        <v>OK</v>
      </c>
      <c r="L338" t="s">
        <v>1219</v>
      </c>
      <c r="M338">
        <v>5</v>
      </c>
      <c r="N338" s="2">
        <v>46024</v>
      </c>
      <c r="O338" s="2" t="s">
        <v>22</v>
      </c>
      <c r="P338" s="4">
        <f t="shared" ca="1" si="32"/>
        <v>2</v>
      </c>
      <c r="Q338" s="4" t="str">
        <f t="shared" ca="1" si="33"/>
        <v>0-2 Years</v>
      </c>
      <c r="R338">
        <f t="shared" ca="1" si="35"/>
        <v>1</v>
      </c>
      <c r="S338" t="s">
        <v>22</v>
      </c>
      <c r="T338">
        <v>2</v>
      </c>
      <c r="U338" t="s">
        <v>1394</v>
      </c>
      <c r="V338" t="s">
        <v>1396</v>
      </c>
      <c r="W338" t="s">
        <v>1396</v>
      </c>
      <c r="X338" s="3">
        <v>2</v>
      </c>
      <c r="Y338" t="s">
        <v>1397</v>
      </c>
      <c r="Z338">
        <v>47780</v>
      </c>
      <c r="AA338">
        <v>0.1</v>
      </c>
      <c r="AB338">
        <v>52558.000000000007</v>
      </c>
    </row>
    <row r="339" spans="1:28" x14ac:dyDescent="0.35">
      <c r="A339" t="str">
        <f t="shared" si="30"/>
        <v>EMP0338</v>
      </c>
      <c r="B339" t="str" cm="1">
        <f t="array" ref="B339">_xlfn.IFS(
ROW()&lt;=421,"NA",
ROW()&lt;=781,"LATAM",
ROW()&lt;=1021,"EMEA",
TRUE,"APAC"
)</f>
        <v>NA</v>
      </c>
      <c r="C339" t="str">
        <f t="shared" si="31"/>
        <v>USA</v>
      </c>
      <c r="D339" t="s">
        <v>38</v>
      </c>
      <c r="E339" t="s">
        <v>380</v>
      </c>
      <c r="F339" t="s">
        <v>543</v>
      </c>
      <c r="G339" t="s">
        <v>28</v>
      </c>
      <c r="H339" s="2">
        <v>45070</v>
      </c>
      <c r="I339" t="s">
        <v>29</v>
      </c>
      <c r="J339" t="s">
        <v>39</v>
      </c>
      <c r="K339" t="str">
        <f t="shared" ca="1" si="34"/>
        <v>OK</v>
      </c>
      <c r="L339" t="s">
        <v>1055</v>
      </c>
      <c r="M339">
        <v>5</v>
      </c>
      <c r="N339" s="2">
        <v>46034</v>
      </c>
      <c r="O339" s="2" t="s">
        <v>22</v>
      </c>
      <c r="P339" s="4">
        <f t="shared" ca="1" si="32"/>
        <v>2</v>
      </c>
      <c r="Q339" s="4" t="str">
        <f t="shared" ca="1" si="33"/>
        <v>0-2 Years</v>
      </c>
      <c r="R339">
        <f t="shared" ca="1" si="35"/>
        <v>1</v>
      </c>
      <c r="S339" t="s">
        <v>22</v>
      </c>
      <c r="T339">
        <v>3</v>
      </c>
      <c r="U339" t="s">
        <v>1394</v>
      </c>
      <c r="V339" t="s">
        <v>1394</v>
      </c>
      <c r="W339" t="s">
        <v>1394</v>
      </c>
      <c r="X339" s="3">
        <v>5</v>
      </c>
      <c r="Y339" t="s">
        <v>1395</v>
      </c>
      <c r="Z339">
        <v>43332</v>
      </c>
      <c r="AA339">
        <v>0.1</v>
      </c>
      <c r="AB339">
        <v>47665.200000000004</v>
      </c>
    </row>
    <row r="340" spans="1:28" x14ac:dyDescent="0.35">
      <c r="A340" t="str">
        <f t="shared" si="30"/>
        <v>EMP0339</v>
      </c>
      <c r="B340" t="str" cm="1">
        <f t="array" ref="B340">_xlfn.IFS(
ROW()&lt;=421,"NA",
ROW()&lt;=781,"LATAM",
ROW()&lt;=1021,"EMEA",
TRUE,"APAC"
)</f>
        <v>NA</v>
      </c>
      <c r="C340" t="str">
        <f t="shared" si="31"/>
        <v>USA</v>
      </c>
      <c r="D340" t="s">
        <v>26</v>
      </c>
      <c r="E340" t="s">
        <v>380</v>
      </c>
      <c r="F340" t="s">
        <v>524</v>
      </c>
      <c r="G340" t="s">
        <v>28</v>
      </c>
      <c r="H340" s="2">
        <v>45069</v>
      </c>
      <c r="I340" t="s">
        <v>29</v>
      </c>
      <c r="J340" t="s">
        <v>30</v>
      </c>
      <c r="K340" t="str">
        <f t="shared" ca="1" si="34"/>
        <v>OK</v>
      </c>
      <c r="L340" t="s">
        <v>525</v>
      </c>
      <c r="M340">
        <v>5</v>
      </c>
      <c r="N340" s="2">
        <v>46047</v>
      </c>
      <c r="O340" s="2" t="s">
        <v>22</v>
      </c>
      <c r="P340" s="4">
        <f t="shared" ca="1" si="32"/>
        <v>2</v>
      </c>
      <c r="Q340" s="4" t="str">
        <f t="shared" ca="1" si="33"/>
        <v>0-2 Years</v>
      </c>
      <c r="R340">
        <f t="shared" ca="1" si="35"/>
        <v>1</v>
      </c>
      <c r="S340" t="s">
        <v>22</v>
      </c>
      <c r="T340">
        <v>3</v>
      </c>
      <c r="U340" t="s">
        <v>1394</v>
      </c>
      <c r="V340" t="s">
        <v>1394</v>
      </c>
      <c r="W340" t="s">
        <v>1394</v>
      </c>
      <c r="X340" s="3">
        <v>2</v>
      </c>
      <c r="Y340" t="s">
        <v>1397</v>
      </c>
      <c r="Z340">
        <v>38855</v>
      </c>
      <c r="AA340">
        <v>0.1</v>
      </c>
      <c r="AB340">
        <v>42740.5</v>
      </c>
    </row>
    <row r="341" spans="1:28" x14ac:dyDescent="0.35">
      <c r="A341" t="str">
        <f t="shared" si="30"/>
        <v>EMP0340</v>
      </c>
      <c r="B341" t="str" cm="1">
        <f t="array" ref="B341">_xlfn.IFS(
ROW()&lt;=421,"NA",
ROW()&lt;=781,"LATAM",
ROW()&lt;=1021,"EMEA",
TRUE,"APAC"
)</f>
        <v>NA</v>
      </c>
      <c r="C341" t="str">
        <f t="shared" si="31"/>
        <v>USA</v>
      </c>
      <c r="D341" t="s">
        <v>32</v>
      </c>
      <c r="E341" t="s">
        <v>380</v>
      </c>
      <c r="F341" t="s">
        <v>541</v>
      </c>
      <c r="G341" t="s">
        <v>28</v>
      </c>
      <c r="H341" s="2">
        <v>45063</v>
      </c>
      <c r="I341" t="s">
        <v>29</v>
      </c>
      <c r="J341" t="s">
        <v>33</v>
      </c>
      <c r="K341" t="str">
        <f t="shared" ca="1" si="34"/>
        <v>OK</v>
      </c>
      <c r="L341" t="s">
        <v>945</v>
      </c>
      <c r="M341">
        <v>5</v>
      </c>
      <c r="N341" s="2">
        <v>46012</v>
      </c>
      <c r="O341" s="2" t="s">
        <v>22</v>
      </c>
      <c r="P341" s="4">
        <f t="shared" ca="1" si="32"/>
        <v>2</v>
      </c>
      <c r="Q341" s="4" t="str">
        <f t="shared" ca="1" si="33"/>
        <v>0-2 Years</v>
      </c>
      <c r="R341">
        <f t="shared" ca="1" si="35"/>
        <v>1</v>
      </c>
      <c r="S341" t="s">
        <v>22</v>
      </c>
      <c r="T341">
        <v>5</v>
      </c>
      <c r="U341" t="s">
        <v>1394</v>
      </c>
      <c r="V341" t="s">
        <v>1396</v>
      </c>
      <c r="W341" t="s">
        <v>1396</v>
      </c>
      <c r="X341" s="3">
        <v>5</v>
      </c>
      <c r="Y341" t="s">
        <v>1395</v>
      </c>
      <c r="Z341">
        <v>41157</v>
      </c>
      <c r="AA341">
        <v>0.1</v>
      </c>
      <c r="AB341">
        <v>45272.700000000004</v>
      </c>
    </row>
    <row r="342" spans="1:28" x14ac:dyDescent="0.35">
      <c r="A342" t="str">
        <f t="shared" si="30"/>
        <v>EMP0341</v>
      </c>
      <c r="B342" t="str" cm="1">
        <f t="array" ref="B342">_xlfn.IFS(
ROW()&lt;=421,"NA",
ROW()&lt;=781,"LATAM",
ROW()&lt;=1021,"EMEA",
TRUE,"APAC"
)</f>
        <v>NA</v>
      </c>
      <c r="C342" t="str">
        <f t="shared" si="31"/>
        <v>USA</v>
      </c>
      <c r="D342" t="s">
        <v>44</v>
      </c>
      <c r="E342" t="s">
        <v>380</v>
      </c>
      <c r="F342" t="s">
        <v>422</v>
      </c>
      <c r="G342" t="s">
        <v>28</v>
      </c>
      <c r="H342" s="2">
        <v>45057</v>
      </c>
      <c r="I342" t="s">
        <v>29</v>
      </c>
      <c r="J342" t="s">
        <v>47</v>
      </c>
      <c r="K342" t="str">
        <f t="shared" ca="1" si="34"/>
        <v>OK</v>
      </c>
      <c r="L342" t="s">
        <v>678</v>
      </c>
      <c r="M342">
        <v>5</v>
      </c>
      <c r="N342" s="2">
        <v>46020</v>
      </c>
      <c r="O342" s="2" t="s">
        <v>22</v>
      </c>
      <c r="P342" s="4">
        <f t="shared" ca="1" si="32"/>
        <v>2</v>
      </c>
      <c r="Q342" s="4" t="str">
        <f t="shared" ca="1" si="33"/>
        <v>0-2 Years</v>
      </c>
      <c r="R342">
        <f t="shared" ca="1" si="35"/>
        <v>1</v>
      </c>
      <c r="S342" t="s">
        <v>22</v>
      </c>
      <c r="T342">
        <v>4</v>
      </c>
      <c r="U342" t="s">
        <v>1396</v>
      </c>
      <c r="V342" t="s">
        <v>1394</v>
      </c>
      <c r="W342" t="s">
        <v>1394</v>
      </c>
      <c r="X342" s="3">
        <v>5</v>
      </c>
      <c r="Y342" t="s">
        <v>1395</v>
      </c>
      <c r="Z342">
        <v>25131</v>
      </c>
      <c r="AA342">
        <v>0.1</v>
      </c>
      <c r="AB342">
        <v>27644.100000000002</v>
      </c>
    </row>
    <row r="343" spans="1:28" x14ac:dyDescent="0.35">
      <c r="A343" t="str">
        <f t="shared" si="30"/>
        <v>EMP0342</v>
      </c>
      <c r="B343" t="str" cm="1">
        <f t="array" ref="B343">_xlfn.IFS(
ROW()&lt;=421,"NA",
ROW()&lt;=781,"LATAM",
ROW()&lt;=1021,"EMEA",
TRUE,"APAC"
)</f>
        <v>NA</v>
      </c>
      <c r="C343" t="str">
        <f t="shared" si="31"/>
        <v>USA</v>
      </c>
      <c r="D343" t="s">
        <v>38</v>
      </c>
      <c r="E343" t="s">
        <v>380</v>
      </c>
      <c r="F343" t="s">
        <v>646</v>
      </c>
      <c r="G343" t="s">
        <v>28</v>
      </c>
      <c r="H343" s="2">
        <v>45054</v>
      </c>
      <c r="I343" t="s">
        <v>57</v>
      </c>
      <c r="J343" t="s">
        <v>39</v>
      </c>
      <c r="K343" t="str">
        <f t="shared" ca="1" si="34"/>
        <v>OK</v>
      </c>
      <c r="L343" t="s">
        <v>647</v>
      </c>
      <c r="M343">
        <v>5</v>
      </c>
      <c r="N343" s="2">
        <v>46073</v>
      </c>
      <c r="O343" s="2">
        <v>46071</v>
      </c>
      <c r="P343" s="4">
        <f t="shared" ca="1" si="32"/>
        <v>2</v>
      </c>
      <c r="Q343" s="4" t="str">
        <f t="shared" ca="1" si="33"/>
        <v>0-2 Years</v>
      </c>
      <c r="R343">
        <f t="shared" ca="1" si="35"/>
        <v>1</v>
      </c>
      <c r="S343" t="s">
        <v>23</v>
      </c>
      <c r="T343">
        <v>2</v>
      </c>
      <c r="U343" t="s">
        <v>1394</v>
      </c>
      <c r="V343" t="s">
        <v>1394</v>
      </c>
      <c r="W343" t="s">
        <v>1394</v>
      </c>
      <c r="X343" s="3">
        <v>3</v>
      </c>
      <c r="Y343" t="s">
        <v>1398</v>
      </c>
      <c r="Z343">
        <v>49990</v>
      </c>
      <c r="AA343">
        <v>0.1</v>
      </c>
      <c r="AB343">
        <v>54989.000000000007</v>
      </c>
    </row>
    <row r="344" spans="1:28" x14ac:dyDescent="0.35">
      <c r="A344" t="str">
        <f t="shared" si="30"/>
        <v>EMP0343</v>
      </c>
      <c r="B344" t="str" cm="1">
        <f t="array" ref="B344">_xlfn.IFS(
ROW()&lt;=421,"NA",
ROW()&lt;=781,"LATAM",
ROW()&lt;=1021,"EMEA",
TRUE,"APAC"
)</f>
        <v>NA</v>
      </c>
      <c r="C344" t="str">
        <f t="shared" si="31"/>
        <v>USA</v>
      </c>
      <c r="D344" t="s">
        <v>26</v>
      </c>
      <c r="E344" t="s">
        <v>380</v>
      </c>
      <c r="F344" t="s">
        <v>706</v>
      </c>
      <c r="G344" t="s">
        <v>28</v>
      </c>
      <c r="H344" s="2">
        <v>45054</v>
      </c>
      <c r="I344" t="s">
        <v>29</v>
      </c>
      <c r="J344" t="s">
        <v>30</v>
      </c>
      <c r="K344" t="str">
        <f t="shared" ca="1" si="34"/>
        <v>OK</v>
      </c>
      <c r="L344" t="s">
        <v>1283</v>
      </c>
      <c r="M344">
        <v>5</v>
      </c>
      <c r="N344" s="2">
        <v>46001</v>
      </c>
      <c r="O344" s="2" t="s">
        <v>22</v>
      </c>
      <c r="P344" s="4">
        <f t="shared" ca="1" si="32"/>
        <v>2</v>
      </c>
      <c r="Q344" s="4" t="str">
        <f t="shared" ca="1" si="33"/>
        <v>0-2 Years</v>
      </c>
      <c r="R344">
        <f t="shared" ca="1" si="35"/>
        <v>1</v>
      </c>
      <c r="S344" t="s">
        <v>22</v>
      </c>
      <c r="T344">
        <v>3</v>
      </c>
      <c r="U344" t="s">
        <v>1396</v>
      </c>
      <c r="V344" t="s">
        <v>1394</v>
      </c>
      <c r="W344" t="s">
        <v>1394</v>
      </c>
      <c r="X344" s="3">
        <v>4</v>
      </c>
      <c r="Y344" t="s">
        <v>1395</v>
      </c>
      <c r="Z344">
        <v>22970</v>
      </c>
      <c r="AA344">
        <v>0.1</v>
      </c>
      <c r="AB344">
        <v>25267.000000000004</v>
      </c>
    </row>
    <row r="345" spans="1:28" x14ac:dyDescent="0.35">
      <c r="A345" t="str">
        <f t="shared" si="30"/>
        <v>EMP0344</v>
      </c>
      <c r="B345" t="str" cm="1">
        <f t="array" ref="B345">_xlfn.IFS(
ROW()&lt;=421,"NA",
ROW()&lt;=781,"LATAM",
ROW()&lt;=1021,"EMEA",
TRUE,"APAC"
)</f>
        <v>NA</v>
      </c>
      <c r="C345" t="str">
        <f t="shared" si="31"/>
        <v>USA</v>
      </c>
      <c r="D345" t="s">
        <v>38</v>
      </c>
      <c r="E345" t="s">
        <v>69</v>
      </c>
      <c r="F345" t="s">
        <v>70</v>
      </c>
      <c r="G345" t="s">
        <v>28</v>
      </c>
      <c r="H345" s="2">
        <v>45053</v>
      </c>
      <c r="I345" t="s">
        <v>29</v>
      </c>
      <c r="J345" t="s">
        <v>39</v>
      </c>
      <c r="K345" t="str">
        <f t="shared" ca="1" si="34"/>
        <v>OK</v>
      </c>
      <c r="L345" t="s">
        <v>140</v>
      </c>
      <c r="M345">
        <v>3</v>
      </c>
      <c r="N345" s="2">
        <v>46049</v>
      </c>
      <c r="O345" s="2" t="s">
        <v>22</v>
      </c>
      <c r="P345" s="4">
        <f t="shared" ca="1" si="32"/>
        <v>2</v>
      </c>
      <c r="Q345" s="4" t="str">
        <f t="shared" ca="1" si="33"/>
        <v>0-2 Years</v>
      </c>
      <c r="R345">
        <f t="shared" ca="1" si="35"/>
        <v>1</v>
      </c>
      <c r="S345" t="s">
        <v>22</v>
      </c>
      <c r="T345">
        <v>3</v>
      </c>
      <c r="U345" t="s">
        <v>1394</v>
      </c>
      <c r="V345" t="s">
        <v>1394</v>
      </c>
      <c r="W345" t="s">
        <v>1394</v>
      </c>
      <c r="X345" s="3">
        <v>5</v>
      </c>
      <c r="Y345" t="s">
        <v>1395</v>
      </c>
      <c r="Z345">
        <v>92448</v>
      </c>
      <c r="AA345">
        <v>0.2</v>
      </c>
      <c r="AB345">
        <v>110937.59999999999</v>
      </c>
    </row>
    <row r="346" spans="1:28" x14ac:dyDescent="0.35">
      <c r="A346" t="str">
        <f t="shared" si="30"/>
        <v>EMP0345</v>
      </c>
      <c r="B346" t="str" cm="1">
        <f t="array" ref="B346">_xlfn.IFS(
ROW()&lt;=421,"NA",
ROW()&lt;=781,"LATAM",
ROW()&lt;=1021,"EMEA",
TRUE,"APAC"
)</f>
        <v>NA</v>
      </c>
      <c r="C346" t="str">
        <f t="shared" si="31"/>
        <v>USA</v>
      </c>
      <c r="D346" t="s">
        <v>44</v>
      </c>
      <c r="E346" t="s">
        <v>380</v>
      </c>
      <c r="F346" t="s">
        <v>933</v>
      </c>
      <c r="G346" t="s">
        <v>28</v>
      </c>
      <c r="H346" s="2">
        <v>45053</v>
      </c>
      <c r="I346" t="s">
        <v>29</v>
      </c>
      <c r="J346" t="s">
        <v>47</v>
      </c>
      <c r="K346" t="str">
        <f t="shared" ca="1" si="34"/>
        <v>OK</v>
      </c>
      <c r="L346" t="s">
        <v>1223</v>
      </c>
      <c r="M346">
        <v>5</v>
      </c>
      <c r="N346" s="2">
        <v>46013</v>
      </c>
      <c r="O346" s="2" t="s">
        <v>22</v>
      </c>
      <c r="P346" s="4">
        <f t="shared" ca="1" si="32"/>
        <v>2</v>
      </c>
      <c r="Q346" s="4" t="str">
        <f t="shared" ca="1" si="33"/>
        <v>0-2 Years</v>
      </c>
      <c r="R346">
        <f t="shared" ca="1" si="35"/>
        <v>1</v>
      </c>
      <c r="S346" t="s">
        <v>22</v>
      </c>
      <c r="T346">
        <v>3</v>
      </c>
      <c r="U346" t="s">
        <v>1394</v>
      </c>
      <c r="V346" t="s">
        <v>1394</v>
      </c>
      <c r="W346" t="s">
        <v>1394</v>
      </c>
      <c r="X346" s="3">
        <v>4</v>
      </c>
      <c r="Y346" t="s">
        <v>1395</v>
      </c>
      <c r="Z346">
        <v>37786</v>
      </c>
      <c r="AA346">
        <v>0.1</v>
      </c>
      <c r="AB346">
        <v>41564.600000000006</v>
      </c>
    </row>
    <row r="347" spans="1:28" x14ac:dyDescent="0.35">
      <c r="A347" t="str">
        <f t="shared" si="30"/>
        <v>EMP0346</v>
      </c>
      <c r="B347" t="str" cm="1">
        <f t="array" ref="B347">_xlfn.IFS(
ROW()&lt;=421,"NA",
ROW()&lt;=781,"LATAM",
ROW()&lt;=1021,"EMEA",
TRUE,"APAC"
)</f>
        <v>NA</v>
      </c>
      <c r="C347" t="str">
        <f t="shared" si="31"/>
        <v>USA</v>
      </c>
      <c r="D347" t="s">
        <v>41</v>
      </c>
      <c r="E347" t="s">
        <v>145</v>
      </c>
      <c r="F347" t="s">
        <v>178</v>
      </c>
      <c r="G347" t="s">
        <v>28</v>
      </c>
      <c r="H347" s="2">
        <v>45048</v>
      </c>
      <c r="I347" t="s">
        <v>29</v>
      </c>
      <c r="J347" t="s">
        <v>42</v>
      </c>
      <c r="K347" t="str">
        <f t="shared" ca="1" si="34"/>
        <v>OK</v>
      </c>
      <c r="L347" t="s">
        <v>221</v>
      </c>
      <c r="M347">
        <v>4</v>
      </c>
      <c r="N347" s="2">
        <v>46039</v>
      </c>
      <c r="O347" s="2" t="s">
        <v>22</v>
      </c>
      <c r="P347" s="4">
        <f t="shared" ca="1" si="32"/>
        <v>2</v>
      </c>
      <c r="Q347" s="4" t="str">
        <f t="shared" ca="1" si="33"/>
        <v>0-2 Years</v>
      </c>
      <c r="R347">
        <f t="shared" ca="1" si="35"/>
        <v>1</v>
      </c>
      <c r="S347" t="s">
        <v>22</v>
      </c>
      <c r="T347">
        <v>3</v>
      </c>
      <c r="U347" t="s">
        <v>1394</v>
      </c>
      <c r="V347" t="s">
        <v>1394</v>
      </c>
      <c r="W347" t="s">
        <v>1394</v>
      </c>
      <c r="X347" s="3">
        <v>5</v>
      </c>
      <c r="Y347" t="s">
        <v>1395</v>
      </c>
      <c r="Z347">
        <v>52596</v>
      </c>
      <c r="AA347">
        <v>0.15</v>
      </c>
      <c r="AB347">
        <v>60485.399999999994</v>
      </c>
    </row>
    <row r="348" spans="1:28" x14ac:dyDescent="0.35">
      <c r="A348" t="str">
        <f t="shared" si="30"/>
        <v>EMP0347</v>
      </c>
      <c r="B348" t="str" cm="1">
        <f t="array" ref="B348">_xlfn.IFS(
ROW()&lt;=421,"NA",
ROW()&lt;=781,"LATAM",
ROW()&lt;=1021,"EMEA",
TRUE,"APAC"
)</f>
        <v>NA</v>
      </c>
      <c r="C348" t="str">
        <f t="shared" si="31"/>
        <v>USA</v>
      </c>
      <c r="D348" t="s">
        <v>35</v>
      </c>
      <c r="E348" t="s">
        <v>69</v>
      </c>
      <c r="F348" t="s">
        <v>91</v>
      </c>
      <c r="G348" t="s">
        <v>28</v>
      </c>
      <c r="H348" s="2">
        <v>45047</v>
      </c>
      <c r="I348" t="s">
        <v>29</v>
      </c>
      <c r="J348" t="s">
        <v>36</v>
      </c>
      <c r="K348" t="str">
        <f t="shared" ca="1" si="34"/>
        <v>OK</v>
      </c>
      <c r="L348" t="s">
        <v>100</v>
      </c>
      <c r="M348">
        <v>3</v>
      </c>
      <c r="N348" s="2">
        <v>46019</v>
      </c>
      <c r="O348" s="2" t="s">
        <v>22</v>
      </c>
      <c r="P348" s="4">
        <f t="shared" ca="1" si="32"/>
        <v>2</v>
      </c>
      <c r="Q348" s="4" t="str">
        <f t="shared" ca="1" si="33"/>
        <v>0-2 Years</v>
      </c>
      <c r="R348">
        <f t="shared" ca="1" si="35"/>
        <v>1</v>
      </c>
      <c r="S348" t="s">
        <v>22</v>
      </c>
      <c r="T348">
        <v>4</v>
      </c>
      <c r="U348" t="s">
        <v>1394</v>
      </c>
      <c r="V348" t="s">
        <v>1394</v>
      </c>
      <c r="W348" t="s">
        <v>1394</v>
      </c>
      <c r="X348" s="3">
        <v>4</v>
      </c>
      <c r="Y348" t="s">
        <v>1395</v>
      </c>
      <c r="Z348">
        <v>126995</v>
      </c>
      <c r="AA348">
        <v>0.2</v>
      </c>
      <c r="AB348">
        <v>152394</v>
      </c>
    </row>
    <row r="349" spans="1:28" x14ac:dyDescent="0.35">
      <c r="A349" t="str">
        <f t="shared" si="30"/>
        <v>EMP0348</v>
      </c>
      <c r="B349" t="str" cm="1">
        <f t="array" ref="B349">_xlfn.IFS(
ROW()&lt;=421,"NA",
ROW()&lt;=781,"LATAM",
ROW()&lt;=1021,"EMEA",
TRUE,"APAC"
)</f>
        <v>NA</v>
      </c>
      <c r="C349" t="str">
        <f t="shared" si="31"/>
        <v>USA</v>
      </c>
      <c r="D349" t="s">
        <v>35</v>
      </c>
      <c r="E349" t="s">
        <v>380</v>
      </c>
      <c r="F349" t="s">
        <v>422</v>
      </c>
      <c r="G349" t="s">
        <v>28</v>
      </c>
      <c r="H349" s="2">
        <v>45038</v>
      </c>
      <c r="I349" t="s">
        <v>57</v>
      </c>
      <c r="J349" t="s">
        <v>36</v>
      </c>
      <c r="K349" t="str">
        <f t="shared" ca="1" si="34"/>
        <v>OK</v>
      </c>
      <c r="L349" t="s">
        <v>1152</v>
      </c>
      <c r="M349">
        <v>5</v>
      </c>
      <c r="N349" s="2">
        <v>46002</v>
      </c>
      <c r="O349" s="2">
        <v>46071</v>
      </c>
      <c r="P349" s="4">
        <f t="shared" ca="1" si="32"/>
        <v>2</v>
      </c>
      <c r="Q349" s="4" t="str">
        <f t="shared" ca="1" si="33"/>
        <v>0-2 Years</v>
      </c>
      <c r="R349">
        <f t="shared" ca="1" si="35"/>
        <v>1</v>
      </c>
      <c r="S349" t="s">
        <v>23</v>
      </c>
      <c r="T349">
        <v>3</v>
      </c>
      <c r="U349" t="s">
        <v>1394</v>
      </c>
      <c r="V349" t="s">
        <v>1396</v>
      </c>
      <c r="W349" t="s">
        <v>1396</v>
      </c>
      <c r="X349" s="3">
        <v>4</v>
      </c>
      <c r="Y349" t="s">
        <v>1395</v>
      </c>
      <c r="Z349">
        <v>49841</v>
      </c>
      <c r="AA349">
        <v>0.1</v>
      </c>
      <c r="AB349">
        <v>54825.100000000006</v>
      </c>
    </row>
    <row r="350" spans="1:28" x14ac:dyDescent="0.35">
      <c r="A350" t="str">
        <f t="shared" si="30"/>
        <v>EMP0349</v>
      </c>
      <c r="B350" t="str" cm="1">
        <f t="array" ref="B350">_xlfn.IFS(
ROW()&lt;=421,"NA",
ROW()&lt;=781,"LATAM",
ROW()&lt;=1021,"EMEA",
TRUE,"APAC"
)</f>
        <v>NA</v>
      </c>
      <c r="C350" t="str">
        <f t="shared" si="31"/>
        <v>USA</v>
      </c>
      <c r="D350" t="s">
        <v>26</v>
      </c>
      <c r="E350" t="s">
        <v>380</v>
      </c>
      <c r="F350" t="s">
        <v>895</v>
      </c>
      <c r="G350" t="s">
        <v>28</v>
      </c>
      <c r="H350" s="2">
        <v>45035</v>
      </c>
      <c r="I350" t="s">
        <v>29</v>
      </c>
      <c r="J350" t="s">
        <v>30</v>
      </c>
      <c r="K350" t="str">
        <f t="shared" ca="1" si="34"/>
        <v>OK</v>
      </c>
      <c r="L350" t="s">
        <v>1131</v>
      </c>
      <c r="M350">
        <v>5</v>
      </c>
      <c r="N350" s="2">
        <v>46015</v>
      </c>
      <c r="O350" s="2" t="s">
        <v>22</v>
      </c>
      <c r="P350" s="4">
        <f t="shared" ca="1" si="32"/>
        <v>2</v>
      </c>
      <c r="Q350" s="4" t="str">
        <f t="shared" ca="1" si="33"/>
        <v>0-2 Years</v>
      </c>
      <c r="R350">
        <f t="shared" ca="1" si="35"/>
        <v>1</v>
      </c>
      <c r="S350" t="s">
        <v>22</v>
      </c>
      <c r="T350">
        <v>4</v>
      </c>
      <c r="U350" t="s">
        <v>1394</v>
      </c>
      <c r="V350" t="s">
        <v>1394</v>
      </c>
      <c r="W350" t="s">
        <v>1394</v>
      </c>
      <c r="X350" s="3">
        <v>4</v>
      </c>
      <c r="Y350" t="s">
        <v>1395</v>
      </c>
      <c r="Z350">
        <v>45803</v>
      </c>
      <c r="AA350">
        <v>0.1</v>
      </c>
      <c r="AB350">
        <v>50383.3</v>
      </c>
    </row>
    <row r="351" spans="1:28" x14ac:dyDescent="0.35">
      <c r="A351" t="str">
        <f t="shared" si="30"/>
        <v>EMP0350</v>
      </c>
      <c r="B351" t="str" cm="1">
        <f t="array" ref="B351">_xlfn.IFS(
ROW()&lt;=421,"NA",
ROW()&lt;=781,"LATAM",
ROW()&lt;=1021,"EMEA",
TRUE,"APAC"
)</f>
        <v>NA</v>
      </c>
      <c r="C351" t="str">
        <f t="shared" si="31"/>
        <v>USA</v>
      </c>
      <c r="D351" t="s">
        <v>38</v>
      </c>
      <c r="E351" t="s">
        <v>380</v>
      </c>
      <c r="F351" t="s">
        <v>691</v>
      </c>
      <c r="G351" t="s">
        <v>28</v>
      </c>
      <c r="H351" s="2">
        <v>45033</v>
      </c>
      <c r="I351" t="s">
        <v>29</v>
      </c>
      <c r="J351" t="s">
        <v>39</v>
      </c>
      <c r="K351" t="str">
        <f t="shared" ca="1" si="34"/>
        <v>OK</v>
      </c>
      <c r="L351" t="s">
        <v>1358</v>
      </c>
      <c r="M351">
        <v>5</v>
      </c>
      <c r="N351" s="2">
        <v>46071</v>
      </c>
      <c r="O351" s="2" t="s">
        <v>22</v>
      </c>
      <c r="P351" s="4">
        <f t="shared" ca="1" si="32"/>
        <v>2</v>
      </c>
      <c r="Q351" s="4" t="str">
        <f t="shared" ca="1" si="33"/>
        <v>0-2 Years</v>
      </c>
      <c r="R351">
        <f t="shared" ca="1" si="35"/>
        <v>1</v>
      </c>
      <c r="S351" t="s">
        <v>22</v>
      </c>
      <c r="T351">
        <v>3</v>
      </c>
      <c r="U351" t="s">
        <v>1394</v>
      </c>
      <c r="V351" t="s">
        <v>1394</v>
      </c>
      <c r="W351" t="s">
        <v>1394</v>
      </c>
      <c r="X351" s="3">
        <v>2</v>
      </c>
      <c r="Y351" t="s">
        <v>1397</v>
      </c>
      <c r="Z351">
        <v>40831</v>
      </c>
      <c r="AA351">
        <v>0.1</v>
      </c>
      <c r="AB351">
        <v>44914.100000000006</v>
      </c>
    </row>
    <row r="352" spans="1:28" x14ac:dyDescent="0.35">
      <c r="A352" t="str">
        <f t="shared" si="30"/>
        <v>EMP0351</v>
      </c>
      <c r="B352" t="str" cm="1">
        <f t="array" ref="B352">_xlfn.IFS(
ROW()&lt;=421,"NA",
ROW()&lt;=781,"LATAM",
ROW()&lt;=1021,"EMEA",
TRUE,"APAC"
)</f>
        <v>NA</v>
      </c>
      <c r="C352" t="str">
        <f t="shared" si="31"/>
        <v>USA</v>
      </c>
      <c r="D352" t="s">
        <v>32</v>
      </c>
      <c r="E352" t="s">
        <v>380</v>
      </c>
      <c r="F352" t="s">
        <v>584</v>
      </c>
      <c r="G352" t="s">
        <v>28</v>
      </c>
      <c r="H352" s="2">
        <v>45032</v>
      </c>
      <c r="I352" t="s">
        <v>29</v>
      </c>
      <c r="J352" t="s">
        <v>33</v>
      </c>
      <c r="K352" t="str">
        <f t="shared" ca="1" si="34"/>
        <v>OK</v>
      </c>
      <c r="L352" t="s">
        <v>585</v>
      </c>
      <c r="M352">
        <v>5</v>
      </c>
      <c r="N352" s="2">
        <v>45997</v>
      </c>
      <c r="O352" s="2" t="s">
        <v>22</v>
      </c>
      <c r="P352" s="4">
        <f t="shared" ca="1" si="32"/>
        <v>2</v>
      </c>
      <c r="Q352" s="4" t="str">
        <f t="shared" ca="1" si="33"/>
        <v>0-2 Years</v>
      </c>
      <c r="R352">
        <f t="shared" ca="1" si="35"/>
        <v>1</v>
      </c>
      <c r="S352" t="s">
        <v>22</v>
      </c>
      <c r="T352">
        <v>3</v>
      </c>
      <c r="U352" t="s">
        <v>1394</v>
      </c>
      <c r="V352" t="s">
        <v>1394</v>
      </c>
      <c r="W352" t="s">
        <v>1394</v>
      </c>
      <c r="X352" s="3">
        <v>4</v>
      </c>
      <c r="Y352" t="s">
        <v>1395</v>
      </c>
      <c r="Z352">
        <v>46132</v>
      </c>
      <c r="AA352">
        <v>0.1</v>
      </c>
      <c r="AB352">
        <v>50745.200000000004</v>
      </c>
    </row>
    <row r="353" spans="1:28" x14ac:dyDescent="0.35">
      <c r="A353" t="str">
        <f t="shared" si="30"/>
        <v>EMP0352</v>
      </c>
      <c r="B353" t="str" cm="1">
        <f t="array" ref="B353">_xlfn.IFS(
ROW()&lt;=421,"NA",
ROW()&lt;=781,"LATAM",
ROW()&lt;=1021,"EMEA",
TRUE,"APAC"
)</f>
        <v>NA</v>
      </c>
      <c r="C353" t="str">
        <f t="shared" si="31"/>
        <v>USA</v>
      </c>
      <c r="D353" t="s">
        <v>41</v>
      </c>
      <c r="E353" t="s">
        <v>69</v>
      </c>
      <c r="F353" t="s">
        <v>81</v>
      </c>
      <c r="G353" t="s">
        <v>28</v>
      </c>
      <c r="H353" s="2">
        <v>45030</v>
      </c>
      <c r="I353" t="s">
        <v>57</v>
      </c>
      <c r="J353" t="s">
        <v>42</v>
      </c>
      <c r="K353" t="str">
        <f t="shared" ca="1" si="34"/>
        <v>OK</v>
      </c>
      <c r="L353" t="s">
        <v>135</v>
      </c>
      <c r="M353">
        <v>3</v>
      </c>
      <c r="N353" s="2">
        <v>46001</v>
      </c>
      <c r="O353" s="2">
        <v>46071</v>
      </c>
      <c r="P353" s="4">
        <f t="shared" ca="1" si="32"/>
        <v>2</v>
      </c>
      <c r="Q353" s="4" t="str">
        <f t="shared" ca="1" si="33"/>
        <v>0-2 Years</v>
      </c>
      <c r="R353">
        <f t="shared" ca="1" si="35"/>
        <v>1</v>
      </c>
      <c r="S353" t="s">
        <v>24</v>
      </c>
      <c r="T353">
        <v>4</v>
      </c>
      <c r="U353" t="s">
        <v>1394</v>
      </c>
      <c r="V353" t="s">
        <v>1396</v>
      </c>
      <c r="W353" t="s">
        <v>1394</v>
      </c>
      <c r="X353" s="3">
        <v>3</v>
      </c>
      <c r="Y353" t="s">
        <v>1398</v>
      </c>
      <c r="Z353">
        <v>126824</v>
      </c>
      <c r="AA353">
        <v>0.2</v>
      </c>
      <c r="AB353">
        <v>152188.79999999999</v>
      </c>
    </row>
    <row r="354" spans="1:28" x14ac:dyDescent="0.35">
      <c r="A354" t="str">
        <f t="shared" si="30"/>
        <v>EMP0353</v>
      </c>
      <c r="B354" t="str" cm="1">
        <f t="array" ref="B354">_xlfn.IFS(
ROW()&lt;=421,"NA",
ROW()&lt;=781,"LATAM",
ROW()&lt;=1021,"EMEA",
TRUE,"APAC"
)</f>
        <v>NA</v>
      </c>
      <c r="C354" t="str">
        <f t="shared" si="31"/>
        <v>USA</v>
      </c>
      <c r="D354" t="s">
        <v>38</v>
      </c>
      <c r="E354" t="s">
        <v>380</v>
      </c>
      <c r="F354" t="s">
        <v>512</v>
      </c>
      <c r="G354" t="s">
        <v>28</v>
      </c>
      <c r="H354" s="2">
        <v>45030</v>
      </c>
      <c r="I354" t="s">
        <v>29</v>
      </c>
      <c r="J354" t="s">
        <v>39</v>
      </c>
      <c r="K354" t="str">
        <f t="shared" ca="1" si="34"/>
        <v>OK</v>
      </c>
      <c r="L354" t="s">
        <v>630</v>
      </c>
      <c r="M354">
        <v>5</v>
      </c>
      <c r="N354" s="2">
        <v>46056</v>
      </c>
      <c r="O354" s="2" t="s">
        <v>22</v>
      </c>
      <c r="P354" s="4">
        <f t="shared" ca="1" si="32"/>
        <v>2</v>
      </c>
      <c r="Q354" s="4" t="str">
        <f t="shared" ca="1" si="33"/>
        <v>0-2 Years</v>
      </c>
      <c r="R354">
        <f t="shared" ca="1" si="35"/>
        <v>1</v>
      </c>
      <c r="S354" t="s">
        <v>22</v>
      </c>
      <c r="T354">
        <v>3</v>
      </c>
      <c r="U354" t="s">
        <v>1394</v>
      </c>
      <c r="V354" t="s">
        <v>1394</v>
      </c>
      <c r="W354" t="s">
        <v>1394</v>
      </c>
      <c r="X354" s="3">
        <v>1</v>
      </c>
      <c r="Y354" t="s">
        <v>1397</v>
      </c>
      <c r="Z354">
        <v>21582</v>
      </c>
      <c r="AA354">
        <v>0.1</v>
      </c>
      <c r="AB354">
        <v>23740.2</v>
      </c>
    </row>
    <row r="355" spans="1:28" x14ac:dyDescent="0.35">
      <c r="A355" t="str">
        <f t="shared" si="30"/>
        <v>EMP0354</v>
      </c>
      <c r="B355" t="str" cm="1">
        <f t="array" ref="B355">_xlfn.IFS(
ROW()&lt;=421,"NA",
ROW()&lt;=781,"LATAM",
ROW()&lt;=1021,"EMEA",
TRUE,"APAC"
)</f>
        <v>NA</v>
      </c>
      <c r="C355" t="str">
        <f t="shared" si="31"/>
        <v>USA</v>
      </c>
      <c r="D355" t="s">
        <v>26</v>
      </c>
      <c r="E355" t="s">
        <v>380</v>
      </c>
      <c r="F355" t="s">
        <v>646</v>
      </c>
      <c r="G355" t="s">
        <v>53</v>
      </c>
      <c r="H355" s="2">
        <v>45029</v>
      </c>
      <c r="I355" t="s">
        <v>29</v>
      </c>
      <c r="J355" t="s">
        <v>30</v>
      </c>
      <c r="K355" t="str">
        <f t="shared" ca="1" si="34"/>
        <v>OK</v>
      </c>
      <c r="L355" t="s">
        <v>700</v>
      </c>
      <c r="M355">
        <v>5</v>
      </c>
      <c r="N355" s="2">
        <v>46047</v>
      </c>
      <c r="O355" s="2" t="s">
        <v>22</v>
      </c>
      <c r="P355" s="4">
        <f t="shared" ca="1" si="32"/>
        <v>2</v>
      </c>
      <c r="Q355" s="4" t="str">
        <f t="shared" ca="1" si="33"/>
        <v>0-2 Years</v>
      </c>
      <c r="R355">
        <f t="shared" ca="1" si="35"/>
        <v>1</v>
      </c>
      <c r="S355" t="s">
        <v>22</v>
      </c>
      <c r="T355">
        <v>4</v>
      </c>
      <c r="U355" t="s">
        <v>1394</v>
      </c>
      <c r="V355" t="s">
        <v>1394</v>
      </c>
      <c r="W355" t="s">
        <v>1394</v>
      </c>
      <c r="X355" s="3">
        <v>2</v>
      </c>
      <c r="Y355" t="s">
        <v>1397</v>
      </c>
      <c r="Z355">
        <v>45749</v>
      </c>
      <c r="AA355">
        <v>0.1</v>
      </c>
      <c r="AB355">
        <v>50323.9</v>
      </c>
    </row>
    <row r="356" spans="1:28" x14ac:dyDescent="0.35">
      <c r="A356" t="str">
        <f t="shared" si="30"/>
        <v>EMP0355</v>
      </c>
      <c r="B356" t="str" cm="1">
        <f t="array" ref="B356">_xlfn.IFS(
ROW()&lt;=421,"NA",
ROW()&lt;=781,"LATAM",
ROW()&lt;=1021,"EMEA",
TRUE,"APAC"
)</f>
        <v>NA</v>
      </c>
      <c r="C356" t="str">
        <f t="shared" si="31"/>
        <v>USA</v>
      </c>
      <c r="D356" t="s">
        <v>35</v>
      </c>
      <c r="E356" t="s">
        <v>380</v>
      </c>
      <c r="F356" t="s">
        <v>486</v>
      </c>
      <c r="G356" t="s">
        <v>28</v>
      </c>
      <c r="H356" s="2">
        <v>45029</v>
      </c>
      <c r="I356" t="s">
        <v>29</v>
      </c>
      <c r="J356" t="s">
        <v>36</v>
      </c>
      <c r="K356" t="str">
        <f t="shared" ca="1" si="34"/>
        <v>OK</v>
      </c>
      <c r="L356" t="s">
        <v>293</v>
      </c>
      <c r="M356">
        <v>5</v>
      </c>
      <c r="N356" s="2">
        <v>45994</v>
      </c>
      <c r="O356" s="2" t="s">
        <v>22</v>
      </c>
      <c r="P356" s="4">
        <f t="shared" ca="1" si="32"/>
        <v>2</v>
      </c>
      <c r="Q356" s="4" t="str">
        <f t="shared" ca="1" si="33"/>
        <v>0-2 Years</v>
      </c>
      <c r="R356">
        <f t="shared" ca="1" si="35"/>
        <v>1</v>
      </c>
      <c r="S356" t="s">
        <v>22</v>
      </c>
      <c r="T356">
        <v>2</v>
      </c>
      <c r="U356" t="s">
        <v>1394</v>
      </c>
      <c r="V356" t="s">
        <v>1394</v>
      </c>
      <c r="W356" t="s">
        <v>1394</v>
      </c>
      <c r="X356" s="3">
        <v>5</v>
      </c>
      <c r="Y356" t="s">
        <v>1395</v>
      </c>
      <c r="Z356">
        <v>35128</v>
      </c>
      <c r="AA356">
        <v>0.1</v>
      </c>
      <c r="AB356">
        <v>38640.800000000003</v>
      </c>
    </row>
    <row r="357" spans="1:28" x14ac:dyDescent="0.35">
      <c r="A357" t="str">
        <f t="shared" si="30"/>
        <v>EMP0356</v>
      </c>
      <c r="B357" t="str" cm="1">
        <f t="array" ref="B357">_xlfn.IFS(
ROW()&lt;=421,"NA",
ROW()&lt;=781,"LATAM",
ROW()&lt;=1021,"EMEA",
TRUE,"APAC"
)</f>
        <v>NA</v>
      </c>
      <c r="C357" t="str">
        <f t="shared" si="31"/>
        <v>USA</v>
      </c>
      <c r="D357" t="s">
        <v>35</v>
      </c>
      <c r="E357" t="s">
        <v>380</v>
      </c>
      <c r="F357" t="s">
        <v>752</v>
      </c>
      <c r="G357" t="s">
        <v>28</v>
      </c>
      <c r="H357" s="2">
        <v>45026</v>
      </c>
      <c r="I357" t="s">
        <v>29</v>
      </c>
      <c r="J357" t="s">
        <v>36</v>
      </c>
      <c r="K357" t="str">
        <f t="shared" ca="1" si="34"/>
        <v>OK</v>
      </c>
      <c r="L357" t="s">
        <v>753</v>
      </c>
      <c r="M357">
        <v>5</v>
      </c>
      <c r="N357" s="2">
        <v>46052</v>
      </c>
      <c r="O357" s="2" t="s">
        <v>22</v>
      </c>
      <c r="P357" s="4">
        <f t="shared" ca="1" si="32"/>
        <v>2</v>
      </c>
      <c r="Q357" s="4" t="str">
        <f t="shared" ca="1" si="33"/>
        <v>0-2 Years</v>
      </c>
      <c r="R357">
        <f t="shared" ca="1" si="35"/>
        <v>1</v>
      </c>
      <c r="S357" t="s">
        <v>22</v>
      </c>
      <c r="T357">
        <v>4</v>
      </c>
      <c r="U357" t="s">
        <v>1394</v>
      </c>
      <c r="V357" t="s">
        <v>1394</v>
      </c>
      <c r="W357" t="s">
        <v>1394</v>
      </c>
      <c r="X357" s="3">
        <v>4</v>
      </c>
      <c r="Y357" t="s">
        <v>1395</v>
      </c>
      <c r="Z357">
        <v>39346</v>
      </c>
      <c r="AA357">
        <v>0.1</v>
      </c>
      <c r="AB357">
        <v>43280.600000000006</v>
      </c>
    </row>
    <row r="358" spans="1:28" x14ac:dyDescent="0.35">
      <c r="A358" t="str">
        <f t="shared" si="30"/>
        <v>EMP0357</v>
      </c>
      <c r="B358" t="str" cm="1">
        <f t="array" ref="B358">_xlfn.IFS(
ROW()&lt;=421,"NA",
ROW()&lt;=781,"LATAM",
ROW()&lt;=1021,"EMEA",
TRUE,"APAC"
)</f>
        <v>NA</v>
      </c>
      <c r="C358" t="str">
        <f t="shared" si="31"/>
        <v>USA</v>
      </c>
      <c r="D358" t="s">
        <v>44</v>
      </c>
      <c r="E358" t="s">
        <v>380</v>
      </c>
      <c r="F358" t="s">
        <v>402</v>
      </c>
      <c r="G358" t="s">
        <v>53</v>
      </c>
      <c r="H358" s="2">
        <v>45025</v>
      </c>
      <c r="I358" t="s">
        <v>29</v>
      </c>
      <c r="J358" t="s">
        <v>47</v>
      </c>
      <c r="K358" t="str">
        <f t="shared" ca="1" si="34"/>
        <v>OK</v>
      </c>
      <c r="L358" t="s">
        <v>633</v>
      </c>
      <c r="M358">
        <v>5</v>
      </c>
      <c r="N358" s="2">
        <v>46075</v>
      </c>
      <c r="O358" s="2" t="s">
        <v>22</v>
      </c>
      <c r="P358" s="4">
        <f t="shared" ca="1" si="32"/>
        <v>2</v>
      </c>
      <c r="Q358" s="4" t="str">
        <f t="shared" ca="1" si="33"/>
        <v>0-2 Years</v>
      </c>
      <c r="R358">
        <f t="shared" ca="1" si="35"/>
        <v>1</v>
      </c>
      <c r="S358" t="s">
        <v>22</v>
      </c>
      <c r="T358">
        <v>3</v>
      </c>
      <c r="U358" t="s">
        <v>1394</v>
      </c>
      <c r="V358" t="s">
        <v>1394</v>
      </c>
      <c r="W358" t="s">
        <v>1394</v>
      </c>
      <c r="X358" s="3">
        <v>5</v>
      </c>
      <c r="Y358" t="s">
        <v>1395</v>
      </c>
      <c r="Z358">
        <v>21196</v>
      </c>
      <c r="AA358">
        <v>0.1</v>
      </c>
      <c r="AB358">
        <v>23315.600000000002</v>
      </c>
    </row>
    <row r="359" spans="1:28" x14ac:dyDescent="0.35">
      <c r="A359" t="str">
        <f t="shared" si="30"/>
        <v>EMP0358</v>
      </c>
      <c r="B359" t="str" cm="1">
        <f t="array" ref="B359">_xlfn.IFS(
ROW()&lt;=421,"NA",
ROW()&lt;=781,"LATAM",
ROW()&lt;=1021,"EMEA",
TRUE,"APAC"
)</f>
        <v>NA</v>
      </c>
      <c r="C359" t="str">
        <f t="shared" si="31"/>
        <v>USA</v>
      </c>
      <c r="D359" t="s">
        <v>26</v>
      </c>
      <c r="E359" t="s">
        <v>380</v>
      </c>
      <c r="F359" t="s">
        <v>464</v>
      </c>
      <c r="G359" t="s">
        <v>28</v>
      </c>
      <c r="H359" s="2">
        <v>45025</v>
      </c>
      <c r="I359" t="s">
        <v>57</v>
      </c>
      <c r="J359" t="s">
        <v>30</v>
      </c>
      <c r="K359" t="str">
        <f t="shared" ca="1" si="34"/>
        <v>OK</v>
      </c>
      <c r="L359" t="s">
        <v>1090</v>
      </c>
      <c r="M359">
        <v>5</v>
      </c>
      <c r="N359" s="2">
        <v>45996</v>
      </c>
      <c r="O359" s="2">
        <v>46071</v>
      </c>
      <c r="P359" s="4">
        <f t="shared" ca="1" si="32"/>
        <v>2</v>
      </c>
      <c r="Q359" s="4" t="str">
        <f t="shared" ca="1" si="33"/>
        <v>0-2 Years</v>
      </c>
      <c r="R359">
        <f t="shared" ca="1" si="35"/>
        <v>1</v>
      </c>
      <c r="S359" t="s">
        <v>23</v>
      </c>
      <c r="T359">
        <v>3</v>
      </c>
      <c r="U359" t="s">
        <v>1394</v>
      </c>
      <c r="V359" t="s">
        <v>1394</v>
      </c>
      <c r="W359" t="s">
        <v>1394</v>
      </c>
      <c r="X359" s="3">
        <v>2</v>
      </c>
      <c r="Y359" t="s">
        <v>1397</v>
      </c>
      <c r="Z359">
        <v>34547</v>
      </c>
      <c r="AA359">
        <v>0.1</v>
      </c>
      <c r="AB359">
        <v>38001.700000000004</v>
      </c>
    </row>
    <row r="360" spans="1:28" x14ac:dyDescent="0.35">
      <c r="A360" t="str">
        <f t="shared" si="30"/>
        <v>EMP0359</v>
      </c>
      <c r="B360" t="str" cm="1">
        <f t="array" ref="B360">_xlfn.IFS(
ROW()&lt;=421,"NA",
ROW()&lt;=781,"LATAM",
ROW()&lt;=1021,"EMEA",
TRUE,"APAC"
)</f>
        <v>NA</v>
      </c>
      <c r="C360" t="str">
        <f t="shared" si="31"/>
        <v>USA</v>
      </c>
      <c r="D360" t="s">
        <v>44</v>
      </c>
      <c r="E360" t="s">
        <v>69</v>
      </c>
      <c r="F360" t="s">
        <v>86</v>
      </c>
      <c r="G360" t="s">
        <v>28</v>
      </c>
      <c r="H360" s="2">
        <v>45023</v>
      </c>
      <c r="I360" t="s">
        <v>29</v>
      </c>
      <c r="J360" t="s">
        <v>47</v>
      </c>
      <c r="K360" t="str">
        <f t="shared" ca="1" si="34"/>
        <v>OK</v>
      </c>
      <c r="L360" t="s">
        <v>123</v>
      </c>
      <c r="M360">
        <v>3</v>
      </c>
      <c r="N360" s="2">
        <v>46012</v>
      </c>
      <c r="O360" s="2" t="s">
        <v>22</v>
      </c>
      <c r="P360" s="4">
        <f t="shared" ca="1" si="32"/>
        <v>2</v>
      </c>
      <c r="Q360" s="4" t="str">
        <f t="shared" ca="1" si="33"/>
        <v>0-2 Years</v>
      </c>
      <c r="R360">
        <f t="shared" ca="1" si="35"/>
        <v>1</v>
      </c>
      <c r="S360" t="s">
        <v>22</v>
      </c>
      <c r="T360">
        <v>3</v>
      </c>
      <c r="U360" t="s">
        <v>1394</v>
      </c>
      <c r="V360" t="s">
        <v>1394</v>
      </c>
      <c r="W360" t="s">
        <v>1394</v>
      </c>
      <c r="X360" s="3">
        <v>4</v>
      </c>
      <c r="Y360" t="s">
        <v>1395</v>
      </c>
      <c r="Z360">
        <v>111770</v>
      </c>
      <c r="AA360">
        <v>0.2</v>
      </c>
      <c r="AB360">
        <v>134124</v>
      </c>
    </row>
    <row r="361" spans="1:28" x14ac:dyDescent="0.35">
      <c r="A361" t="str">
        <f t="shared" si="30"/>
        <v>EMP0360</v>
      </c>
      <c r="B361" t="str" cm="1">
        <f t="array" ref="B361">_xlfn.IFS(
ROW()&lt;=421,"NA",
ROW()&lt;=781,"LATAM",
ROW()&lt;=1021,"EMEA",
TRUE,"APAC"
)</f>
        <v>NA</v>
      </c>
      <c r="C361" t="str">
        <f t="shared" si="31"/>
        <v>USA</v>
      </c>
      <c r="D361" t="s">
        <v>44</v>
      </c>
      <c r="E361" t="s">
        <v>380</v>
      </c>
      <c r="F361" t="s">
        <v>715</v>
      </c>
      <c r="G361" t="s">
        <v>28</v>
      </c>
      <c r="H361" s="2">
        <v>45022</v>
      </c>
      <c r="I361" t="s">
        <v>29</v>
      </c>
      <c r="J361" t="s">
        <v>47</v>
      </c>
      <c r="K361" t="str">
        <f t="shared" ca="1" si="34"/>
        <v>OK</v>
      </c>
      <c r="L361" t="s">
        <v>716</v>
      </c>
      <c r="M361">
        <v>5</v>
      </c>
      <c r="N361" s="2">
        <v>45998</v>
      </c>
      <c r="O361" s="2" t="s">
        <v>22</v>
      </c>
      <c r="P361" s="4">
        <f t="shared" ca="1" si="32"/>
        <v>2</v>
      </c>
      <c r="Q361" s="4" t="str">
        <f t="shared" ca="1" si="33"/>
        <v>0-2 Years</v>
      </c>
      <c r="R361">
        <f t="shared" ca="1" si="35"/>
        <v>1</v>
      </c>
      <c r="S361" t="s">
        <v>22</v>
      </c>
      <c r="T361">
        <v>5</v>
      </c>
      <c r="U361" t="s">
        <v>1394</v>
      </c>
      <c r="V361" t="s">
        <v>1394</v>
      </c>
      <c r="W361" t="s">
        <v>1394</v>
      </c>
      <c r="X361" s="3">
        <v>1</v>
      </c>
      <c r="Y361" t="s">
        <v>1397</v>
      </c>
      <c r="Z361">
        <v>49710</v>
      </c>
      <c r="AA361">
        <v>0.1</v>
      </c>
      <c r="AB361">
        <v>54681.000000000007</v>
      </c>
    </row>
    <row r="362" spans="1:28" x14ac:dyDescent="0.35">
      <c r="A362" t="str">
        <f t="shared" si="30"/>
        <v>EMP0361</v>
      </c>
      <c r="B362" t="str" cm="1">
        <f t="array" ref="B362">_xlfn.IFS(
ROW()&lt;=421,"NA",
ROW()&lt;=781,"LATAM",
ROW()&lt;=1021,"EMEA",
TRUE,"APAC"
)</f>
        <v>NA</v>
      </c>
      <c r="C362" t="str">
        <f t="shared" si="31"/>
        <v>USA</v>
      </c>
      <c r="D362" t="s">
        <v>38</v>
      </c>
      <c r="E362" t="s">
        <v>145</v>
      </c>
      <c r="F362" t="s">
        <v>148</v>
      </c>
      <c r="G362" t="s">
        <v>28</v>
      </c>
      <c r="H362" s="2">
        <v>45018</v>
      </c>
      <c r="I362" t="s">
        <v>29</v>
      </c>
      <c r="J362" t="s">
        <v>39</v>
      </c>
      <c r="K362" t="str">
        <f t="shared" ca="1" si="34"/>
        <v>OK</v>
      </c>
      <c r="L362" t="s">
        <v>350</v>
      </c>
      <c r="M362">
        <v>4</v>
      </c>
      <c r="N362" s="2">
        <v>45998</v>
      </c>
      <c r="O362" s="2" t="s">
        <v>22</v>
      </c>
      <c r="P362" s="4">
        <f t="shared" ca="1" si="32"/>
        <v>2</v>
      </c>
      <c r="Q362" s="4" t="str">
        <f t="shared" ca="1" si="33"/>
        <v>0-2 Years</v>
      </c>
      <c r="R362">
        <f t="shared" ca="1" si="35"/>
        <v>1</v>
      </c>
      <c r="S362" t="s">
        <v>22</v>
      </c>
      <c r="T362">
        <v>3</v>
      </c>
      <c r="U362" t="s">
        <v>1394</v>
      </c>
      <c r="V362" t="s">
        <v>1394</v>
      </c>
      <c r="W362" t="s">
        <v>1394</v>
      </c>
      <c r="X362" s="3">
        <v>1</v>
      </c>
      <c r="Y362" t="s">
        <v>1397</v>
      </c>
      <c r="Z362">
        <v>73483</v>
      </c>
      <c r="AA362">
        <v>0.15</v>
      </c>
      <c r="AB362">
        <v>84505.45</v>
      </c>
    </row>
    <row r="363" spans="1:28" x14ac:dyDescent="0.35">
      <c r="A363" t="str">
        <f t="shared" si="30"/>
        <v>EMP0362</v>
      </c>
      <c r="B363" t="str" cm="1">
        <f t="array" ref="B363">_xlfn.IFS(
ROW()&lt;=421,"NA",
ROW()&lt;=781,"LATAM",
ROW()&lt;=1021,"EMEA",
TRUE,"APAC"
)</f>
        <v>NA</v>
      </c>
      <c r="C363" t="str">
        <f t="shared" si="31"/>
        <v>USA</v>
      </c>
      <c r="D363" t="s">
        <v>44</v>
      </c>
      <c r="E363" t="s">
        <v>380</v>
      </c>
      <c r="F363" t="s">
        <v>422</v>
      </c>
      <c r="G363" t="s">
        <v>28</v>
      </c>
      <c r="H363" s="2">
        <v>45011</v>
      </c>
      <c r="I363" t="s">
        <v>29</v>
      </c>
      <c r="J363" t="s">
        <v>47</v>
      </c>
      <c r="K363" t="str">
        <f t="shared" ca="1" si="34"/>
        <v>OK</v>
      </c>
      <c r="L363" t="s">
        <v>423</v>
      </c>
      <c r="M363">
        <v>5</v>
      </c>
      <c r="N363" s="2">
        <v>46055</v>
      </c>
      <c r="O363" s="2" t="s">
        <v>22</v>
      </c>
      <c r="P363" s="4">
        <f t="shared" ca="1" si="32"/>
        <v>2</v>
      </c>
      <c r="Q363" s="4" t="str">
        <f t="shared" ca="1" si="33"/>
        <v>0-2 Years</v>
      </c>
      <c r="R363">
        <f t="shared" ca="1" si="35"/>
        <v>1</v>
      </c>
      <c r="S363" t="s">
        <v>22</v>
      </c>
      <c r="T363">
        <v>2</v>
      </c>
      <c r="U363" t="s">
        <v>1394</v>
      </c>
      <c r="V363" t="s">
        <v>1396</v>
      </c>
      <c r="W363" t="s">
        <v>1394</v>
      </c>
      <c r="X363" s="3">
        <v>5</v>
      </c>
      <c r="Y363" t="s">
        <v>1395</v>
      </c>
      <c r="Z363">
        <v>41207</v>
      </c>
      <c r="AA363">
        <v>0.1</v>
      </c>
      <c r="AB363">
        <v>45327.700000000004</v>
      </c>
    </row>
    <row r="364" spans="1:28" x14ac:dyDescent="0.35">
      <c r="A364" t="str">
        <f t="shared" si="30"/>
        <v>EMP0363</v>
      </c>
      <c r="B364" t="str" cm="1">
        <f t="array" ref="B364">_xlfn.IFS(
ROW()&lt;=421,"NA",
ROW()&lt;=781,"LATAM",
ROW()&lt;=1021,"EMEA",
TRUE,"APAC"
)</f>
        <v>NA</v>
      </c>
      <c r="C364" t="str">
        <f t="shared" si="31"/>
        <v>USA</v>
      </c>
      <c r="D364" t="s">
        <v>32</v>
      </c>
      <c r="E364" t="s">
        <v>380</v>
      </c>
      <c r="F364" t="s">
        <v>752</v>
      </c>
      <c r="G364" t="s">
        <v>28</v>
      </c>
      <c r="H364" s="2">
        <v>45008</v>
      </c>
      <c r="I364" t="s">
        <v>29</v>
      </c>
      <c r="J364" t="s">
        <v>33</v>
      </c>
      <c r="K364" t="str">
        <f t="shared" ca="1" si="34"/>
        <v>OK</v>
      </c>
      <c r="L364" t="s">
        <v>1139</v>
      </c>
      <c r="M364">
        <v>5</v>
      </c>
      <c r="N364" s="2">
        <v>46039</v>
      </c>
      <c r="O364" s="2" t="s">
        <v>22</v>
      </c>
      <c r="P364" s="4">
        <f t="shared" ca="1" si="32"/>
        <v>2</v>
      </c>
      <c r="Q364" s="4" t="str">
        <f t="shared" ca="1" si="33"/>
        <v>0-2 Years</v>
      </c>
      <c r="R364">
        <f t="shared" ca="1" si="35"/>
        <v>1</v>
      </c>
      <c r="S364" t="s">
        <v>22</v>
      </c>
      <c r="T364">
        <v>3</v>
      </c>
      <c r="U364" t="s">
        <v>1394</v>
      </c>
      <c r="V364" t="s">
        <v>1394</v>
      </c>
      <c r="W364" t="s">
        <v>1394</v>
      </c>
      <c r="X364" s="3">
        <v>4</v>
      </c>
      <c r="Y364" t="s">
        <v>1395</v>
      </c>
      <c r="Z364">
        <v>33144</v>
      </c>
      <c r="AA364">
        <v>0.1</v>
      </c>
      <c r="AB364">
        <v>36458.400000000001</v>
      </c>
    </row>
    <row r="365" spans="1:28" x14ac:dyDescent="0.35">
      <c r="A365" t="str">
        <f t="shared" si="30"/>
        <v>EMP0364</v>
      </c>
      <c r="B365" t="str" cm="1">
        <f t="array" ref="B365">_xlfn.IFS(
ROW()&lt;=421,"NA",
ROW()&lt;=781,"LATAM",
ROW()&lt;=1021,"EMEA",
TRUE,"APAC"
)</f>
        <v>NA</v>
      </c>
      <c r="C365" t="str">
        <f t="shared" si="31"/>
        <v>USA</v>
      </c>
      <c r="D365" t="s">
        <v>35</v>
      </c>
      <c r="E365" t="s">
        <v>380</v>
      </c>
      <c r="F365" t="s">
        <v>828</v>
      </c>
      <c r="G365" t="s">
        <v>53</v>
      </c>
      <c r="H365" s="2">
        <v>45005</v>
      </c>
      <c r="I365" t="s">
        <v>29</v>
      </c>
      <c r="J365" t="s">
        <v>36</v>
      </c>
      <c r="K365" t="str">
        <f t="shared" ca="1" si="34"/>
        <v>OK</v>
      </c>
      <c r="L365" t="s">
        <v>988</v>
      </c>
      <c r="M365">
        <v>5</v>
      </c>
      <c r="N365" s="2">
        <v>46057</v>
      </c>
      <c r="O365" s="2" t="s">
        <v>22</v>
      </c>
      <c r="P365" s="4">
        <f t="shared" ca="1" si="32"/>
        <v>2</v>
      </c>
      <c r="Q365" s="4" t="str">
        <f t="shared" ca="1" si="33"/>
        <v>0-2 Years</v>
      </c>
      <c r="R365">
        <f t="shared" ca="1" si="35"/>
        <v>1</v>
      </c>
      <c r="S365" t="s">
        <v>22</v>
      </c>
      <c r="T365">
        <v>2</v>
      </c>
      <c r="U365" t="s">
        <v>1394</v>
      </c>
      <c r="V365" t="s">
        <v>1394</v>
      </c>
      <c r="W365" t="s">
        <v>1394</v>
      </c>
      <c r="X365" s="3">
        <v>2</v>
      </c>
      <c r="Y365" t="s">
        <v>1397</v>
      </c>
      <c r="Z365">
        <v>39195</v>
      </c>
      <c r="AA365">
        <v>0.1</v>
      </c>
      <c r="AB365">
        <v>43114.5</v>
      </c>
    </row>
    <row r="366" spans="1:28" x14ac:dyDescent="0.35">
      <c r="A366" t="str">
        <f t="shared" si="30"/>
        <v>EMP0365</v>
      </c>
      <c r="B366" t="str" cm="1">
        <f t="array" ref="B366">_xlfn.IFS(
ROW()&lt;=421,"NA",
ROW()&lt;=781,"LATAM",
ROW()&lt;=1021,"EMEA",
TRUE,"APAC"
)</f>
        <v>NA</v>
      </c>
      <c r="C366" t="str">
        <f t="shared" si="31"/>
        <v>USA</v>
      </c>
      <c r="D366" t="s">
        <v>38</v>
      </c>
      <c r="E366" t="s">
        <v>380</v>
      </c>
      <c r="F366" t="s">
        <v>598</v>
      </c>
      <c r="G366" t="s">
        <v>28</v>
      </c>
      <c r="H366" s="2">
        <v>45003</v>
      </c>
      <c r="I366" t="s">
        <v>29</v>
      </c>
      <c r="J366" t="s">
        <v>39</v>
      </c>
      <c r="K366" t="str">
        <f t="shared" ca="1" si="34"/>
        <v>OK</v>
      </c>
      <c r="L366" t="s">
        <v>1296</v>
      </c>
      <c r="M366">
        <v>5</v>
      </c>
      <c r="N366" s="2">
        <v>46014</v>
      </c>
      <c r="O366" s="2" t="s">
        <v>22</v>
      </c>
      <c r="P366" s="4">
        <f t="shared" ca="1" si="32"/>
        <v>2</v>
      </c>
      <c r="Q366" s="4" t="str">
        <f t="shared" ca="1" si="33"/>
        <v>0-2 Years</v>
      </c>
      <c r="R366">
        <f t="shared" ca="1" si="35"/>
        <v>1</v>
      </c>
      <c r="S366" t="s">
        <v>22</v>
      </c>
      <c r="T366">
        <v>3</v>
      </c>
      <c r="U366" t="s">
        <v>1394</v>
      </c>
      <c r="V366" t="s">
        <v>1394</v>
      </c>
      <c r="W366" t="s">
        <v>1394</v>
      </c>
      <c r="X366" s="3">
        <v>3</v>
      </c>
      <c r="Y366" t="s">
        <v>1398</v>
      </c>
      <c r="Z366">
        <v>26073</v>
      </c>
      <c r="AA366">
        <v>0.1</v>
      </c>
      <c r="AB366">
        <v>28680.300000000003</v>
      </c>
    </row>
    <row r="367" spans="1:28" x14ac:dyDescent="0.35">
      <c r="A367" t="str">
        <f t="shared" si="30"/>
        <v>EMP0366</v>
      </c>
      <c r="B367" t="str" cm="1">
        <f t="array" ref="B367">_xlfn.IFS(
ROW()&lt;=421,"NA",
ROW()&lt;=781,"LATAM",
ROW()&lt;=1021,"EMEA",
TRUE,"APAC"
)</f>
        <v>NA</v>
      </c>
      <c r="C367" t="str">
        <f t="shared" si="31"/>
        <v>USA</v>
      </c>
      <c r="D367" t="s">
        <v>41</v>
      </c>
      <c r="E367" t="s">
        <v>145</v>
      </c>
      <c r="F367" t="s">
        <v>166</v>
      </c>
      <c r="G367" t="s">
        <v>53</v>
      </c>
      <c r="H367" s="2">
        <v>45000</v>
      </c>
      <c r="I367" t="s">
        <v>29</v>
      </c>
      <c r="J367" t="s">
        <v>42</v>
      </c>
      <c r="K367" t="str">
        <f t="shared" ca="1" si="34"/>
        <v>OK</v>
      </c>
      <c r="L367" t="s">
        <v>289</v>
      </c>
      <c r="M367">
        <v>4</v>
      </c>
      <c r="N367" s="2">
        <v>46032</v>
      </c>
      <c r="O367" s="2" t="s">
        <v>22</v>
      </c>
      <c r="P367" s="4">
        <f t="shared" ca="1" si="32"/>
        <v>2</v>
      </c>
      <c r="Q367" s="4" t="str">
        <f t="shared" ca="1" si="33"/>
        <v>0-2 Years</v>
      </c>
      <c r="R367">
        <f t="shared" ca="1" si="35"/>
        <v>1</v>
      </c>
      <c r="S367" t="s">
        <v>22</v>
      </c>
      <c r="T367">
        <v>4</v>
      </c>
      <c r="U367" t="s">
        <v>1394</v>
      </c>
      <c r="V367" t="s">
        <v>1394</v>
      </c>
      <c r="W367" t="s">
        <v>1394</v>
      </c>
      <c r="X367" s="3">
        <v>3</v>
      </c>
      <c r="Y367" t="s">
        <v>1398</v>
      </c>
      <c r="Z367">
        <v>69672</v>
      </c>
      <c r="AA367">
        <v>0.15</v>
      </c>
      <c r="AB367">
        <v>80122.799999999988</v>
      </c>
    </row>
    <row r="368" spans="1:28" x14ac:dyDescent="0.35">
      <c r="A368" t="str">
        <f t="shared" si="30"/>
        <v>EMP0367</v>
      </c>
      <c r="B368" t="str" cm="1">
        <f t="array" ref="B368">_xlfn.IFS(
ROW()&lt;=421,"NA",
ROW()&lt;=781,"LATAM",
ROW()&lt;=1021,"EMEA",
TRUE,"APAC"
)</f>
        <v>NA</v>
      </c>
      <c r="C368" t="str">
        <f t="shared" si="31"/>
        <v>USA</v>
      </c>
      <c r="D368" t="s">
        <v>38</v>
      </c>
      <c r="E368" t="s">
        <v>380</v>
      </c>
      <c r="F368" t="s">
        <v>794</v>
      </c>
      <c r="G368" t="s">
        <v>28</v>
      </c>
      <c r="H368" s="2">
        <v>45000</v>
      </c>
      <c r="I368" t="s">
        <v>57</v>
      </c>
      <c r="J368" t="s">
        <v>39</v>
      </c>
      <c r="K368" t="str">
        <f t="shared" ca="1" si="34"/>
        <v>OK</v>
      </c>
      <c r="L368" t="s">
        <v>1277</v>
      </c>
      <c r="M368">
        <v>5</v>
      </c>
      <c r="N368" s="2">
        <v>46053</v>
      </c>
      <c r="O368" s="2">
        <v>46071</v>
      </c>
      <c r="P368" s="4">
        <f t="shared" ca="1" si="32"/>
        <v>2</v>
      </c>
      <c r="Q368" s="4" t="str">
        <f t="shared" ca="1" si="33"/>
        <v>0-2 Years</v>
      </c>
      <c r="R368">
        <f t="shared" ca="1" si="35"/>
        <v>1</v>
      </c>
      <c r="S368" t="s">
        <v>23</v>
      </c>
      <c r="T368">
        <v>2</v>
      </c>
      <c r="U368" t="s">
        <v>1396</v>
      </c>
      <c r="V368" t="s">
        <v>1394</v>
      </c>
      <c r="W368" t="s">
        <v>1394</v>
      </c>
      <c r="X368" s="3">
        <v>3</v>
      </c>
      <c r="Y368" t="s">
        <v>1398</v>
      </c>
      <c r="Z368">
        <v>47375</v>
      </c>
      <c r="AA368">
        <v>0.1</v>
      </c>
      <c r="AB368">
        <v>52112.500000000007</v>
      </c>
    </row>
    <row r="369" spans="1:28" x14ac:dyDescent="0.35">
      <c r="A369" t="str">
        <f t="shared" si="30"/>
        <v>EMP0368</v>
      </c>
      <c r="B369" t="str" cm="1">
        <f t="array" ref="B369">_xlfn.IFS(
ROW()&lt;=421,"NA",
ROW()&lt;=781,"LATAM",
ROW()&lt;=1021,"EMEA",
TRUE,"APAC"
)</f>
        <v>NA</v>
      </c>
      <c r="C369" t="str">
        <f t="shared" si="31"/>
        <v>USA</v>
      </c>
      <c r="D369" t="s">
        <v>38</v>
      </c>
      <c r="E369" t="s">
        <v>380</v>
      </c>
      <c r="F369" t="s">
        <v>811</v>
      </c>
      <c r="G369" t="s">
        <v>28</v>
      </c>
      <c r="H369" s="2">
        <v>44993</v>
      </c>
      <c r="I369" t="s">
        <v>29</v>
      </c>
      <c r="J369" t="s">
        <v>39</v>
      </c>
      <c r="K369" t="str">
        <f t="shared" ca="1" si="34"/>
        <v>OK</v>
      </c>
      <c r="L369" t="s">
        <v>472</v>
      </c>
      <c r="M369">
        <v>5</v>
      </c>
      <c r="N369" s="2">
        <v>46073</v>
      </c>
      <c r="O369" s="2" t="s">
        <v>22</v>
      </c>
      <c r="P369" s="4">
        <f t="shared" ca="1" si="32"/>
        <v>2</v>
      </c>
      <c r="Q369" s="4" t="str">
        <f t="shared" ca="1" si="33"/>
        <v>0-2 Years</v>
      </c>
      <c r="R369">
        <f t="shared" ca="1" si="35"/>
        <v>1</v>
      </c>
      <c r="S369" t="s">
        <v>22</v>
      </c>
      <c r="T369">
        <v>4</v>
      </c>
      <c r="U369" t="s">
        <v>1394</v>
      </c>
      <c r="V369" t="s">
        <v>1394</v>
      </c>
      <c r="W369" t="s">
        <v>1394</v>
      </c>
      <c r="X369" s="3">
        <v>1</v>
      </c>
      <c r="Y369" t="s">
        <v>1397</v>
      </c>
      <c r="Z369">
        <v>39891</v>
      </c>
      <c r="AA369">
        <v>0.1</v>
      </c>
      <c r="AB369">
        <v>43880.100000000006</v>
      </c>
    </row>
    <row r="370" spans="1:28" x14ac:dyDescent="0.35">
      <c r="A370" t="str">
        <f t="shared" si="30"/>
        <v>EMP0369</v>
      </c>
      <c r="B370" t="str" cm="1">
        <f t="array" ref="B370">_xlfn.IFS(
ROW()&lt;=421,"NA",
ROW()&lt;=781,"LATAM",
ROW()&lt;=1021,"EMEA",
TRUE,"APAC"
)</f>
        <v>NA</v>
      </c>
      <c r="C370" t="str">
        <f t="shared" si="31"/>
        <v>USA</v>
      </c>
      <c r="D370" t="s">
        <v>32</v>
      </c>
      <c r="E370" t="s">
        <v>145</v>
      </c>
      <c r="F370" t="s">
        <v>232</v>
      </c>
      <c r="G370" t="s">
        <v>28</v>
      </c>
      <c r="H370" s="2">
        <v>44992</v>
      </c>
      <c r="I370" t="s">
        <v>29</v>
      </c>
      <c r="J370" t="s">
        <v>33</v>
      </c>
      <c r="K370" t="str">
        <f t="shared" ca="1" si="34"/>
        <v>OK</v>
      </c>
      <c r="L370" t="s">
        <v>233</v>
      </c>
      <c r="M370">
        <v>4</v>
      </c>
      <c r="N370" s="2">
        <v>45991</v>
      </c>
      <c r="O370" s="2" t="s">
        <v>22</v>
      </c>
      <c r="P370" s="4">
        <f t="shared" ca="1" si="32"/>
        <v>2</v>
      </c>
      <c r="Q370" s="4" t="str">
        <f t="shared" ca="1" si="33"/>
        <v>0-2 Years</v>
      </c>
      <c r="R370">
        <f t="shared" ca="1" si="35"/>
        <v>1</v>
      </c>
      <c r="S370" t="s">
        <v>22</v>
      </c>
      <c r="T370">
        <v>5</v>
      </c>
      <c r="U370" t="s">
        <v>1396</v>
      </c>
      <c r="V370" t="s">
        <v>1394</v>
      </c>
      <c r="W370" t="s">
        <v>1394</v>
      </c>
      <c r="X370" s="3">
        <v>1</v>
      </c>
      <c r="Y370" t="s">
        <v>1397</v>
      </c>
      <c r="Z370">
        <v>59598</v>
      </c>
      <c r="AA370">
        <v>0.15</v>
      </c>
      <c r="AB370">
        <v>68537.7</v>
      </c>
    </row>
    <row r="371" spans="1:28" x14ac:dyDescent="0.35">
      <c r="A371" t="str">
        <f t="shared" si="30"/>
        <v>EMP0370</v>
      </c>
      <c r="B371" t="str" cm="1">
        <f t="array" ref="B371">_xlfn.IFS(
ROW()&lt;=421,"NA",
ROW()&lt;=781,"LATAM",
ROW()&lt;=1021,"EMEA",
TRUE,"APAC"
)</f>
        <v>NA</v>
      </c>
      <c r="C371" t="str">
        <f t="shared" si="31"/>
        <v>USA</v>
      </c>
      <c r="D371" t="s">
        <v>44</v>
      </c>
      <c r="E371" t="s">
        <v>380</v>
      </c>
      <c r="F371" t="s">
        <v>691</v>
      </c>
      <c r="G371" t="s">
        <v>28</v>
      </c>
      <c r="H371" s="2">
        <v>44990</v>
      </c>
      <c r="I371" t="s">
        <v>57</v>
      </c>
      <c r="J371" t="s">
        <v>47</v>
      </c>
      <c r="K371" t="str">
        <f t="shared" ca="1" si="34"/>
        <v>OK</v>
      </c>
      <c r="L371" t="s">
        <v>1264</v>
      </c>
      <c r="M371">
        <v>5</v>
      </c>
      <c r="N371" s="2">
        <v>46022</v>
      </c>
      <c r="O371" s="2">
        <v>45979</v>
      </c>
      <c r="P371" s="4">
        <f t="shared" ca="1" si="32"/>
        <v>2</v>
      </c>
      <c r="Q371" s="4" t="str">
        <f t="shared" ca="1" si="33"/>
        <v>0-2 Years</v>
      </c>
      <c r="R371">
        <f t="shared" ca="1" si="35"/>
        <v>1</v>
      </c>
      <c r="S371" t="s">
        <v>23</v>
      </c>
      <c r="T371">
        <v>3</v>
      </c>
      <c r="U371" t="s">
        <v>1394</v>
      </c>
      <c r="V371" t="s">
        <v>1396</v>
      </c>
      <c r="W371" t="s">
        <v>1394</v>
      </c>
      <c r="X371" s="3">
        <v>1</v>
      </c>
      <c r="Y371" t="s">
        <v>1397</v>
      </c>
      <c r="Z371">
        <v>42557</v>
      </c>
      <c r="AA371">
        <v>0.1</v>
      </c>
      <c r="AB371">
        <v>46812.700000000004</v>
      </c>
    </row>
    <row r="372" spans="1:28" x14ac:dyDescent="0.35">
      <c r="A372" t="str">
        <f t="shared" si="30"/>
        <v>EMP0371</v>
      </c>
      <c r="B372" t="str" cm="1">
        <f t="array" ref="B372">_xlfn.IFS(
ROW()&lt;=421,"NA",
ROW()&lt;=781,"LATAM",
ROW()&lt;=1021,"EMEA",
TRUE,"APAC"
)</f>
        <v>NA</v>
      </c>
      <c r="C372" t="str">
        <f t="shared" si="31"/>
        <v>USA</v>
      </c>
      <c r="D372" t="s">
        <v>35</v>
      </c>
      <c r="E372" t="s">
        <v>380</v>
      </c>
      <c r="F372" t="s">
        <v>492</v>
      </c>
      <c r="G372" t="s">
        <v>28</v>
      </c>
      <c r="H372" s="2">
        <v>44984</v>
      </c>
      <c r="I372" t="s">
        <v>29</v>
      </c>
      <c r="J372" t="s">
        <v>36</v>
      </c>
      <c r="K372" t="str">
        <f t="shared" ca="1" si="34"/>
        <v>OK</v>
      </c>
      <c r="L372" t="s">
        <v>1020</v>
      </c>
      <c r="M372">
        <v>5</v>
      </c>
      <c r="N372" s="2">
        <v>45995</v>
      </c>
      <c r="O372" s="2" t="s">
        <v>22</v>
      </c>
      <c r="P372" s="4">
        <f t="shared" ca="1" si="32"/>
        <v>3</v>
      </c>
      <c r="Q372" s="4" t="str">
        <f t="shared" ca="1" si="33"/>
        <v>3-5 Years</v>
      </c>
      <c r="R372">
        <f t="shared" ca="1" si="35"/>
        <v>0</v>
      </c>
      <c r="S372" t="s">
        <v>22</v>
      </c>
      <c r="T372">
        <v>2</v>
      </c>
      <c r="U372" t="s">
        <v>1394</v>
      </c>
      <c r="V372" t="s">
        <v>1394</v>
      </c>
      <c r="W372" t="s">
        <v>1394</v>
      </c>
      <c r="X372" s="3">
        <v>1</v>
      </c>
      <c r="Y372" t="s">
        <v>1397</v>
      </c>
      <c r="Z372">
        <v>32744</v>
      </c>
      <c r="AA372">
        <v>0.1</v>
      </c>
      <c r="AB372">
        <v>36018.400000000001</v>
      </c>
    </row>
    <row r="373" spans="1:28" x14ac:dyDescent="0.35">
      <c r="A373" t="str">
        <f t="shared" si="30"/>
        <v>EMP0372</v>
      </c>
      <c r="B373" t="str" cm="1">
        <f t="array" ref="B373">_xlfn.IFS(
ROW()&lt;=421,"NA",
ROW()&lt;=781,"LATAM",
ROW()&lt;=1021,"EMEA",
TRUE,"APAC"
)</f>
        <v>NA</v>
      </c>
      <c r="C373" t="str">
        <f t="shared" si="31"/>
        <v>USA</v>
      </c>
      <c r="D373" t="s">
        <v>35</v>
      </c>
      <c r="E373" t="s">
        <v>380</v>
      </c>
      <c r="F373" t="s">
        <v>621</v>
      </c>
      <c r="G373" t="s">
        <v>28</v>
      </c>
      <c r="H373" s="2">
        <v>44982</v>
      </c>
      <c r="I373" t="s">
        <v>29</v>
      </c>
      <c r="J373" t="s">
        <v>36</v>
      </c>
      <c r="K373" t="str">
        <f t="shared" ca="1" si="34"/>
        <v>OK</v>
      </c>
      <c r="L373" t="s">
        <v>1123</v>
      </c>
      <c r="M373">
        <v>5</v>
      </c>
      <c r="N373" s="2">
        <v>46038</v>
      </c>
      <c r="O373" s="2" t="s">
        <v>22</v>
      </c>
      <c r="P373" s="4">
        <f t="shared" ca="1" si="32"/>
        <v>3</v>
      </c>
      <c r="Q373" s="4" t="str">
        <f t="shared" ca="1" si="33"/>
        <v>3-5 Years</v>
      </c>
      <c r="R373">
        <f t="shared" ca="1" si="35"/>
        <v>0</v>
      </c>
      <c r="S373" t="s">
        <v>22</v>
      </c>
      <c r="T373">
        <v>5</v>
      </c>
      <c r="U373" t="s">
        <v>1394</v>
      </c>
      <c r="V373" t="s">
        <v>1394</v>
      </c>
      <c r="W373" t="s">
        <v>1394</v>
      </c>
      <c r="X373" s="3">
        <v>2</v>
      </c>
      <c r="Y373" t="s">
        <v>1397</v>
      </c>
      <c r="Z373">
        <v>33862</v>
      </c>
      <c r="AA373">
        <v>0.1</v>
      </c>
      <c r="AB373">
        <v>37248.200000000004</v>
      </c>
    </row>
    <row r="374" spans="1:28" x14ac:dyDescent="0.35">
      <c r="A374" t="str">
        <f t="shared" si="30"/>
        <v>EMP0373</v>
      </c>
      <c r="B374" t="str" cm="1">
        <f t="array" ref="B374">_xlfn.IFS(
ROW()&lt;=421,"NA",
ROW()&lt;=781,"LATAM",
ROW()&lt;=1021,"EMEA",
TRUE,"APAC"
)</f>
        <v>NA</v>
      </c>
      <c r="C374" t="str">
        <f t="shared" si="31"/>
        <v>USA</v>
      </c>
      <c r="D374" t="s">
        <v>38</v>
      </c>
      <c r="E374" t="s">
        <v>145</v>
      </c>
      <c r="F374" t="s">
        <v>196</v>
      </c>
      <c r="G374" t="s">
        <v>28</v>
      </c>
      <c r="H374" s="2">
        <v>44980</v>
      </c>
      <c r="I374" t="s">
        <v>29</v>
      </c>
      <c r="J374" t="s">
        <v>39</v>
      </c>
      <c r="K374" t="str">
        <f t="shared" ca="1" si="34"/>
        <v>OK</v>
      </c>
      <c r="L374" t="s">
        <v>235</v>
      </c>
      <c r="M374">
        <v>4</v>
      </c>
      <c r="N374" s="2">
        <v>46019</v>
      </c>
      <c r="O374" s="2" t="s">
        <v>22</v>
      </c>
      <c r="P374" s="4">
        <f t="shared" ca="1" si="32"/>
        <v>3</v>
      </c>
      <c r="Q374" s="4" t="str">
        <f t="shared" ca="1" si="33"/>
        <v>3-5 Years</v>
      </c>
      <c r="R374">
        <f t="shared" ca="1" si="35"/>
        <v>0</v>
      </c>
      <c r="S374" t="s">
        <v>22</v>
      </c>
      <c r="T374">
        <v>5</v>
      </c>
      <c r="U374" t="s">
        <v>1394</v>
      </c>
      <c r="V374" t="s">
        <v>1394</v>
      </c>
      <c r="W374" t="s">
        <v>1394</v>
      </c>
      <c r="X374" s="3">
        <v>2</v>
      </c>
      <c r="Y374" t="s">
        <v>1397</v>
      </c>
      <c r="Z374">
        <v>76552</v>
      </c>
      <c r="AA374">
        <v>0.15</v>
      </c>
      <c r="AB374">
        <v>88034.799999999988</v>
      </c>
    </row>
    <row r="375" spans="1:28" x14ac:dyDescent="0.35">
      <c r="A375" t="str">
        <f t="shared" si="30"/>
        <v>EMP0374</v>
      </c>
      <c r="B375" t="str" cm="1">
        <f t="array" ref="B375">_xlfn.IFS(
ROW()&lt;=421,"NA",
ROW()&lt;=781,"LATAM",
ROW()&lt;=1021,"EMEA",
TRUE,"APAC"
)</f>
        <v>NA</v>
      </c>
      <c r="C375" t="str">
        <f t="shared" si="31"/>
        <v>USA</v>
      </c>
      <c r="D375" t="s">
        <v>38</v>
      </c>
      <c r="E375" t="s">
        <v>380</v>
      </c>
      <c r="F375" t="s">
        <v>798</v>
      </c>
      <c r="G375" t="s">
        <v>28</v>
      </c>
      <c r="H375" s="2">
        <v>44979</v>
      </c>
      <c r="I375" t="s">
        <v>29</v>
      </c>
      <c r="J375" t="s">
        <v>39</v>
      </c>
      <c r="K375" t="str">
        <f t="shared" ca="1" si="34"/>
        <v>OK</v>
      </c>
      <c r="L375" t="s">
        <v>1325</v>
      </c>
      <c r="M375">
        <v>5</v>
      </c>
      <c r="N375" s="2">
        <v>46013</v>
      </c>
      <c r="O375" s="2" t="s">
        <v>22</v>
      </c>
      <c r="P375" s="4">
        <f t="shared" ca="1" si="32"/>
        <v>3</v>
      </c>
      <c r="Q375" s="4" t="str">
        <f t="shared" ca="1" si="33"/>
        <v>3-5 Years</v>
      </c>
      <c r="R375">
        <f t="shared" ca="1" si="35"/>
        <v>0</v>
      </c>
      <c r="S375" t="s">
        <v>22</v>
      </c>
      <c r="T375">
        <v>2</v>
      </c>
      <c r="U375" t="s">
        <v>1394</v>
      </c>
      <c r="V375" t="s">
        <v>1394</v>
      </c>
      <c r="W375" t="s">
        <v>1394</v>
      </c>
      <c r="X375" s="3">
        <v>5</v>
      </c>
      <c r="Y375" t="s">
        <v>1395</v>
      </c>
      <c r="Z375">
        <v>22826</v>
      </c>
      <c r="AA375">
        <v>0.1</v>
      </c>
      <c r="AB375">
        <v>25108.600000000002</v>
      </c>
    </row>
    <row r="376" spans="1:28" x14ac:dyDescent="0.35">
      <c r="A376" t="str">
        <f t="shared" si="30"/>
        <v>EMP0375</v>
      </c>
      <c r="B376" t="str" cm="1">
        <f t="array" ref="B376">_xlfn.IFS(
ROW()&lt;=421,"NA",
ROW()&lt;=781,"LATAM",
ROW()&lt;=1021,"EMEA",
TRUE,"APAC"
)</f>
        <v>NA</v>
      </c>
      <c r="C376" t="str">
        <f t="shared" si="31"/>
        <v>USA</v>
      </c>
      <c r="D376" t="s">
        <v>26</v>
      </c>
      <c r="E376" t="s">
        <v>380</v>
      </c>
      <c r="F376" t="s">
        <v>713</v>
      </c>
      <c r="G376" t="s">
        <v>28</v>
      </c>
      <c r="H376" s="2">
        <v>44977</v>
      </c>
      <c r="I376" t="s">
        <v>29</v>
      </c>
      <c r="J376" t="s">
        <v>30</v>
      </c>
      <c r="K376" t="str">
        <f t="shared" ca="1" si="34"/>
        <v>OK</v>
      </c>
      <c r="L376" t="s">
        <v>1245</v>
      </c>
      <c r="M376">
        <v>5</v>
      </c>
      <c r="N376" s="2">
        <v>46030</v>
      </c>
      <c r="O376" s="2" t="s">
        <v>22</v>
      </c>
      <c r="P376" s="4">
        <f t="shared" ca="1" si="32"/>
        <v>3</v>
      </c>
      <c r="Q376" s="4" t="str">
        <f t="shared" ca="1" si="33"/>
        <v>3-5 Years</v>
      </c>
      <c r="R376">
        <f t="shared" ca="1" si="35"/>
        <v>0</v>
      </c>
      <c r="S376" t="s">
        <v>22</v>
      </c>
      <c r="T376">
        <v>4</v>
      </c>
      <c r="U376" t="s">
        <v>1394</v>
      </c>
      <c r="V376" t="s">
        <v>1396</v>
      </c>
      <c r="W376" t="s">
        <v>1394</v>
      </c>
      <c r="X376" s="3">
        <v>4</v>
      </c>
      <c r="Y376" t="s">
        <v>1395</v>
      </c>
      <c r="Z376">
        <v>30290</v>
      </c>
      <c r="AA376">
        <v>0.1</v>
      </c>
      <c r="AB376">
        <v>33319</v>
      </c>
    </row>
    <row r="377" spans="1:28" x14ac:dyDescent="0.35">
      <c r="A377" t="str">
        <f t="shared" si="30"/>
        <v>EMP0376</v>
      </c>
      <c r="B377" t="str" cm="1">
        <f t="array" ref="B377">_xlfn.IFS(
ROW()&lt;=421,"NA",
ROW()&lt;=781,"LATAM",
ROW()&lt;=1021,"EMEA",
TRUE,"APAC"
)</f>
        <v>NA</v>
      </c>
      <c r="C377" t="str">
        <f t="shared" si="31"/>
        <v>USA</v>
      </c>
      <c r="D377" t="s">
        <v>26</v>
      </c>
      <c r="E377" t="s">
        <v>145</v>
      </c>
      <c r="F377" t="s">
        <v>192</v>
      </c>
      <c r="G377" t="s">
        <v>28</v>
      </c>
      <c r="H377" s="2">
        <v>44971</v>
      </c>
      <c r="I377" t="s">
        <v>57</v>
      </c>
      <c r="J377" t="s">
        <v>30</v>
      </c>
      <c r="K377" t="str">
        <f t="shared" ca="1" si="34"/>
        <v>OK</v>
      </c>
      <c r="L377" t="s">
        <v>305</v>
      </c>
      <c r="M377">
        <v>4</v>
      </c>
      <c r="N377" s="2">
        <v>46062</v>
      </c>
      <c r="O377" s="2">
        <v>46071</v>
      </c>
      <c r="P377" s="4">
        <f t="shared" ca="1" si="32"/>
        <v>3</v>
      </c>
      <c r="Q377" s="4" t="str">
        <f t="shared" ca="1" si="33"/>
        <v>3-5 Years</v>
      </c>
      <c r="R377">
        <f t="shared" ca="1" si="35"/>
        <v>0</v>
      </c>
      <c r="S377" t="s">
        <v>23</v>
      </c>
      <c r="T377">
        <v>4</v>
      </c>
      <c r="U377" t="s">
        <v>1394</v>
      </c>
      <c r="V377" t="s">
        <v>1394</v>
      </c>
      <c r="W377" t="s">
        <v>1394</v>
      </c>
      <c r="X377" s="3">
        <v>5</v>
      </c>
      <c r="Y377" t="s">
        <v>1395</v>
      </c>
      <c r="Z377">
        <v>60527</v>
      </c>
      <c r="AA377">
        <v>0.15</v>
      </c>
      <c r="AB377">
        <v>69606.049999999988</v>
      </c>
    </row>
    <row r="378" spans="1:28" x14ac:dyDescent="0.35">
      <c r="A378" t="str">
        <f t="shared" si="30"/>
        <v>EMP0377</v>
      </c>
      <c r="B378" t="str" cm="1">
        <f t="array" ref="B378">_xlfn.IFS(
ROW()&lt;=421,"NA",
ROW()&lt;=781,"LATAM",
ROW()&lt;=1021,"EMEA",
TRUE,"APAC"
)</f>
        <v>NA</v>
      </c>
      <c r="C378" t="str">
        <f t="shared" si="31"/>
        <v>USA</v>
      </c>
      <c r="D378" t="s">
        <v>44</v>
      </c>
      <c r="E378" t="s">
        <v>145</v>
      </c>
      <c r="F378" t="s">
        <v>150</v>
      </c>
      <c r="G378" t="s">
        <v>53</v>
      </c>
      <c r="H378" s="2">
        <v>44966</v>
      </c>
      <c r="I378" t="s">
        <v>29</v>
      </c>
      <c r="J378" t="s">
        <v>47</v>
      </c>
      <c r="K378" t="str">
        <f t="shared" ca="1" si="34"/>
        <v>OK</v>
      </c>
      <c r="L378" t="s">
        <v>238</v>
      </c>
      <c r="M378">
        <v>4</v>
      </c>
      <c r="N378" s="2">
        <v>45996</v>
      </c>
      <c r="O378" s="2" t="s">
        <v>22</v>
      </c>
      <c r="P378" s="4">
        <f t="shared" ca="1" si="32"/>
        <v>3</v>
      </c>
      <c r="Q378" s="4" t="str">
        <f t="shared" ca="1" si="33"/>
        <v>3-5 Years</v>
      </c>
      <c r="R378">
        <f t="shared" ca="1" si="35"/>
        <v>0</v>
      </c>
      <c r="S378" t="s">
        <v>22</v>
      </c>
      <c r="T378">
        <v>3</v>
      </c>
      <c r="U378" t="s">
        <v>1394</v>
      </c>
      <c r="V378" t="s">
        <v>1394</v>
      </c>
      <c r="W378" t="s">
        <v>1394</v>
      </c>
      <c r="X378" s="3">
        <v>3</v>
      </c>
      <c r="Y378" t="s">
        <v>1398</v>
      </c>
      <c r="Z378">
        <v>74434</v>
      </c>
      <c r="AA378">
        <v>0.15</v>
      </c>
      <c r="AB378">
        <v>85599.099999999991</v>
      </c>
    </row>
    <row r="379" spans="1:28" x14ac:dyDescent="0.35">
      <c r="A379" t="str">
        <f t="shared" si="30"/>
        <v>EMP0378</v>
      </c>
      <c r="B379" t="str" cm="1">
        <f t="array" ref="B379">_xlfn.IFS(
ROW()&lt;=421,"NA",
ROW()&lt;=781,"LATAM",
ROW()&lt;=1021,"EMEA",
TRUE,"APAC"
)</f>
        <v>NA</v>
      </c>
      <c r="C379" t="str">
        <f t="shared" si="31"/>
        <v>USA</v>
      </c>
      <c r="D379" t="s">
        <v>41</v>
      </c>
      <c r="E379" t="s">
        <v>380</v>
      </c>
      <c r="F379" t="s">
        <v>786</v>
      </c>
      <c r="G379" t="s">
        <v>28</v>
      </c>
      <c r="H379" s="2">
        <v>44966</v>
      </c>
      <c r="I379" t="s">
        <v>29</v>
      </c>
      <c r="J379" t="s">
        <v>42</v>
      </c>
      <c r="K379" t="str">
        <f t="shared" ca="1" si="34"/>
        <v>OK</v>
      </c>
      <c r="L379" t="s">
        <v>1321</v>
      </c>
      <c r="M379">
        <v>5</v>
      </c>
      <c r="N379" s="2">
        <v>45995</v>
      </c>
      <c r="O379" s="2" t="s">
        <v>22</v>
      </c>
      <c r="P379" s="4">
        <f t="shared" ca="1" si="32"/>
        <v>3</v>
      </c>
      <c r="Q379" s="4" t="str">
        <f t="shared" ca="1" si="33"/>
        <v>3-5 Years</v>
      </c>
      <c r="R379">
        <f t="shared" ca="1" si="35"/>
        <v>0</v>
      </c>
      <c r="S379" t="s">
        <v>22</v>
      </c>
      <c r="T379">
        <v>4</v>
      </c>
      <c r="U379" t="s">
        <v>1394</v>
      </c>
      <c r="V379" t="s">
        <v>1394</v>
      </c>
      <c r="W379" t="s">
        <v>1394</v>
      </c>
      <c r="X379" s="3">
        <v>1</v>
      </c>
      <c r="Y379" t="s">
        <v>1397</v>
      </c>
      <c r="Z379">
        <v>36114</v>
      </c>
      <c r="AA379">
        <v>0.1</v>
      </c>
      <c r="AB379">
        <v>39725.4</v>
      </c>
    </row>
    <row r="380" spans="1:28" x14ac:dyDescent="0.35">
      <c r="A380" t="str">
        <f t="shared" si="30"/>
        <v>EMP0379</v>
      </c>
      <c r="B380" t="str" cm="1">
        <f t="array" ref="B380">_xlfn.IFS(
ROW()&lt;=421,"NA",
ROW()&lt;=781,"LATAM",
ROW()&lt;=1021,"EMEA",
TRUE,"APAC"
)</f>
        <v>NA</v>
      </c>
      <c r="C380" t="str">
        <f t="shared" si="31"/>
        <v>USA</v>
      </c>
      <c r="D380" t="s">
        <v>41</v>
      </c>
      <c r="E380" t="s">
        <v>145</v>
      </c>
      <c r="F380" t="s">
        <v>282</v>
      </c>
      <c r="G380" t="s">
        <v>28</v>
      </c>
      <c r="H380" s="2">
        <v>44964</v>
      </c>
      <c r="I380" t="s">
        <v>29</v>
      </c>
      <c r="J380" t="s">
        <v>42</v>
      </c>
      <c r="K380" t="str">
        <f t="shared" ca="1" si="34"/>
        <v>OK</v>
      </c>
      <c r="L380" t="s">
        <v>213</v>
      </c>
      <c r="M380">
        <v>4</v>
      </c>
      <c r="N380" s="2">
        <v>45989</v>
      </c>
      <c r="O380" s="2" t="s">
        <v>22</v>
      </c>
      <c r="P380" s="4">
        <f t="shared" ca="1" si="32"/>
        <v>3</v>
      </c>
      <c r="Q380" s="4" t="str">
        <f t="shared" ca="1" si="33"/>
        <v>3-5 Years</v>
      </c>
      <c r="R380">
        <f t="shared" ca="1" si="35"/>
        <v>0</v>
      </c>
      <c r="S380" t="s">
        <v>22</v>
      </c>
      <c r="T380">
        <v>3</v>
      </c>
      <c r="U380" t="s">
        <v>1394</v>
      </c>
      <c r="V380" t="s">
        <v>1394</v>
      </c>
      <c r="W380" t="s">
        <v>1394</v>
      </c>
      <c r="X380" s="3">
        <v>3</v>
      </c>
      <c r="Y380" t="s">
        <v>1398</v>
      </c>
      <c r="Z380">
        <v>52643</v>
      </c>
      <c r="AA380">
        <v>0.15</v>
      </c>
      <c r="AB380">
        <v>60539.45</v>
      </c>
    </row>
    <row r="381" spans="1:28" x14ac:dyDescent="0.35">
      <c r="A381" t="str">
        <f t="shared" si="30"/>
        <v>EMP0380</v>
      </c>
      <c r="B381" t="str" cm="1">
        <f t="array" ref="B381">_xlfn.IFS(
ROW()&lt;=421,"NA",
ROW()&lt;=781,"LATAM",
ROW()&lt;=1021,"EMEA",
TRUE,"APAC"
)</f>
        <v>NA</v>
      </c>
      <c r="C381" t="str">
        <f t="shared" si="31"/>
        <v>USA</v>
      </c>
      <c r="D381" t="s">
        <v>41</v>
      </c>
      <c r="E381" t="s">
        <v>380</v>
      </c>
      <c r="F381" t="s">
        <v>482</v>
      </c>
      <c r="G381" t="s">
        <v>28</v>
      </c>
      <c r="H381" s="2">
        <v>44964</v>
      </c>
      <c r="I381" t="s">
        <v>29</v>
      </c>
      <c r="J381" t="s">
        <v>42</v>
      </c>
      <c r="K381" t="str">
        <f t="shared" ca="1" si="34"/>
        <v>OK</v>
      </c>
      <c r="L381" t="s">
        <v>483</v>
      </c>
      <c r="M381">
        <v>5</v>
      </c>
      <c r="N381" s="2">
        <v>46058</v>
      </c>
      <c r="O381" s="2" t="s">
        <v>22</v>
      </c>
      <c r="P381" s="4">
        <f t="shared" ca="1" si="32"/>
        <v>3</v>
      </c>
      <c r="Q381" s="4" t="str">
        <f t="shared" ca="1" si="33"/>
        <v>3-5 Years</v>
      </c>
      <c r="R381">
        <f t="shared" ca="1" si="35"/>
        <v>0</v>
      </c>
      <c r="S381" t="s">
        <v>22</v>
      </c>
      <c r="T381">
        <v>4</v>
      </c>
      <c r="U381" t="s">
        <v>1394</v>
      </c>
      <c r="V381" t="s">
        <v>1394</v>
      </c>
      <c r="W381" t="s">
        <v>1394</v>
      </c>
      <c r="X381" s="3">
        <v>3</v>
      </c>
      <c r="Y381" t="s">
        <v>1398</v>
      </c>
      <c r="Z381">
        <v>31318</v>
      </c>
      <c r="AA381">
        <v>0.1</v>
      </c>
      <c r="AB381">
        <v>34449.800000000003</v>
      </c>
    </row>
    <row r="382" spans="1:28" x14ac:dyDescent="0.35">
      <c r="A382" t="str">
        <f t="shared" si="30"/>
        <v>EMP0381</v>
      </c>
      <c r="B382" t="str" cm="1">
        <f t="array" ref="B382">_xlfn.IFS(
ROW()&lt;=421,"NA",
ROW()&lt;=781,"LATAM",
ROW()&lt;=1021,"EMEA",
TRUE,"APAC"
)</f>
        <v>NA</v>
      </c>
      <c r="C382" t="str">
        <f t="shared" si="31"/>
        <v>USA</v>
      </c>
      <c r="E382" t="s">
        <v>380</v>
      </c>
      <c r="F382" t="s">
        <v>713</v>
      </c>
      <c r="G382" t="s">
        <v>53</v>
      </c>
      <c r="H382" s="2">
        <v>44964</v>
      </c>
      <c r="I382" t="s">
        <v>29</v>
      </c>
      <c r="J382" t="s">
        <v>42</v>
      </c>
      <c r="K382" t="str">
        <f t="shared" ca="1" si="34"/>
        <v>⚠ Review</v>
      </c>
      <c r="L382" t="s">
        <v>714</v>
      </c>
      <c r="M382">
        <v>5</v>
      </c>
      <c r="N382" s="2">
        <v>46009</v>
      </c>
      <c r="O382" s="2" t="s">
        <v>22</v>
      </c>
      <c r="P382" s="4">
        <f t="shared" ca="1" si="32"/>
        <v>3</v>
      </c>
      <c r="Q382" s="4" t="str">
        <f t="shared" ca="1" si="33"/>
        <v>3-5 Years</v>
      </c>
      <c r="R382">
        <f t="shared" ca="1" si="35"/>
        <v>0</v>
      </c>
      <c r="S382" t="s">
        <v>22</v>
      </c>
      <c r="T382">
        <v>4</v>
      </c>
      <c r="U382" t="s">
        <v>1394</v>
      </c>
      <c r="V382" t="s">
        <v>1396</v>
      </c>
      <c r="W382" t="s">
        <v>1394</v>
      </c>
      <c r="X382" s="3">
        <v>2</v>
      </c>
      <c r="Y382" t="s">
        <v>1397</v>
      </c>
      <c r="Z382">
        <v>31004</v>
      </c>
      <c r="AA382">
        <v>0.1</v>
      </c>
      <c r="AB382">
        <v>34104.400000000001</v>
      </c>
    </row>
    <row r="383" spans="1:28" x14ac:dyDescent="0.35">
      <c r="A383" t="str">
        <f t="shared" si="30"/>
        <v>EMP0382</v>
      </c>
      <c r="B383" t="str" cm="1">
        <f t="array" ref="B383">_xlfn.IFS(
ROW()&lt;=421,"NA",
ROW()&lt;=781,"LATAM",
ROW()&lt;=1021,"EMEA",
TRUE,"APAC"
)</f>
        <v>NA</v>
      </c>
      <c r="C383" t="str">
        <f t="shared" si="31"/>
        <v>USA</v>
      </c>
      <c r="D383" t="s">
        <v>41</v>
      </c>
      <c r="E383" t="s">
        <v>380</v>
      </c>
      <c r="F383" t="s">
        <v>420</v>
      </c>
      <c r="G383" t="s">
        <v>28</v>
      </c>
      <c r="H383" s="2">
        <v>44960</v>
      </c>
      <c r="I383" t="s">
        <v>29</v>
      </c>
      <c r="J383" t="s">
        <v>42</v>
      </c>
      <c r="K383" t="str">
        <f t="shared" ca="1" si="34"/>
        <v>OK</v>
      </c>
      <c r="L383" t="s">
        <v>640</v>
      </c>
      <c r="M383">
        <v>5</v>
      </c>
      <c r="N383" s="2">
        <v>46048</v>
      </c>
      <c r="O383" s="2" t="s">
        <v>22</v>
      </c>
      <c r="P383" s="4">
        <f t="shared" ca="1" si="32"/>
        <v>3</v>
      </c>
      <c r="Q383" s="4" t="str">
        <f t="shared" ca="1" si="33"/>
        <v>3-5 Years</v>
      </c>
      <c r="R383">
        <f t="shared" ca="1" si="35"/>
        <v>0</v>
      </c>
      <c r="S383" t="s">
        <v>22</v>
      </c>
      <c r="T383">
        <v>2</v>
      </c>
      <c r="U383" t="s">
        <v>1396</v>
      </c>
      <c r="V383" t="s">
        <v>1394</v>
      </c>
      <c r="W383" t="s">
        <v>1394</v>
      </c>
      <c r="X383" s="3">
        <v>3</v>
      </c>
      <c r="Y383" t="s">
        <v>1398</v>
      </c>
      <c r="Z383">
        <v>32962</v>
      </c>
      <c r="AA383">
        <v>0.1</v>
      </c>
      <c r="AB383">
        <v>36258.200000000004</v>
      </c>
    </row>
    <row r="384" spans="1:28" x14ac:dyDescent="0.35">
      <c r="A384" t="str">
        <f t="shared" si="30"/>
        <v>EMP0383</v>
      </c>
      <c r="B384" t="str" cm="1">
        <f t="array" ref="B384">_xlfn.IFS(
ROW()&lt;=421,"NA",
ROW()&lt;=781,"LATAM",
ROW()&lt;=1021,"EMEA",
TRUE,"APAC"
)</f>
        <v>NA</v>
      </c>
      <c r="C384" t="str">
        <f t="shared" si="31"/>
        <v>USA</v>
      </c>
      <c r="D384" t="s">
        <v>26</v>
      </c>
      <c r="E384" t="s">
        <v>145</v>
      </c>
      <c r="F384" t="s">
        <v>156</v>
      </c>
      <c r="G384" t="s">
        <v>28</v>
      </c>
      <c r="H384" s="2">
        <v>44959</v>
      </c>
      <c r="I384" t="s">
        <v>29</v>
      </c>
      <c r="J384" t="s">
        <v>30</v>
      </c>
      <c r="K384" t="str">
        <f t="shared" ca="1" si="34"/>
        <v>OK</v>
      </c>
      <c r="L384" t="s">
        <v>335</v>
      </c>
      <c r="M384">
        <v>4</v>
      </c>
      <c r="N384" s="2">
        <v>45994</v>
      </c>
      <c r="O384" s="2" t="s">
        <v>22</v>
      </c>
      <c r="P384" s="4">
        <f t="shared" ca="1" si="32"/>
        <v>3</v>
      </c>
      <c r="Q384" s="4" t="str">
        <f t="shared" ca="1" si="33"/>
        <v>3-5 Years</v>
      </c>
      <c r="R384">
        <f t="shared" ca="1" si="35"/>
        <v>0</v>
      </c>
      <c r="S384" t="s">
        <v>22</v>
      </c>
      <c r="T384">
        <v>2</v>
      </c>
      <c r="U384" t="s">
        <v>1394</v>
      </c>
      <c r="V384" t="s">
        <v>1394</v>
      </c>
      <c r="W384" t="s">
        <v>1394</v>
      </c>
      <c r="X384" s="3">
        <v>5</v>
      </c>
      <c r="Y384" t="s">
        <v>1395</v>
      </c>
      <c r="Z384">
        <v>87564</v>
      </c>
      <c r="AA384">
        <v>0.15</v>
      </c>
      <c r="AB384">
        <v>100698.59999999999</v>
      </c>
    </row>
    <row r="385" spans="1:28" x14ac:dyDescent="0.35">
      <c r="A385" t="str">
        <f t="shared" si="30"/>
        <v>EMP0384</v>
      </c>
      <c r="B385" t="str" cm="1">
        <f t="array" ref="B385">_xlfn.IFS(
ROW()&lt;=421,"NA",
ROW()&lt;=781,"LATAM",
ROW()&lt;=1021,"EMEA",
TRUE,"APAC"
)</f>
        <v>NA</v>
      </c>
      <c r="C385" t="str">
        <f t="shared" si="31"/>
        <v>USA</v>
      </c>
      <c r="D385" t="s">
        <v>44</v>
      </c>
      <c r="E385" t="s">
        <v>380</v>
      </c>
      <c r="F385" t="s">
        <v>895</v>
      </c>
      <c r="G385" t="s">
        <v>28</v>
      </c>
      <c r="H385" s="2">
        <v>44950</v>
      </c>
      <c r="I385" t="s">
        <v>29</v>
      </c>
      <c r="J385" t="s">
        <v>47</v>
      </c>
      <c r="K385" t="str">
        <f t="shared" ca="1" si="34"/>
        <v>OK</v>
      </c>
      <c r="L385" t="s">
        <v>1083</v>
      </c>
      <c r="M385">
        <v>5</v>
      </c>
      <c r="N385" s="2">
        <v>46039</v>
      </c>
      <c r="O385" s="2" t="s">
        <v>22</v>
      </c>
      <c r="P385" s="4">
        <f t="shared" ca="1" si="32"/>
        <v>3</v>
      </c>
      <c r="Q385" s="4" t="str">
        <f t="shared" ca="1" si="33"/>
        <v>3-5 Years</v>
      </c>
      <c r="R385">
        <f t="shared" ca="1" si="35"/>
        <v>0</v>
      </c>
      <c r="S385" t="s">
        <v>22</v>
      </c>
      <c r="T385">
        <v>2</v>
      </c>
      <c r="U385" t="s">
        <v>1394</v>
      </c>
      <c r="V385" t="s">
        <v>1394</v>
      </c>
      <c r="W385" t="s">
        <v>1394</v>
      </c>
      <c r="X385" s="3">
        <v>4</v>
      </c>
      <c r="Y385" t="s">
        <v>1395</v>
      </c>
      <c r="Z385">
        <v>39795</v>
      </c>
      <c r="AA385">
        <v>0.1</v>
      </c>
      <c r="AB385">
        <v>43774.5</v>
      </c>
    </row>
    <row r="386" spans="1:28" x14ac:dyDescent="0.35">
      <c r="A386" t="str">
        <f t="shared" ref="A386:A449" si="36">"EMP"&amp;TEXT(ROW()-1,"0000")</f>
        <v>EMP0385</v>
      </c>
      <c r="B386" t="str" cm="1">
        <f t="array" ref="B386">_xlfn.IFS(
ROW()&lt;=421,"NA",
ROW()&lt;=781,"LATAM",
ROW()&lt;=1021,"EMEA",
TRUE,"APAC"
)</f>
        <v>NA</v>
      </c>
      <c r="C386" t="str">
        <f t="shared" ref="C386:C449" si="37">IF(B386="NA","USA",
IF(B386="LATAM","Mexico",
IF(B386="EMEA","Germany","Singapore")))</f>
        <v>USA</v>
      </c>
      <c r="D386" t="s">
        <v>38</v>
      </c>
      <c r="E386" t="s">
        <v>69</v>
      </c>
      <c r="F386" t="s">
        <v>79</v>
      </c>
      <c r="G386" t="s">
        <v>28</v>
      </c>
      <c r="H386" s="2">
        <v>44949</v>
      </c>
      <c r="I386" t="s">
        <v>29</v>
      </c>
      <c r="J386" t="s">
        <v>39</v>
      </c>
      <c r="K386" t="str">
        <f t="shared" ca="1" si="34"/>
        <v>OK</v>
      </c>
      <c r="L386" t="s">
        <v>83</v>
      </c>
      <c r="M386">
        <v>3</v>
      </c>
      <c r="N386" s="2">
        <v>46033</v>
      </c>
      <c r="O386" s="2" t="s">
        <v>22</v>
      </c>
      <c r="P386" s="4">
        <f t="shared" ref="P386:P449" ca="1" si="38">IF(H386&gt;TODAY(),
"",
IF(I386="Active",
DATEDIF(H386,TODAY(),"Y"),
DATEDIF(H386,O386,"Y")
))</f>
        <v>3</v>
      </c>
      <c r="Q386" s="4" t="str">
        <f t="shared" ref="Q386:Q449" ca="1" si="39">IF(P386&lt;=2,"0-2 Years",
IF(P386&lt;=5,"3-5 Years",
IF(P386&lt;=10,"6-10 Years","10+ Years")))</f>
        <v>3-5 Years</v>
      </c>
      <c r="R386">
        <f t="shared" ca="1" si="35"/>
        <v>0</v>
      </c>
      <c r="S386" t="s">
        <v>22</v>
      </c>
      <c r="T386">
        <v>3</v>
      </c>
      <c r="U386" t="s">
        <v>1394</v>
      </c>
      <c r="V386" t="s">
        <v>1394</v>
      </c>
      <c r="W386" t="s">
        <v>1394</v>
      </c>
      <c r="X386" s="3">
        <v>2</v>
      </c>
      <c r="Y386" t="s">
        <v>1397</v>
      </c>
      <c r="Z386">
        <v>131161</v>
      </c>
      <c r="AA386">
        <v>0.2</v>
      </c>
      <c r="AB386">
        <v>157393.19999999998</v>
      </c>
    </row>
    <row r="387" spans="1:28" x14ac:dyDescent="0.35">
      <c r="A387" t="str">
        <f t="shared" si="36"/>
        <v>EMP0386</v>
      </c>
      <c r="B387" t="str" cm="1">
        <f t="array" ref="B387">_xlfn.IFS(
ROW()&lt;=421,"NA",
ROW()&lt;=781,"LATAM",
ROW()&lt;=1021,"EMEA",
TRUE,"APAC"
)</f>
        <v>NA</v>
      </c>
      <c r="C387" t="str">
        <f t="shared" si="37"/>
        <v>USA</v>
      </c>
      <c r="D387" t="s">
        <v>38</v>
      </c>
      <c r="E387" t="s">
        <v>145</v>
      </c>
      <c r="F387" t="s">
        <v>324</v>
      </c>
      <c r="G387" t="s">
        <v>28</v>
      </c>
      <c r="H387" s="2">
        <v>44941</v>
      </c>
      <c r="I387" t="s">
        <v>29</v>
      </c>
      <c r="J387" t="s">
        <v>39</v>
      </c>
      <c r="K387" t="str">
        <f t="shared" ref="K387:K450" ca="1" si="40">IF(
OR(
H387="",
I387="",
AND(I387="Inactive",O387=""),
H387&gt;TODAY(),
Z387="",
F387="",
D387="",
X387&lt;1
),
"⚠ Review",
"OK"
)</f>
        <v>OK</v>
      </c>
      <c r="L387" t="s">
        <v>325</v>
      </c>
      <c r="M387">
        <v>4</v>
      </c>
      <c r="N387" s="2">
        <v>46005</v>
      </c>
      <c r="O387" s="2" t="s">
        <v>22</v>
      </c>
      <c r="P387" s="4">
        <f t="shared" ca="1" si="38"/>
        <v>3</v>
      </c>
      <c r="Q387" s="4" t="str">
        <f t="shared" ca="1" si="39"/>
        <v>3-5 Years</v>
      </c>
      <c r="R387">
        <f t="shared" ref="R387:R450" ca="1" si="41">IF(P387&lt;=2,1,0)</f>
        <v>0</v>
      </c>
      <c r="S387" t="s">
        <v>22</v>
      </c>
      <c r="T387">
        <v>3</v>
      </c>
      <c r="U387" t="s">
        <v>1394</v>
      </c>
      <c r="V387" t="s">
        <v>1396</v>
      </c>
      <c r="W387" t="s">
        <v>1396</v>
      </c>
      <c r="X387" s="3">
        <v>1</v>
      </c>
      <c r="Y387" t="s">
        <v>1397</v>
      </c>
      <c r="Z387">
        <v>66132</v>
      </c>
      <c r="AA387">
        <v>0.15</v>
      </c>
      <c r="AB387">
        <v>76051.799999999988</v>
      </c>
    </row>
    <row r="388" spans="1:28" x14ac:dyDescent="0.35">
      <c r="A388" t="str">
        <f t="shared" si="36"/>
        <v>EMP0387</v>
      </c>
      <c r="B388" t="str" cm="1">
        <f t="array" ref="B388">_xlfn.IFS(
ROW()&lt;=421,"NA",
ROW()&lt;=781,"LATAM",
ROW()&lt;=1021,"EMEA",
TRUE,"APAC"
)</f>
        <v>NA</v>
      </c>
      <c r="C388" t="str">
        <f t="shared" si="37"/>
        <v>USA</v>
      </c>
      <c r="D388" t="s">
        <v>26</v>
      </c>
      <c r="E388" t="s">
        <v>380</v>
      </c>
      <c r="F388" t="s">
        <v>575</v>
      </c>
      <c r="G388" t="s">
        <v>28</v>
      </c>
      <c r="H388" s="2">
        <v>44941</v>
      </c>
      <c r="I388" t="s">
        <v>29</v>
      </c>
      <c r="J388" t="s">
        <v>30</v>
      </c>
      <c r="K388" t="str">
        <f t="shared" ca="1" si="40"/>
        <v>OK</v>
      </c>
      <c r="L388" t="s">
        <v>1230</v>
      </c>
      <c r="M388">
        <v>5</v>
      </c>
      <c r="N388" s="2">
        <v>46028</v>
      </c>
      <c r="O388" s="2" t="s">
        <v>22</v>
      </c>
      <c r="P388" s="4">
        <f t="shared" ca="1" si="38"/>
        <v>3</v>
      </c>
      <c r="Q388" s="4" t="str">
        <f t="shared" ca="1" si="39"/>
        <v>3-5 Years</v>
      </c>
      <c r="R388">
        <f t="shared" ca="1" si="41"/>
        <v>0</v>
      </c>
      <c r="S388" t="s">
        <v>22</v>
      </c>
      <c r="T388">
        <v>4</v>
      </c>
      <c r="U388" t="s">
        <v>1394</v>
      </c>
      <c r="V388" t="s">
        <v>1394</v>
      </c>
      <c r="W388" t="s">
        <v>1394</v>
      </c>
      <c r="X388" s="3">
        <v>2</v>
      </c>
      <c r="Y388" t="s">
        <v>1397</v>
      </c>
      <c r="Z388">
        <v>37392</v>
      </c>
      <c r="AA388">
        <v>0.1</v>
      </c>
      <c r="AB388">
        <v>41131.200000000004</v>
      </c>
    </row>
    <row r="389" spans="1:28" x14ac:dyDescent="0.35">
      <c r="A389" t="str">
        <f t="shared" si="36"/>
        <v>EMP0388</v>
      </c>
      <c r="B389" t="str" cm="1">
        <f t="array" ref="B389">_xlfn.IFS(
ROW()&lt;=421,"NA",
ROW()&lt;=781,"LATAM",
ROW()&lt;=1021,"EMEA",
TRUE,"APAC"
)</f>
        <v>NA</v>
      </c>
      <c r="C389" t="str">
        <f t="shared" si="37"/>
        <v>USA</v>
      </c>
      <c r="D389" t="s">
        <v>32</v>
      </c>
      <c r="E389" t="s">
        <v>380</v>
      </c>
      <c r="F389" t="s">
        <v>854</v>
      </c>
      <c r="G389" t="s">
        <v>28</v>
      </c>
      <c r="H389" s="2">
        <v>44936</v>
      </c>
      <c r="I389" t="s">
        <v>29</v>
      </c>
      <c r="J389" t="s">
        <v>33</v>
      </c>
      <c r="K389" t="str">
        <f t="shared" ca="1" si="40"/>
        <v>OK</v>
      </c>
      <c r="L389" t="s">
        <v>1339</v>
      </c>
      <c r="M389">
        <v>5</v>
      </c>
      <c r="N389" s="2">
        <v>45993</v>
      </c>
      <c r="O389" s="2" t="s">
        <v>22</v>
      </c>
      <c r="P389" s="4">
        <f t="shared" ca="1" si="38"/>
        <v>3</v>
      </c>
      <c r="Q389" s="4" t="str">
        <f t="shared" ca="1" si="39"/>
        <v>3-5 Years</v>
      </c>
      <c r="R389">
        <f t="shared" ca="1" si="41"/>
        <v>0</v>
      </c>
      <c r="S389" t="s">
        <v>22</v>
      </c>
      <c r="T389">
        <v>2</v>
      </c>
      <c r="U389" t="s">
        <v>1396</v>
      </c>
      <c r="V389" t="s">
        <v>1394</v>
      </c>
      <c r="W389" t="s">
        <v>1394</v>
      </c>
      <c r="X389" s="3">
        <v>5</v>
      </c>
      <c r="Y389" t="s">
        <v>1395</v>
      </c>
      <c r="Z389">
        <v>25673</v>
      </c>
      <c r="AA389">
        <v>0.1</v>
      </c>
      <c r="AB389">
        <v>28240.300000000003</v>
      </c>
    </row>
    <row r="390" spans="1:28" x14ac:dyDescent="0.35">
      <c r="A390" t="str">
        <f t="shared" si="36"/>
        <v>EMP0389</v>
      </c>
      <c r="B390" t="str" cm="1">
        <f t="array" ref="B390">_xlfn.IFS(
ROW()&lt;=421,"NA",
ROW()&lt;=781,"LATAM",
ROW()&lt;=1021,"EMEA",
TRUE,"APAC"
)</f>
        <v>NA</v>
      </c>
      <c r="C390" t="str">
        <f t="shared" si="37"/>
        <v>USA</v>
      </c>
      <c r="D390" t="s">
        <v>41</v>
      </c>
      <c r="E390" t="s">
        <v>380</v>
      </c>
      <c r="F390" t="s">
        <v>479</v>
      </c>
      <c r="G390" t="s">
        <v>28</v>
      </c>
      <c r="H390" s="2">
        <v>44935</v>
      </c>
      <c r="I390" t="s">
        <v>29</v>
      </c>
      <c r="J390" t="s">
        <v>42</v>
      </c>
      <c r="K390" t="str">
        <f t="shared" ca="1" si="40"/>
        <v>OK</v>
      </c>
      <c r="L390" t="s">
        <v>830</v>
      </c>
      <c r="M390">
        <v>5</v>
      </c>
      <c r="N390" s="2">
        <v>45992</v>
      </c>
      <c r="O390" s="2" t="s">
        <v>22</v>
      </c>
      <c r="P390" s="4">
        <f t="shared" ca="1" si="38"/>
        <v>3</v>
      </c>
      <c r="Q390" s="4" t="str">
        <f t="shared" ca="1" si="39"/>
        <v>3-5 Years</v>
      </c>
      <c r="R390">
        <f t="shared" ca="1" si="41"/>
        <v>0</v>
      </c>
      <c r="S390" t="s">
        <v>22</v>
      </c>
      <c r="T390">
        <v>3</v>
      </c>
      <c r="U390" t="s">
        <v>1394</v>
      </c>
      <c r="V390" t="s">
        <v>1394</v>
      </c>
      <c r="W390" t="s">
        <v>1394</v>
      </c>
      <c r="X390" s="3">
        <v>1</v>
      </c>
      <c r="Y390" t="s">
        <v>1397</v>
      </c>
      <c r="Z390">
        <v>28232</v>
      </c>
      <c r="AA390">
        <v>0.1</v>
      </c>
      <c r="AB390">
        <v>31055.200000000001</v>
      </c>
    </row>
    <row r="391" spans="1:28" x14ac:dyDescent="0.35">
      <c r="A391" t="str">
        <f t="shared" si="36"/>
        <v>EMP0390</v>
      </c>
      <c r="B391" t="str" cm="1">
        <f t="array" ref="B391">_xlfn.IFS(
ROW()&lt;=421,"NA",
ROW()&lt;=781,"LATAM",
ROW()&lt;=1021,"EMEA",
TRUE,"APAC"
)</f>
        <v>NA</v>
      </c>
      <c r="C391" t="str">
        <f t="shared" si="37"/>
        <v>USA</v>
      </c>
      <c r="D391" t="s">
        <v>44</v>
      </c>
      <c r="E391" t="s">
        <v>380</v>
      </c>
      <c r="F391" t="s">
        <v>474</v>
      </c>
      <c r="G391" t="s">
        <v>53</v>
      </c>
      <c r="H391" s="2">
        <v>44933</v>
      </c>
      <c r="I391" t="s">
        <v>29</v>
      </c>
      <c r="J391" t="s">
        <v>47</v>
      </c>
      <c r="K391" t="str">
        <f t="shared" ca="1" si="40"/>
        <v>OK</v>
      </c>
      <c r="L391" t="s">
        <v>475</v>
      </c>
      <c r="M391">
        <v>5</v>
      </c>
      <c r="N391" s="2">
        <v>46061</v>
      </c>
      <c r="O391" s="2" t="s">
        <v>22</v>
      </c>
      <c r="P391" s="4">
        <f t="shared" ca="1" si="38"/>
        <v>3</v>
      </c>
      <c r="Q391" s="4" t="str">
        <f t="shared" ca="1" si="39"/>
        <v>3-5 Years</v>
      </c>
      <c r="R391">
        <f t="shared" ca="1" si="41"/>
        <v>0</v>
      </c>
      <c r="S391" t="s">
        <v>22</v>
      </c>
      <c r="T391">
        <v>4</v>
      </c>
      <c r="U391" t="s">
        <v>1396</v>
      </c>
      <c r="V391" t="s">
        <v>1394</v>
      </c>
      <c r="W391" t="s">
        <v>1394</v>
      </c>
      <c r="X391" s="3">
        <v>3</v>
      </c>
      <c r="Y391" t="s">
        <v>1398</v>
      </c>
      <c r="Z391">
        <v>35506</v>
      </c>
      <c r="AA391">
        <v>0.1</v>
      </c>
      <c r="AB391">
        <v>39056.600000000006</v>
      </c>
    </row>
    <row r="392" spans="1:28" x14ac:dyDescent="0.35">
      <c r="A392" t="str">
        <f t="shared" si="36"/>
        <v>EMP0391</v>
      </c>
      <c r="B392" t="str" cm="1">
        <f t="array" ref="B392">_xlfn.IFS(
ROW()&lt;=421,"NA",
ROW()&lt;=781,"LATAM",
ROW()&lt;=1021,"EMEA",
TRUE,"APAC"
)</f>
        <v>NA</v>
      </c>
      <c r="C392" t="str">
        <f t="shared" si="37"/>
        <v>USA</v>
      </c>
      <c r="D392" t="s">
        <v>32</v>
      </c>
      <c r="E392" t="s">
        <v>380</v>
      </c>
      <c r="F392" t="s">
        <v>854</v>
      </c>
      <c r="G392" t="s">
        <v>28</v>
      </c>
      <c r="H392" s="2">
        <v>44928</v>
      </c>
      <c r="I392" t="s">
        <v>29</v>
      </c>
      <c r="J392" t="s">
        <v>33</v>
      </c>
      <c r="K392" t="str">
        <f t="shared" ca="1" si="40"/>
        <v>OK</v>
      </c>
      <c r="L392" t="s">
        <v>918</v>
      </c>
      <c r="M392">
        <v>5</v>
      </c>
      <c r="N392" s="2">
        <v>46036</v>
      </c>
      <c r="O392" s="2" t="s">
        <v>22</v>
      </c>
      <c r="P392" s="4">
        <f t="shared" ca="1" si="38"/>
        <v>3</v>
      </c>
      <c r="Q392" s="4" t="str">
        <f t="shared" ca="1" si="39"/>
        <v>3-5 Years</v>
      </c>
      <c r="R392">
        <f t="shared" ca="1" si="41"/>
        <v>0</v>
      </c>
      <c r="S392" t="s">
        <v>22</v>
      </c>
      <c r="T392">
        <v>3</v>
      </c>
      <c r="U392" t="s">
        <v>1394</v>
      </c>
      <c r="V392" t="s">
        <v>1394</v>
      </c>
      <c r="W392" t="s">
        <v>1394</v>
      </c>
      <c r="X392" s="3">
        <v>2</v>
      </c>
      <c r="Y392" t="s">
        <v>1397</v>
      </c>
      <c r="Z392">
        <v>20603</v>
      </c>
      <c r="AA392">
        <v>0.1</v>
      </c>
      <c r="AB392">
        <v>22663.300000000003</v>
      </c>
    </row>
    <row r="393" spans="1:28" x14ac:dyDescent="0.35">
      <c r="A393" t="str">
        <f t="shared" si="36"/>
        <v>EMP0392</v>
      </c>
      <c r="B393" t="str" cm="1">
        <f t="array" ref="B393">_xlfn.IFS(
ROW()&lt;=421,"NA",
ROW()&lt;=781,"LATAM",
ROW()&lt;=1021,"EMEA",
TRUE,"APAC"
)</f>
        <v>NA</v>
      </c>
      <c r="C393" t="str">
        <f t="shared" si="37"/>
        <v>USA</v>
      </c>
      <c r="D393" t="s">
        <v>35</v>
      </c>
      <c r="E393" t="s">
        <v>380</v>
      </c>
      <c r="F393" t="s">
        <v>501</v>
      </c>
      <c r="G393" t="s">
        <v>28</v>
      </c>
      <c r="H393" s="2">
        <v>44922</v>
      </c>
      <c r="I393" t="s">
        <v>29</v>
      </c>
      <c r="J393" t="s">
        <v>36</v>
      </c>
      <c r="K393" t="str">
        <f t="shared" ca="1" si="40"/>
        <v>OK</v>
      </c>
      <c r="L393" t="s">
        <v>349</v>
      </c>
      <c r="M393">
        <v>5</v>
      </c>
      <c r="N393" s="2">
        <v>46061</v>
      </c>
      <c r="O393" s="2" t="s">
        <v>22</v>
      </c>
      <c r="P393" s="4">
        <f t="shared" ca="1" si="38"/>
        <v>3</v>
      </c>
      <c r="Q393" s="4" t="str">
        <f t="shared" ca="1" si="39"/>
        <v>3-5 Years</v>
      </c>
      <c r="R393">
        <f t="shared" ca="1" si="41"/>
        <v>0</v>
      </c>
      <c r="S393" t="s">
        <v>22</v>
      </c>
      <c r="T393">
        <v>4</v>
      </c>
      <c r="U393" t="s">
        <v>1394</v>
      </c>
      <c r="V393" t="s">
        <v>1394</v>
      </c>
      <c r="W393" t="s">
        <v>1394</v>
      </c>
      <c r="X393" s="3">
        <v>4</v>
      </c>
      <c r="Y393" t="s">
        <v>1395</v>
      </c>
      <c r="Z393">
        <v>37629</v>
      </c>
      <c r="AA393">
        <v>0.1</v>
      </c>
      <c r="AB393">
        <v>41391.9</v>
      </c>
    </row>
    <row r="394" spans="1:28" x14ac:dyDescent="0.35">
      <c r="A394" t="str">
        <f t="shared" si="36"/>
        <v>EMP0393</v>
      </c>
      <c r="B394" t="str" cm="1">
        <f t="array" ref="B394">_xlfn.IFS(
ROW()&lt;=421,"NA",
ROW()&lt;=781,"LATAM",
ROW()&lt;=1021,"EMEA",
TRUE,"APAC"
)</f>
        <v>NA</v>
      </c>
      <c r="C394" t="str">
        <f t="shared" si="37"/>
        <v>USA</v>
      </c>
      <c r="D394" t="s">
        <v>26</v>
      </c>
      <c r="E394" t="s">
        <v>380</v>
      </c>
      <c r="F394" t="s">
        <v>545</v>
      </c>
      <c r="G394" t="s">
        <v>28</v>
      </c>
      <c r="H394" s="2">
        <v>44917</v>
      </c>
      <c r="I394" t="s">
        <v>29</v>
      </c>
      <c r="J394" t="s">
        <v>30</v>
      </c>
      <c r="K394" t="str">
        <f t="shared" ca="1" si="40"/>
        <v>OK</v>
      </c>
      <c r="L394" t="s">
        <v>548</v>
      </c>
      <c r="M394">
        <v>5</v>
      </c>
      <c r="N394" s="2">
        <v>46056</v>
      </c>
      <c r="O394" s="2" t="s">
        <v>22</v>
      </c>
      <c r="P394" s="4">
        <f t="shared" ca="1" si="38"/>
        <v>3</v>
      </c>
      <c r="Q394" s="4" t="str">
        <f t="shared" ca="1" si="39"/>
        <v>3-5 Years</v>
      </c>
      <c r="R394">
        <f t="shared" ca="1" si="41"/>
        <v>0</v>
      </c>
      <c r="S394" t="s">
        <v>22</v>
      </c>
      <c r="T394">
        <v>3</v>
      </c>
      <c r="U394" t="s">
        <v>1394</v>
      </c>
      <c r="V394" t="s">
        <v>1394</v>
      </c>
      <c r="W394" t="s">
        <v>1394</v>
      </c>
      <c r="X394" s="3">
        <v>4</v>
      </c>
      <c r="Y394" t="s">
        <v>1395</v>
      </c>
      <c r="Z394">
        <v>42823</v>
      </c>
      <c r="AA394">
        <v>0.1</v>
      </c>
      <c r="AB394">
        <v>47105.3</v>
      </c>
    </row>
    <row r="395" spans="1:28" x14ac:dyDescent="0.35">
      <c r="A395" t="str">
        <f t="shared" si="36"/>
        <v>EMP0394</v>
      </c>
      <c r="B395" t="str" cm="1">
        <f t="array" ref="B395">_xlfn.IFS(
ROW()&lt;=421,"NA",
ROW()&lt;=781,"LATAM",
ROW()&lt;=1021,"EMEA",
TRUE,"APAC"
)</f>
        <v>NA</v>
      </c>
      <c r="C395" t="str">
        <f t="shared" si="37"/>
        <v>USA</v>
      </c>
      <c r="D395" t="s">
        <v>35</v>
      </c>
      <c r="E395" t="s">
        <v>145</v>
      </c>
      <c r="F395" t="s">
        <v>228</v>
      </c>
      <c r="G395" t="s">
        <v>28</v>
      </c>
      <c r="H395" s="2">
        <v>44914</v>
      </c>
      <c r="I395" t="s">
        <v>57</v>
      </c>
      <c r="J395" t="s">
        <v>36</v>
      </c>
      <c r="K395" t="str">
        <f t="shared" ca="1" si="40"/>
        <v>OK</v>
      </c>
      <c r="L395" t="s">
        <v>241</v>
      </c>
      <c r="M395">
        <v>4</v>
      </c>
      <c r="N395" s="2">
        <v>46069</v>
      </c>
      <c r="O395" s="2">
        <v>46071</v>
      </c>
      <c r="P395" s="4">
        <f t="shared" ca="1" si="38"/>
        <v>3</v>
      </c>
      <c r="Q395" s="4" t="str">
        <f t="shared" ca="1" si="39"/>
        <v>3-5 Years</v>
      </c>
      <c r="R395">
        <f t="shared" ca="1" si="41"/>
        <v>0</v>
      </c>
      <c r="S395" t="s">
        <v>23</v>
      </c>
      <c r="T395">
        <v>4</v>
      </c>
      <c r="U395" t="s">
        <v>1394</v>
      </c>
      <c r="V395" t="s">
        <v>1394</v>
      </c>
      <c r="W395" t="s">
        <v>1394</v>
      </c>
      <c r="X395" s="3">
        <v>5</v>
      </c>
      <c r="Y395" t="s">
        <v>1395</v>
      </c>
      <c r="Z395">
        <v>56933</v>
      </c>
      <c r="AA395">
        <v>0.15</v>
      </c>
      <c r="AB395">
        <v>65472.95</v>
      </c>
    </row>
    <row r="396" spans="1:28" x14ac:dyDescent="0.35">
      <c r="A396" t="str">
        <f t="shared" si="36"/>
        <v>EMP0395</v>
      </c>
      <c r="B396" t="str" cm="1">
        <f t="array" ref="B396">_xlfn.IFS(
ROW()&lt;=421,"NA",
ROW()&lt;=781,"LATAM",
ROW()&lt;=1021,"EMEA",
TRUE,"APAC"
)</f>
        <v>NA</v>
      </c>
      <c r="C396" t="str">
        <f t="shared" si="37"/>
        <v>USA</v>
      </c>
      <c r="D396" t="s">
        <v>32</v>
      </c>
      <c r="E396" t="s">
        <v>380</v>
      </c>
      <c r="F396" t="s">
        <v>458</v>
      </c>
      <c r="G396" t="s">
        <v>28</v>
      </c>
      <c r="H396" s="2">
        <v>44914</v>
      </c>
      <c r="I396" t="s">
        <v>29</v>
      </c>
      <c r="J396" t="s">
        <v>33</v>
      </c>
      <c r="K396" t="str">
        <f t="shared" ca="1" si="40"/>
        <v>OK</v>
      </c>
      <c r="L396" t="s">
        <v>459</v>
      </c>
      <c r="M396">
        <v>5</v>
      </c>
      <c r="N396" s="2">
        <v>46052</v>
      </c>
      <c r="O396" s="2" t="s">
        <v>22</v>
      </c>
      <c r="P396" s="4">
        <f t="shared" ca="1" si="38"/>
        <v>3</v>
      </c>
      <c r="Q396" s="4" t="str">
        <f t="shared" ca="1" si="39"/>
        <v>3-5 Years</v>
      </c>
      <c r="R396">
        <f t="shared" ca="1" si="41"/>
        <v>0</v>
      </c>
      <c r="S396" t="s">
        <v>22</v>
      </c>
      <c r="T396">
        <v>3</v>
      </c>
      <c r="U396" t="s">
        <v>1394</v>
      </c>
      <c r="V396" t="s">
        <v>1394</v>
      </c>
      <c r="W396" t="s">
        <v>1394</v>
      </c>
      <c r="X396" s="3">
        <v>5</v>
      </c>
      <c r="Y396" t="s">
        <v>1395</v>
      </c>
      <c r="Z396">
        <v>34809</v>
      </c>
      <c r="AA396">
        <v>0.1</v>
      </c>
      <c r="AB396">
        <v>38289.9</v>
      </c>
    </row>
    <row r="397" spans="1:28" x14ac:dyDescent="0.35">
      <c r="A397" t="str">
        <f t="shared" si="36"/>
        <v>EMP0396</v>
      </c>
      <c r="B397" t="str" cm="1">
        <f t="array" ref="B397">_xlfn.IFS(
ROW()&lt;=421,"NA",
ROW()&lt;=781,"LATAM",
ROW()&lt;=1021,"EMEA",
TRUE,"APAC"
)</f>
        <v>NA</v>
      </c>
      <c r="C397" t="str">
        <f t="shared" si="37"/>
        <v>USA</v>
      </c>
      <c r="D397" t="s">
        <v>44</v>
      </c>
      <c r="E397" t="s">
        <v>380</v>
      </c>
      <c r="F397" t="s">
        <v>790</v>
      </c>
      <c r="G397" t="s">
        <v>28</v>
      </c>
      <c r="H397" s="2">
        <v>44912</v>
      </c>
      <c r="I397" t="s">
        <v>57</v>
      </c>
      <c r="J397" t="s">
        <v>47</v>
      </c>
      <c r="K397" t="str">
        <f t="shared" ca="1" si="40"/>
        <v>OK</v>
      </c>
      <c r="L397" t="s">
        <v>1374</v>
      </c>
      <c r="M397">
        <v>5</v>
      </c>
      <c r="N397" s="2">
        <v>46040</v>
      </c>
      <c r="O397" s="2">
        <v>45329</v>
      </c>
      <c r="P397" s="4">
        <f t="shared" ca="1" si="38"/>
        <v>1</v>
      </c>
      <c r="Q397" s="4" t="str">
        <f t="shared" ca="1" si="39"/>
        <v>0-2 Years</v>
      </c>
      <c r="R397">
        <f t="shared" ca="1" si="41"/>
        <v>1</v>
      </c>
      <c r="S397" t="s">
        <v>23</v>
      </c>
      <c r="T397">
        <v>5</v>
      </c>
      <c r="U397" t="s">
        <v>1394</v>
      </c>
      <c r="V397" t="s">
        <v>1394</v>
      </c>
      <c r="W397" t="s">
        <v>1394</v>
      </c>
      <c r="X397" s="3">
        <v>1</v>
      </c>
      <c r="Y397" t="s">
        <v>1397</v>
      </c>
      <c r="Z397">
        <v>49682</v>
      </c>
      <c r="AA397">
        <v>0.1</v>
      </c>
      <c r="AB397">
        <v>54650.200000000004</v>
      </c>
    </row>
    <row r="398" spans="1:28" x14ac:dyDescent="0.35">
      <c r="A398" t="str">
        <f t="shared" si="36"/>
        <v>EMP0397</v>
      </c>
      <c r="B398" t="str" cm="1">
        <f t="array" ref="B398">_xlfn.IFS(
ROW()&lt;=421,"NA",
ROW()&lt;=781,"LATAM",
ROW()&lt;=1021,"EMEA",
TRUE,"APAC"
)</f>
        <v>NA</v>
      </c>
      <c r="C398" t="str">
        <f t="shared" si="37"/>
        <v>USA</v>
      </c>
      <c r="D398" t="s">
        <v>44</v>
      </c>
      <c r="E398" t="s">
        <v>380</v>
      </c>
      <c r="F398" t="s">
        <v>471</v>
      </c>
      <c r="G398" t="s">
        <v>28</v>
      </c>
      <c r="H398" s="2">
        <v>44908</v>
      </c>
      <c r="I398" t="s">
        <v>29</v>
      </c>
      <c r="J398" t="s">
        <v>47</v>
      </c>
      <c r="K398" t="str">
        <f t="shared" ca="1" si="40"/>
        <v>OK</v>
      </c>
      <c r="L398" t="s">
        <v>665</v>
      </c>
      <c r="M398">
        <v>5</v>
      </c>
      <c r="N398" s="2">
        <v>45988</v>
      </c>
      <c r="O398" s="2" t="s">
        <v>22</v>
      </c>
      <c r="P398" s="4">
        <f t="shared" ca="1" si="38"/>
        <v>3</v>
      </c>
      <c r="Q398" s="4" t="str">
        <f t="shared" ca="1" si="39"/>
        <v>3-5 Years</v>
      </c>
      <c r="R398">
        <f t="shared" ca="1" si="41"/>
        <v>0</v>
      </c>
      <c r="S398" t="s">
        <v>22</v>
      </c>
      <c r="T398">
        <v>3</v>
      </c>
      <c r="U398" t="s">
        <v>1394</v>
      </c>
      <c r="V398" t="s">
        <v>1394</v>
      </c>
      <c r="W398" t="s">
        <v>1394</v>
      </c>
      <c r="X398" s="3">
        <v>3</v>
      </c>
      <c r="Y398" t="s">
        <v>1398</v>
      </c>
      <c r="Z398">
        <v>22533</v>
      </c>
      <c r="AA398">
        <v>0.1</v>
      </c>
      <c r="AB398">
        <v>24786.300000000003</v>
      </c>
    </row>
    <row r="399" spans="1:28" x14ac:dyDescent="0.35">
      <c r="A399" t="str">
        <f t="shared" si="36"/>
        <v>EMP0398</v>
      </c>
      <c r="B399" t="str" cm="1">
        <f t="array" ref="B399">_xlfn.IFS(
ROW()&lt;=421,"NA",
ROW()&lt;=781,"LATAM",
ROW()&lt;=1021,"EMEA",
TRUE,"APAC"
)</f>
        <v>NA</v>
      </c>
      <c r="C399" t="str">
        <f t="shared" si="37"/>
        <v>USA</v>
      </c>
      <c r="D399" t="s">
        <v>41</v>
      </c>
      <c r="E399" t="s">
        <v>145</v>
      </c>
      <c r="F399" t="s">
        <v>160</v>
      </c>
      <c r="G399" t="s">
        <v>28</v>
      </c>
      <c r="H399" s="2">
        <v>44906</v>
      </c>
      <c r="I399" t="s">
        <v>29</v>
      </c>
      <c r="J399" t="s">
        <v>42</v>
      </c>
      <c r="K399" t="str">
        <f t="shared" ca="1" si="40"/>
        <v>OK</v>
      </c>
      <c r="L399" t="s">
        <v>370</v>
      </c>
      <c r="M399">
        <v>4</v>
      </c>
      <c r="N399" s="2">
        <v>46032</v>
      </c>
      <c r="O399" s="2" t="s">
        <v>22</v>
      </c>
      <c r="P399" s="4">
        <f t="shared" ca="1" si="38"/>
        <v>3</v>
      </c>
      <c r="Q399" s="4" t="str">
        <f t="shared" ca="1" si="39"/>
        <v>3-5 Years</v>
      </c>
      <c r="R399">
        <f t="shared" ca="1" si="41"/>
        <v>0</v>
      </c>
      <c r="S399" t="s">
        <v>22</v>
      </c>
      <c r="T399">
        <v>4</v>
      </c>
      <c r="U399" t="s">
        <v>1394</v>
      </c>
      <c r="V399" t="s">
        <v>1394</v>
      </c>
      <c r="W399" t="s">
        <v>1394</v>
      </c>
      <c r="X399" s="3">
        <v>1</v>
      </c>
      <c r="Y399" t="s">
        <v>1397</v>
      </c>
      <c r="Z399">
        <v>68074</v>
      </c>
      <c r="AA399">
        <v>0.15</v>
      </c>
      <c r="AB399">
        <v>78285.099999999991</v>
      </c>
    </row>
    <row r="400" spans="1:28" x14ac:dyDescent="0.35">
      <c r="A400" t="str">
        <f t="shared" si="36"/>
        <v>EMP0399</v>
      </c>
      <c r="B400" t="str" cm="1">
        <f t="array" ref="B400">_xlfn.IFS(
ROW()&lt;=421,"NA",
ROW()&lt;=781,"LATAM",
ROW()&lt;=1021,"EMEA",
TRUE,"APAC"
)</f>
        <v>NA</v>
      </c>
      <c r="C400" t="str">
        <f t="shared" si="37"/>
        <v>USA</v>
      </c>
      <c r="D400" t="s">
        <v>26</v>
      </c>
      <c r="E400" t="s">
        <v>380</v>
      </c>
      <c r="F400" t="s">
        <v>506</v>
      </c>
      <c r="G400" t="s">
        <v>28</v>
      </c>
      <c r="H400" s="2">
        <v>44906</v>
      </c>
      <c r="I400" t="s">
        <v>29</v>
      </c>
      <c r="J400" t="s">
        <v>30</v>
      </c>
      <c r="K400" t="str">
        <f t="shared" ca="1" si="40"/>
        <v>OK</v>
      </c>
      <c r="L400" t="s">
        <v>1332</v>
      </c>
      <c r="M400">
        <v>5</v>
      </c>
      <c r="N400" s="2">
        <v>46063</v>
      </c>
      <c r="O400" s="2" t="s">
        <v>22</v>
      </c>
      <c r="P400" s="4">
        <f t="shared" ca="1" si="38"/>
        <v>3</v>
      </c>
      <c r="Q400" s="4" t="str">
        <f t="shared" ca="1" si="39"/>
        <v>3-5 Years</v>
      </c>
      <c r="R400">
        <f t="shared" ca="1" si="41"/>
        <v>0</v>
      </c>
      <c r="S400" t="s">
        <v>22</v>
      </c>
      <c r="T400">
        <v>3</v>
      </c>
      <c r="U400" t="s">
        <v>1396</v>
      </c>
      <c r="V400" t="s">
        <v>1394</v>
      </c>
      <c r="W400" t="s">
        <v>1394</v>
      </c>
      <c r="X400" s="3">
        <v>3</v>
      </c>
      <c r="Y400" t="s">
        <v>1398</v>
      </c>
      <c r="Z400">
        <v>35582</v>
      </c>
      <c r="AA400">
        <v>0.1</v>
      </c>
      <c r="AB400">
        <v>39140.200000000004</v>
      </c>
    </row>
    <row r="401" spans="1:28" x14ac:dyDescent="0.35">
      <c r="A401" t="str">
        <f t="shared" si="36"/>
        <v>EMP0400</v>
      </c>
      <c r="B401" t="str" cm="1">
        <f t="array" ref="B401">_xlfn.IFS(
ROW()&lt;=421,"NA",
ROW()&lt;=781,"LATAM",
ROW()&lt;=1021,"EMEA",
TRUE,"APAC"
)</f>
        <v>NA</v>
      </c>
      <c r="C401" t="str">
        <f t="shared" si="37"/>
        <v>USA</v>
      </c>
      <c r="D401" t="s">
        <v>44</v>
      </c>
      <c r="E401" t="s">
        <v>69</v>
      </c>
      <c r="F401" t="s">
        <v>98</v>
      </c>
      <c r="G401" t="s">
        <v>28</v>
      </c>
      <c r="H401" s="2">
        <v>44905</v>
      </c>
      <c r="I401" t="s">
        <v>29</v>
      </c>
      <c r="J401" t="s">
        <v>47</v>
      </c>
      <c r="K401" t="str">
        <f t="shared" ca="1" si="40"/>
        <v>OK</v>
      </c>
      <c r="L401" t="s">
        <v>104</v>
      </c>
      <c r="M401">
        <v>3</v>
      </c>
      <c r="N401" s="2">
        <v>46009</v>
      </c>
      <c r="O401" s="2" t="s">
        <v>22</v>
      </c>
      <c r="P401" s="4">
        <f t="shared" ca="1" si="38"/>
        <v>3</v>
      </c>
      <c r="Q401" s="4" t="str">
        <f t="shared" ca="1" si="39"/>
        <v>3-5 Years</v>
      </c>
      <c r="R401">
        <f t="shared" ca="1" si="41"/>
        <v>0</v>
      </c>
      <c r="S401" t="s">
        <v>22</v>
      </c>
      <c r="T401">
        <v>5</v>
      </c>
      <c r="U401" t="s">
        <v>1394</v>
      </c>
      <c r="V401" t="s">
        <v>1396</v>
      </c>
      <c r="W401" t="s">
        <v>1394</v>
      </c>
      <c r="X401" s="3">
        <v>4</v>
      </c>
      <c r="Y401" t="s">
        <v>1395</v>
      </c>
      <c r="Z401">
        <v>130491</v>
      </c>
      <c r="AA401">
        <v>0.2</v>
      </c>
      <c r="AB401">
        <v>156589.19999999998</v>
      </c>
    </row>
    <row r="402" spans="1:28" x14ac:dyDescent="0.35">
      <c r="A402" t="str">
        <f t="shared" si="36"/>
        <v>EMP0401</v>
      </c>
      <c r="B402" t="str" cm="1">
        <f t="array" ref="B402">_xlfn.IFS(
ROW()&lt;=421,"NA",
ROW()&lt;=781,"LATAM",
ROW()&lt;=1021,"EMEA",
TRUE,"APAC"
)</f>
        <v>NA</v>
      </c>
      <c r="C402" t="str">
        <f t="shared" si="37"/>
        <v>USA</v>
      </c>
      <c r="D402" t="s">
        <v>26</v>
      </c>
      <c r="E402" t="s">
        <v>380</v>
      </c>
      <c r="F402" t="s">
        <v>895</v>
      </c>
      <c r="G402" t="s">
        <v>53</v>
      </c>
      <c r="H402" s="2">
        <v>44905</v>
      </c>
      <c r="I402" t="s">
        <v>29</v>
      </c>
      <c r="J402" t="s">
        <v>30</v>
      </c>
      <c r="K402" t="str">
        <f t="shared" ca="1" si="40"/>
        <v>OK</v>
      </c>
      <c r="L402" t="s">
        <v>254</v>
      </c>
      <c r="M402">
        <v>5</v>
      </c>
      <c r="N402" s="2">
        <v>46066</v>
      </c>
      <c r="O402" s="2" t="s">
        <v>22</v>
      </c>
      <c r="P402" s="4">
        <f t="shared" ca="1" si="38"/>
        <v>3</v>
      </c>
      <c r="Q402" s="4" t="str">
        <f t="shared" ca="1" si="39"/>
        <v>3-5 Years</v>
      </c>
      <c r="R402">
        <f t="shared" ca="1" si="41"/>
        <v>0</v>
      </c>
      <c r="S402" t="s">
        <v>22</v>
      </c>
      <c r="T402">
        <v>4</v>
      </c>
      <c r="U402" t="s">
        <v>1394</v>
      </c>
      <c r="V402" t="s">
        <v>1394</v>
      </c>
      <c r="W402" t="s">
        <v>1394</v>
      </c>
      <c r="X402" s="3">
        <v>3</v>
      </c>
      <c r="Y402" t="s">
        <v>1398</v>
      </c>
      <c r="Z402">
        <v>39356</v>
      </c>
      <c r="AA402">
        <v>0.1</v>
      </c>
      <c r="AB402">
        <v>43291.600000000006</v>
      </c>
    </row>
    <row r="403" spans="1:28" x14ac:dyDescent="0.35">
      <c r="A403" t="str">
        <f t="shared" si="36"/>
        <v>EMP0402</v>
      </c>
      <c r="B403" t="str" cm="1">
        <f t="array" ref="B403">_xlfn.IFS(
ROW()&lt;=421,"NA",
ROW()&lt;=781,"LATAM",
ROW()&lt;=1021,"EMEA",
TRUE,"APAC"
)</f>
        <v>NA</v>
      </c>
      <c r="C403" t="str">
        <f t="shared" si="37"/>
        <v>USA</v>
      </c>
      <c r="D403" t="s">
        <v>38</v>
      </c>
      <c r="E403" t="s">
        <v>380</v>
      </c>
      <c r="F403" t="s">
        <v>442</v>
      </c>
      <c r="G403" t="s">
        <v>28</v>
      </c>
      <c r="H403" s="2">
        <v>44903</v>
      </c>
      <c r="I403" t="s">
        <v>29</v>
      </c>
      <c r="J403" t="s">
        <v>39</v>
      </c>
      <c r="K403" t="str">
        <f t="shared" ca="1" si="40"/>
        <v>OK</v>
      </c>
      <c r="L403" t="s">
        <v>528</v>
      </c>
      <c r="M403">
        <v>5</v>
      </c>
      <c r="N403" s="2">
        <v>46066</v>
      </c>
      <c r="O403" s="2" t="s">
        <v>22</v>
      </c>
      <c r="P403" s="4">
        <f t="shared" ca="1" si="38"/>
        <v>3</v>
      </c>
      <c r="Q403" s="4" t="str">
        <f t="shared" ca="1" si="39"/>
        <v>3-5 Years</v>
      </c>
      <c r="R403">
        <f t="shared" ca="1" si="41"/>
        <v>0</v>
      </c>
      <c r="S403" t="s">
        <v>22</v>
      </c>
      <c r="T403">
        <v>3</v>
      </c>
      <c r="U403" t="s">
        <v>1396</v>
      </c>
      <c r="V403" t="s">
        <v>1394</v>
      </c>
      <c r="W403" t="s">
        <v>1394</v>
      </c>
      <c r="X403" s="3">
        <v>3</v>
      </c>
      <c r="Y403" t="s">
        <v>1398</v>
      </c>
      <c r="Z403">
        <v>36156</v>
      </c>
      <c r="AA403">
        <v>0.1</v>
      </c>
      <c r="AB403">
        <v>39771.600000000006</v>
      </c>
    </row>
    <row r="404" spans="1:28" x14ac:dyDescent="0.35">
      <c r="A404" t="str">
        <f t="shared" si="36"/>
        <v>EMP0403</v>
      </c>
      <c r="B404" t="str" cm="1">
        <f t="array" ref="B404">_xlfn.IFS(
ROW()&lt;=421,"NA",
ROW()&lt;=781,"LATAM",
ROW()&lt;=1021,"EMEA",
TRUE,"APAC"
)</f>
        <v>NA</v>
      </c>
      <c r="C404" t="str">
        <f t="shared" si="37"/>
        <v>USA</v>
      </c>
      <c r="D404" t="s">
        <v>38</v>
      </c>
      <c r="E404" t="s">
        <v>380</v>
      </c>
      <c r="F404" t="s">
        <v>567</v>
      </c>
      <c r="G404" t="s">
        <v>28</v>
      </c>
      <c r="H404" s="2">
        <v>44901</v>
      </c>
      <c r="I404" t="s">
        <v>29</v>
      </c>
      <c r="J404" t="s">
        <v>39</v>
      </c>
      <c r="K404" t="str">
        <f t="shared" ca="1" si="40"/>
        <v>OK</v>
      </c>
      <c r="L404" t="s">
        <v>568</v>
      </c>
      <c r="M404">
        <v>5</v>
      </c>
      <c r="N404" s="2">
        <v>46048</v>
      </c>
      <c r="O404" s="2" t="s">
        <v>22</v>
      </c>
      <c r="P404" s="4">
        <f t="shared" ca="1" si="38"/>
        <v>3</v>
      </c>
      <c r="Q404" s="4" t="str">
        <f t="shared" ca="1" si="39"/>
        <v>3-5 Years</v>
      </c>
      <c r="R404">
        <f t="shared" ca="1" si="41"/>
        <v>0</v>
      </c>
      <c r="S404" t="s">
        <v>22</v>
      </c>
      <c r="T404">
        <v>3</v>
      </c>
      <c r="U404" t="s">
        <v>1394</v>
      </c>
      <c r="V404" t="s">
        <v>1394</v>
      </c>
      <c r="W404" t="s">
        <v>1394</v>
      </c>
      <c r="X404" s="3">
        <v>2</v>
      </c>
      <c r="Y404" t="s">
        <v>1397</v>
      </c>
      <c r="Z404">
        <v>24215</v>
      </c>
      <c r="AA404">
        <v>0.1</v>
      </c>
      <c r="AB404">
        <v>26636.500000000004</v>
      </c>
    </row>
    <row r="405" spans="1:28" x14ac:dyDescent="0.35">
      <c r="A405" t="str">
        <f t="shared" si="36"/>
        <v>EMP0404</v>
      </c>
      <c r="B405" t="str" cm="1">
        <f t="array" ref="B405">_xlfn.IFS(
ROW()&lt;=421,"NA",
ROW()&lt;=781,"LATAM",
ROW()&lt;=1021,"EMEA",
TRUE,"APAC"
)</f>
        <v>NA</v>
      </c>
      <c r="C405" t="str">
        <f t="shared" si="37"/>
        <v>USA</v>
      </c>
      <c r="D405" t="s">
        <v>44</v>
      </c>
      <c r="E405" t="s">
        <v>380</v>
      </c>
      <c r="F405" t="s">
        <v>948</v>
      </c>
      <c r="G405" t="s">
        <v>28</v>
      </c>
      <c r="H405" s="2">
        <v>44900</v>
      </c>
      <c r="I405" t="s">
        <v>29</v>
      </c>
      <c r="J405" t="s">
        <v>47</v>
      </c>
      <c r="K405" t="str">
        <f t="shared" ca="1" si="40"/>
        <v>OK</v>
      </c>
      <c r="L405" t="s">
        <v>1327</v>
      </c>
      <c r="M405">
        <v>5</v>
      </c>
      <c r="N405" s="2">
        <v>46042</v>
      </c>
      <c r="O405" s="2" t="s">
        <v>22</v>
      </c>
      <c r="P405" s="4">
        <f t="shared" ca="1" si="38"/>
        <v>3</v>
      </c>
      <c r="Q405" s="4" t="str">
        <f t="shared" ca="1" si="39"/>
        <v>3-5 Years</v>
      </c>
      <c r="R405">
        <f t="shared" ca="1" si="41"/>
        <v>0</v>
      </c>
      <c r="S405" t="s">
        <v>22</v>
      </c>
      <c r="T405">
        <v>2</v>
      </c>
      <c r="U405" t="s">
        <v>1396</v>
      </c>
      <c r="V405" t="s">
        <v>1394</v>
      </c>
      <c r="W405" t="s">
        <v>1394</v>
      </c>
      <c r="X405" s="3">
        <v>2</v>
      </c>
      <c r="Y405" t="s">
        <v>1397</v>
      </c>
      <c r="Z405">
        <v>43097</v>
      </c>
      <c r="AA405">
        <v>0.1</v>
      </c>
      <c r="AB405">
        <v>47406.700000000004</v>
      </c>
    </row>
    <row r="406" spans="1:28" x14ac:dyDescent="0.35">
      <c r="A406" t="str">
        <f t="shared" si="36"/>
        <v>EMP0405</v>
      </c>
      <c r="B406" t="str" cm="1">
        <f t="array" ref="B406">_xlfn.IFS(
ROW()&lt;=421,"NA",
ROW()&lt;=781,"LATAM",
ROW()&lt;=1021,"EMEA",
TRUE,"APAC"
)</f>
        <v>NA</v>
      </c>
      <c r="C406" t="str">
        <f t="shared" si="37"/>
        <v>USA</v>
      </c>
      <c r="D406" t="s">
        <v>26</v>
      </c>
      <c r="E406" t="s">
        <v>380</v>
      </c>
      <c r="F406" t="s">
        <v>913</v>
      </c>
      <c r="G406" t="s">
        <v>28</v>
      </c>
      <c r="H406" s="2">
        <v>44899</v>
      </c>
      <c r="I406" t="s">
        <v>29</v>
      </c>
      <c r="J406" t="s">
        <v>30</v>
      </c>
      <c r="K406" t="str">
        <f t="shared" ca="1" si="40"/>
        <v>OK</v>
      </c>
      <c r="L406" t="s">
        <v>1100</v>
      </c>
      <c r="M406">
        <v>5</v>
      </c>
      <c r="N406" s="2">
        <v>46044</v>
      </c>
      <c r="O406" s="2" t="s">
        <v>22</v>
      </c>
      <c r="P406" s="4">
        <f t="shared" ca="1" si="38"/>
        <v>3</v>
      </c>
      <c r="Q406" s="4" t="str">
        <f t="shared" ca="1" si="39"/>
        <v>3-5 Years</v>
      </c>
      <c r="R406">
        <f t="shared" ca="1" si="41"/>
        <v>0</v>
      </c>
      <c r="S406" t="s">
        <v>22</v>
      </c>
      <c r="T406">
        <v>3</v>
      </c>
      <c r="U406" t="s">
        <v>1394</v>
      </c>
      <c r="V406" t="s">
        <v>1394</v>
      </c>
      <c r="W406" t="s">
        <v>1394</v>
      </c>
      <c r="X406" s="3">
        <v>5</v>
      </c>
      <c r="Y406" t="s">
        <v>1395</v>
      </c>
      <c r="Z406">
        <v>41265</v>
      </c>
      <c r="AA406">
        <v>0.1</v>
      </c>
      <c r="AB406">
        <v>45391.500000000007</v>
      </c>
    </row>
    <row r="407" spans="1:28" x14ac:dyDescent="0.35">
      <c r="A407" t="str">
        <f t="shared" si="36"/>
        <v>EMP0406</v>
      </c>
      <c r="B407" t="str" cm="1">
        <f t="array" ref="B407">_xlfn.IFS(
ROW()&lt;=421,"NA",
ROW()&lt;=781,"LATAM",
ROW()&lt;=1021,"EMEA",
TRUE,"APAC"
)</f>
        <v>NA</v>
      </c>
      <c r="C407" t="str">
        <f t="shared" si="37"/>
        <v>USA</v>
      </c>
      <c r="D407" t="s">
        <v>41</v>
      </c>
      <c r="E407" t="s">
        <v>380</v>
      </c>
      <c r="F407" t="s">
        <v>573</v>
      </c>
      <c r="G407" t="s">
        <v>28</v>
      </c>
      <c r="H407" s="2">
        <v>44896</v>
      </c>
      <c r="I407" t="s">
        <v>29</v>
      </c>
      <c r="J407" t="s">
        <v>42</v>
      </c>
      <c r="K407" t="str">
        <f t="shared" ca="1" si="40"/>
        <v>OK</v>
      </c>
      <c r="L407" t="s">
        <v>1282</v>
      </c>
      <c r="M407">
        <v>5</v>
      </c>
      <c r="N407" s="2">
        <v>46049</v>
      </c>
      <c r="O407" s="2" t="s">
        <v>22</v>
      </c>
      <c r="P407" s="4">
        <f t="shared" ca="1" si="38"/>
        <v>3</v>
      </c>
      <c r="Q407" s="4" t="str">
        <f t="shared" ca="1" si="39"/>
        <v>3-5 Years</v>
      </c>
      <c r="R407">
        <f t="shared" ca="1" si="41"/>
        <v>0</v>
      </c>
      <c r="S407" t="s">
        <v>22</v>
      </c>
      <c r="T407">
        <v>4</v>
      </c>
      <c r="U407" t="s">
        <v>1396</v>
      </c>
      <c r="V407" t="s">
        <v>1394</v>
      </c>
      <c r="W407" t="s">
        <v>1394</v>
      </c>
      <c r="X407" s="3">
        <v>1</v>
      </c>
      <c r="Y407" t="s">
        <v>1397</v>
      </c>
      <c r="Z407">
        <v>30107</v>
      </c>
      <c r="AA407">
        <v>0.1</v>
      </c>
      <c r="AB407">
        <v>33117.700000000004</v>
      </c>
    </row>
    <row r="408" spans="1:28" x14ac:dyDescent="0.35">
      <c r="A408" t="str">
        <f t="shared" si="36"/>
        <v>EMP0407</v>
      </c>
      <c r="B408" t="str" cm="1">
        <f t="array" ref="B408">_xlfn.IFS(
ROW()&lt;=421,"NA",
ROW()&lt;=781,"LATAM",
ROW()&lt;=1021,"EMEA",
TRUE,"APAC"
)</f>
        <v>NA</v>
      </c>
      <c r="C408" t="str">
        <f t="shared" si="37"/>
        <v>USA</v>
      </c>
      <c r="D408" t="s">
        <v>44</v>
      </c>
      <c r="E408" t="s">
        <v>380</v>
      </c>
      <c r="F408" t="s">
        <v>672</v>
      </c>
      <c r="G408" t="s">
        <v>28</v>
      </c>
      <c r="H408" s="2">
        <v>44889</v>
      </c>
      <c r="I408" t="s">
        <v>29</v>
      </c>
      <c r="J408" t="s">
        <v>47</v>
      </c>
      <c r="K408" t="str">
        <f t="shared" ca="1" si="40"/>
        <v>OK</v>
      </c>
      <c r="L408" t="s">
        <v>1149</v>
      </c>
      <c r="M408">
        <v>5</v>
      </c>
      <c r="N408" s="2">
        <v>46065</v>
      </c>
      <c r="O408" s="2" t="s">
        <v>22</v>
      </c>
      <c r="P408" s="4">
        <f t="shared" ca="1" si="38"/>
        <v>3</v>
      </c>
      <c r="Q408" s="4" t="str">
        <f t="shared" ca="1" si="39"/>
        <v>3-5 Years</v>
      </c>
      <c r="R408">
        <f t="shared" ca="1" si="41"/>
        <v>0</v>
      </c>
      <c r="S408" t="s">
        <v>22</v>
      </c>
      <c r="T408">
        <v>3</v>
      </c>
      <c r="U408" t="s">
        <v>1394</v>
      </c>
      <c r="V408" t="s">
        <v>1394</v>
      </c>
      <c r="W408" t="s">
        <v>1394</v>
      </c>
      <c r="X408" s="3">
        <v>4</v>
      </c>
      <c r="Y408" t="s">
        <v>1395</v>
      </c>
      <c r="Z408">
        <v>21028</v>
      </c>
      <c r="AA408">
        <v>0.1</v>
      </c>
      <c r="AB408">
        <v>23130.800000000003</v>
      </c>
    </row>
    <row r="409" spans="1:28" x14ac:dyDescent="0.35">
      <c r="A409" t="str">
        <f t="shared" si="36"/>
        <v>EMP0408</v>
      </c>
      <c r="B409" t="str" cm="1">
        <f t="array" ref="B409">_xlfn.IFS(
ROW()&lt;=421,"NA",
ROW()&lt;=781,"LATAM",
ROW()&lt;=1021,"EMEA",
TRUE,"APAC"
)</f>
        <v>NA</v>
      </c>
      <c r="C409" t="str">
        <f t="shared" si="37"/>
        <v>USA</v>
      </c>
      <c r="D409" t="s">
        <v>26</v>
      </c>
      <c r="E409" t="s">
        <v>380</v>
      </c>
      <c r="F409" t="s">
        <v>661</v>
      </c>
      <c r="G409" t="s">
        <v>28</v>
      </c>
      <c r="H409" s="2">
        <v>44883</v>
      </c>
      <c r="I409" t="s">
        <v>29</v>
      </c>
      <c r="J409" t="s">
        <v>30</v>
      </c>
      <c r="K409" t="str">
        <f t="shared" ca="1" si="40"/>
        <v>OK</v>
      </c>
      <c r="L409" t="s">
        <v>993</v>
      </c>
      <c r="M409">
        <v>5</v>
      </c>
      <c r="N409" s="2">
        <v>46065</v>
      </c>
      <c r="O409" s="2" t="s">
        <v>22</v>
      </c>
      <c r="P409" s="4">
        <f t="shared" ca="1" si="38"/>
        <v>3</v>
      </c>
      <c r="Q409" s="4" t="str">
        <f t="shared" ca="1" si="39"/>
        <v>3-5 Years</v>
      </c>
      <c r="R409">
        <f t="shared" ca="1" si="41"/>
        <v>0</v>
      </c>
      <c r="S409" t="s">
        <v>22</v>
      </c>
      <c r="T409">
        <v>5</v>
      </c>
      <c r="U409" t="s">
        <v>1394</v>
      </c>
      <c r="V409" t="s">
        <v>1394</v>
      </c>
      <c r="W409" t="s">
        <v>1394</v>
      </c>
      <c r="X409" s="3">
        <v>1</v>
      </c>
      <c r="Y409" t="s">
        <v>1397</v>
      </c>
      <c r="Z409">
        <v>33218</v>
      </c>
      <c r="AA409">
        <v>0.1</v>
      </c>
      <c r="AB409">
        <v>36539.800000000003</v>
      </c>
    </row>
    <row r="410" spans="1:28" x14ac:dyDescent="0.35">
      <c r="A410" t="str">
        <f t="shared" si="36"/>
        <v>EMP0409</v>
      </c>
      <c r="B410" t="str" cm="1">
        <f t="array" ref="B410">_xlfn.IFS(
ROW()&lt;=421,"NA",
ROW()&lt;=781,"LATAM",
ROW()&lt;=1021,"EMEA",
TRUE,"APAC"
)</f>
        <v>NA</v>
      </c>
      <c r="C410" t="str">
        <f t="shared" si="37"/>
        <v>USA</v>
      </c>
      <c r="D410" t="s">
        <v>41</v>
      </c>
      <c r="E410" t="s">
        <v>380</v>
      </c>
      <c r="F410" t="s">
        <v>492</v>
      </c>
      <c r="G410" t="s">
        <v>53</v>
      </c>
      <c r="H410" s="2">
        <v>44883</v>
      </c>
      <c r="I410" t="s">
        <v>57</v>
      </c>
      <c r="J410" t="s">
        <v>42</v>
      </c>
      <c r="K410" t="str">
        <f t="shared" ca="1" si="40"/>
        <v>OK</v>
      </c>
      <c r="L410" t="s">
        <v>43</v>
      </c>
      <c r="M410">
        <v>5</v>
      </c>
      <c r="N410" s="2">
        <v>46012</v>
      </c>
      <c r="O410" s="2">
        <v>46071</v>
      </c>
      <c r="P410" s="4">
        <f t="shared" ca="1" si="38"/>
        <v>3</v>
      </c>
      <c r="Q410" s="4" t="str">
        <f t="shared" ca="1" si="39"/>
        <v>3-5 Years</v>
      </c>
      <c r="R410">
        <f t="shared" ca="1" si="41"/>
        <v>0</v>
      </c>
      <c r="S410" t="s">
        <v>24</v>
      </c>
      <c r="T410">
        <v>4</v>
      </c>
      <c r="U410" t="s">
        <v>1396</v>
      </c>
      <c r="V410" t="s">
        <v>1394</v>
      </c>
      <c r="W410" t="s">
        <v>1394</v>
      </c>
      <c r="X410" s="3">
        <v>1</v>
      </c>
      <c r="Y410" t="s">
        <v>1397</v>
      </c>
      <c r="Z410">
        <v>44831</v>
      </c>
      <c r="AA410">
        <v>0.1</v>
      </c>
      <c r="AB410">
        <v>49314.100000000006</v>
      </c>
    </row>
    <row r="411" spans="1:28" x14ac:dyDescent="0.35">
      <c r="A411" t="str">
        <f t="shared" si="36"/>
        <v>EMP0410</v>
      </c>
      <c r="B411" t="str" cm="1">
        <f t="array" ref="B411">_xlfn.IFS(
ROW()&lt;=421,"NA",
ROW()&lt;=781,"LATAM",
ROW()&lt;=1021,"EMEA",
TRUE,"APAC"
)</f>
        <v>NA</v>
      </c>
      <c r="C411" t="str">
        <f t="shared" si="37"/>
        <v>USA</v>
      </c>
      <c r="D411" t="s">
        <v>38</v>
      </c>
      <c r="E411" t="s">
        <v>145</v>
      </c>
      <c r="F411" t="s">
        <v>212</v>
      </c>
      <c r="G411" t="s">
        <v>28</v>
      </c>
      <c r="H411" s="2">
        <v>44882</v>
      </c>
      <c r="I411" t="s">
        <v>57</v>
      </c>
      <c r="J411" t="s">
        <v>39</v>
      </c>
      <c r="K411" t="str">
        <f t="shared" ca="1" si="40"/>
        <v>OK</v>
      </c>
      <c r="L411" t="s">
        <v>258</v>
      </c>
      <c r="M411">
        <v>4</v>
      </c>
      <c r="N411" s="2">
        <v>46059</v>
      </c>
      <c r="O411" s="2">
        <v>46071</v>
      </c>
      <c r="P411" s="4">
        <f t="shared" ca="1" si="38"/>
        <v>3</v>
      </c>
      <c r="Q411" s="4" t="str">
        <f t="shared" ca="1" si="39"/>
        <v>3-5 Years</v>
      </c>
      <c r="R411">
        <f t="shared" ca="1" si="41"/>
        <v>0</v>
      </c>
      <c r="S411" t="s">
        <v>24</v>
      </c>
      <c r="T411">
        <v>4</v>
      </c>
      <c r="U411" t="s">
        <v>1394</v>
      </c>
      <c r="V411" t="s">
        <v>1394</v>
      </c>
      <c r="W411" t="s">
        <v>1394</v>
      </c>
      <c r="X411" s="3">
        <v>4</v>
      </c>
      <c r="Y411" t="s">
        <v>1395</v>
      </c>
      <c r="Z411">
        <v>57110</v>
      </c>
      <c r="AA411">
        <v>0.15</v>
      </c>
      <c r="AB411">
        <v>65676.5</v>
      </c>
    </row>
    <row r="412" spans="1:28" x14ac:dyDescent="0.35">
      <c r="A412" t="str">
        <f t="shared" si="36"/>
        <v>EMP0411</v>
      </c>
      <c r="B412" t="str" cm="1">
        <f t="array" ref="B412">_xlfn.IFS(
ROW()&lt;=421,"NA",
ROW()&lt;=781,"LATAM",
ROW()&lt;=1021,"EMEA",
TRUE,"APAC"
)</f>
        <v>NA</v>
      </c>
      <c r="C412" t="str">
        <f t="shared" si="37"/>
        <v>USA</v>
      </c>
      <c r="D412" t="s">
        <v>35</v>
      </c>
      <c r="E412" t="s">
        <v>380</v>
      </c>
      <c r="F412" t="s">
        <v>564</v>
      </c>
      <c r="G412" t="s">
        <v>28</v>
      </c>
      <c r="H412" s="2">
        <v>44882</v>
      </c>
      <c r="I412" t="s">
        <v>29</v>
      </c>
      <c r="J412" t="s">
        <v>36</v>
      </c>
      <c r="K412" t="str">
        <f t="shared" ca="1" si="40"/>
        <v>OK</v>
      </c>
      <c r="L412" t="s">
        <v>887</v>
      </c>
      <c r="M412">
        <v>5</v>
      </c>
      <c r="N412" s="2">
        <v>46016</v>
      </c>
      <c r="O412" s="2" t="s">
        <v>22</v>
      </c>
      <c r="P412" s="4">
        <f t="shared" ca="1" si="38"/>
        <v>3</v>
      </c>
      <c r="Q412" s="4" t="str">
        <f t="shared" ca="1" si="39"/>
        <v>3-5 Years</v>
      </c>
      <c r="R412">
        <f t="shared" ca="1" si="41"/>
        <v>0</v>
      </c>
      <c r="S412" t="s">
        <v>22</v>
      </c>
      <c r="T412">
        <v>2</v>
      </c>
      <c r="U412" t="s">
        <v>1396</v>
      </c>
      <c r="V412" t="s">
        <v>1394</v>
      </c>
      <c r="W412" t="s">
        <v>1394</v>
      </c>
      <c r="X412" s="3">
        <v>4</v>
      </c>
      <c r="Y412" t="s">
        <v>1395</v>
      </c>
      <c r="Z412">
        <v>25430</v>
      </c>
      <c r="AA412">
        <v>0.1</v>
      </c>
      <c r="AB412">
        <v>27973.000000000004</v>
      </c>
    </row>
    <row r="413" spans="1:28" x14ac:dyDescent="0.35">
      <c r="A413" t="str">
        <f t="shared" si="36"/>
        <v>EMP0412</v>
      </c>
      <c r="B413" t="str" cm="1">
        <f t="array" ref="B413">_xlfn.IFS(
ROW()&lt;=421,"NA",
ROW()&lt;=781,"LATAM",
ROW()&lt;=1021,"EMEA",
TRUE,"APAC"
)</f>
        <v>NA</v>
      </c>
      <c r="C413" t="str">
        <f t="shared" si="37"/>
        <v>USA</v>
      </c>
      <c r="D413" t="s">
        <v>26</v>
      </c>
      <c r="E413" t="s">
        <v>380</v>
      </c>
      <c r="F413" t="s">
        <v>663</v>
      </c>
      <c r="G413" t="s">
        <v>28</v>
      </c>
      <c r="H413" s="2">
        <v>44881</v>
      </c>
      <c r="I413" t="s">
        <v>29</v>
      </c>
      <c r="J413" t="s">
        <v>30</v>
      </c>
      <c r="K413" t="str">
        <f t="shared" ca="1" si="40"/>
        <v>OK</v>
      </c>
      <c r="L413" t="s">
        <v>1009</v>
      </c>
      <c r="M413">
        <v>5</v>
      </c>
      <c r="N413" s="2">
        <v>46062</v>
      </c>
      <c r="O413" s="2" t="s">
        <v>22</v>
      </c>
      <c r="P413" s="4">
        <f t="shared" ca="1" si="38"/>
        <v>3</v>
      </c>
      <c r="Q413" s="4" t="str">
        <f t="shared" ca="1" si="39"/>
        <v>3-5 Years</v>
      </c>
      <c r="R413">
        <f t="shared" ca="1" si="41"/>
        <v>0</v>
      </c>
      <c r="S413" t="s">
        <v>22</v>
      </c>
      <c r="T413">
        <v>5</v>
      </c>
      <c r="U413" t="s">
        <v>1394</v>
      </c>
      <c r="V413" t="s">
        <v>1394</v>
      </c>
      <c r="W413" t="s">
        <v>1394</v>
      </c>
      <c r="X413" s="3">
        <v>5</v>
      </c>
      <c r="Y413" t="s">
        <v>1395</v>
      </c>
      <c r="Z413">
        <v>25607</v>
      </c>
      <c r="AA413">
        <v>0.1</v>
      </c>
      <c r="AB413">
        <v>28167.7</v>
      </c>
    </row>
    <row r="414" spans="1:28" x14ac:dyDescent="0.35">
      <c r="A414" t="str">
        <f t="shared" si="36"/>
        <v>EMP0413</v>
      </c>
      <c r="B414" t="str" cm="1">
        <f t="array" ref="B414">_xlfn.IFS(
ROW()&lt;=421,"NA",
ROW()&lt;=781,"LATAM",
ROW()&lt;=1021,"EMEA",
TRUE,"APAC"
)</f>
        <v>NA</v>
      </c>
      <c r="C414" t="str">
        <f t="shared" si="37"/>
        <v>USA</v>
      </c>
      <c r="D414" t="s">
        <v>44</v>
      </c>
      <c r="E414" t="s">
        <v>145</v>
      </c>
      <c r="F414" t="s">
        <v>166</v>
      </c>
      <c r="G414" t="s">
        <v>28</v>
      </c>
      <c r="H414" s="2">
        <v>44878</v>
      </c>
      <c r="I414" t="s">
        <v>57</v>
      </c>
      <c r="J414" t="s">
        <v>47</v>
      </c>
      <c r="K414" t="str">
        <f t="shared" ca="1" si="40"/>
        <v>OK</v>
      </c>
      <c r="L414" t="s">
        <v>320</v>
      </c>
      <c r="M414">
        <v>4</v>
      </c>
      <c r="N414" s="2">
        <v>46002</v>
      </c>
      <c r="O414" s="2">
        <v>45823</v>
      </c>
      <c r="P414" s="4">
        <f t="shared" ca="1" si="38"/>
        <v>2</v>
      </c>
      <c r="Q414" s="4" t="str">
        <f t="shared" ca="1" si="39"/>
        <v>0-2 Years</v>
      </c>
      <c r="R414">
        <f t="shared" ca="1" si="41"/>
        <v>1</v>
      </c>
      <c r="S414" t="s">
        <v>24</v>
      </c>
      <c r="T414">
        <v>3</v>
      </c>
      <c r="U414" t="s">
        <v>1394</v>
      </c>
      <c r="V414" t="s">
        <v>1394</v>
      </c>
      <c r="W414" t="s">
        <v>1394</v>
      </c>
      <c r="X414" s="3">
        <v>3</v>
      </c>
      <c r="Y414" t="s">
        <v>1398</v>
      </c>
      <c r="Z414">
        <v>84026</v>
      </c>
      <c r="AA414">
        <v>0.15</v>
      </c>
      <c r="AB414">
        <v>96629.9</v>
      </c>
    </row>
    <row r="415" spans="1:28" x14ac:dyDescent="0.35">
      <c r="A415" t="str">
        <f t="shared" si="36"/>
        <v>EMP0414</v>
      </c>
      <c r="B415" t="str" cm="1">
        <f t="array" ref="B415">_xlfn.IFS(
ROW()&lt;=421,"NA",
ROW()&lt;=781,"LATAM",
ROW()&lt;=1021,"EMEA",
TRUE,"APAC"
)</f>
        <v>NA</v>
      </c>
      <c r="C415" t="str">
        <f t="shared" si="37"/>
        <v>USA</v>
      </c>
      <c r="D415" t="s">
        <v>38</v>
      </c>
      <c r="E415" t="s">
        <v>380</v>
      </c>
      <c r="F415" t="s">
        <v>418</v>
      </c>
      <c r="G415" t="s">
        <v>28</v>
      </c>
      <c r="H415" s="2">
        <v>44878</v>
      </c>
      <c r="I415" t="s">
        <v>29</v>
      </c>
      <c r="J415" t="s">
        <v>39</v>
      </c>
      <c r="K415" t="str">
        <f t="shared" ca="1" si="40"/>
        <v>OK</v>
      </c>
      <c r="L415" t="s">
        <v>835</v>
      </c>
      <c r="M415">
        <v>5</v>
      </c>
      <c r="N415" s="2">
        <v>46060</v>
      </c>
      <c r="O415" s="2" t="s">
        <v>22</v>
      </c>
      <c r="P415" s="4">
        <f t="shared" ca="1" si="38"/>
        <v>3</v>
      </c>
      <c r="Q415" s="4" t="str">
        <f t="shared" ca="1" si="39"/>
        <v>3-5 Years</v>
      </c>
      <c r="R415">
        <f t="shared" ca="1" si="41"/>
        <v>0</v>
      </c>
      <c r="S415" t="s">
        <v>22</v>
      </c>
      <c r="T415">
        <v>4</v>
      </c>
      <c r="U415" t="s">
        <v>1396</v>
      </c>
      <c r="V415" t="s">
        <v>1396</v>
      </c>
      <c r="W415" t="s">
        <v>1394</v>
      </c>
      <c r="X415" s="3">
        <v>4</v>
      </c>
      <c r="Y415" t="s">
        <v>1395</v>
      </c>
      <c r="Z415">
        <v>33979</v>
      </c>
      <c r="AA415">
        <v>0.1</v>
      </c>
      <c r="AB415">
        <v>37376.9</v>
      </c>
    </row>
    <row r="416" spans="1:28" x14ac:dyDescent="0.35">
      <c r="A416" t="str">
        <f t="shared" si="36"/>
        <v>EMP0415</v>
      </c>
      <c r="B416" t="str" cm="1">
        <f t="array" ref="B416">_xlfn.IFS(
ROW()&lt;=421,"NA",
ROW()&lt;=781,"LATAM",
ROW()&lt;=1021,"EMEA",
TRUE,"APAC"
)</f>
        <v>NA</v>
      </c>
      <c r="C416" t="str">
        <f t="shared" si="37"/>
        <v>USA</v>
      </c>
      <c r="D416" t="s">
        <v>44</v>
      </c>
      <c r="E416" t="s">
        <v>380</v>
      </c>
      <c r="F416" t="s">
        <v>663</v>
      </c>
      <c r="G416" t="s">
        <v>28</v>
      </c>
      <c r="H416" s="2">
        <v>44877</v>
      </c>
      <c r="I416" t="s">
        <v>29</v>
      </c>
      <c r="J416" t="s">
        <v>47</v>
      </c>
      <c r="K416" t="str">
        <f t="shared" ca="1" si="40"/>
        <v>OK</v>
      </c>
      <c r="L416" t="s">
        <v>304</v>
      </c>
      <c r="M416">
        <v>5</v>
      </c>
      <c r="N416" s="2">
        <v>46039</v>
      </c>
      <c r="O416" s="2" t="s">
        <v>22</v>
      </c>
      <c r="P416" s="4">
        <f t="shared" ca="1" si="38"/>
        <v>3</v>
      </c>
      <c r="Q416" s="4" t="str">
        <f t="shared" ca="1" si="39"/>
        <v>3-5 Years</v>
      </c>
      <c r="R416">
        <f t="shared" ca="1" si="41"/>
        <v>0</v>
      </c>
      <c r="S416" t="s">
        <v>22</v>
      </c>
      <c r="T416">
        <v>4</v>
      </c>
      <c r="U416" t="s">
        <v>1394</v>
      </c>
      <c r="V416" t="s">
        <v>1394</v>
      </c>
      <c r="W416" t="s">
        <v>1394</v>
      </c>
      <c r="X416" s="3">
        <v>1</v>
      </c>
      <c r="Y416" t="s">
        <v>1397</v>
      </c>
      <c r="Z416">
        <v>46671</v>
      </c>
      <c r="AA416">
        <v>0.1</v>
      </c>
      <c r="AB416">
        <v>51338.100000000006</v>
      </c>
    </row>
    <row r="417" spans="1:28" x14ac:dyDescent="0.35">
      <c r="A417" t="str">
        <f t="shared" si="36"/>
        <v>EMP0416</v>
      </c>
      <c r="B417" t="str" cm="1">
        <f t="array" ref="B417">_xlfn.IFS(
ROW()&lt;=421,"NA",
ROW()&lt;=781,"LATAM",
ROW()&lt;=1021,"EMEA",
TRUE,"APAC"
)</f>
        <v>NA</v>
      </c>
      <c r="C417" t="str">
        <f t="shared" si="37"/>
        <v>USA</v>
      </c>
      <c r="D417" t="s">
        <v>35</v>
      </c>
      <c r="E417" t="s">
        <v>69</v>
      </c>
      <c r="F417" t="s">
        <v>86</v>
      </c>
      <c r="G417" t="s">
        <v>28</v>
      </c>
      <c r="H417" s="2">
        <v>44873</v>
      </c>
      <c r="I417" t="s">
        <v>29</v>
      </c>
      <c r="J417" t="s">
        <v>36</v>
      </c>
      <c r="K417" t="str">
        <f t="shared" ca="1" si="40"/>
        <v>OK</v>
      </c>
      <c r="L417" t="s">
        <v>139</v>
      </c>
      <c r="M417">
        <v>3</v>
      </c>
      <c r="N417" s="2">
        <v>46034</v>
      </c>
      <c r="O417" s="2" t="s">
        <v>22</v>
      </c>
      <c r="P417" s="4">
        <f t="shared" ca="1" si="38"/>
        <v>3</v>
      </c>
      <c r="Q417" s="4" t="str">
        <f t="shared" ca="1" si="39"/>
        <v>3-5 Years</v>
      </c>
      <c r="R417">
        <f t="shared" ca="1" si="41"/>
        <v>0</v>
      </c>
      <c r="S417" t="s">
        <v>22</v>
      </c>
      <c r="T417">
        <v>4</v>
      </c>
      <c r="U417" t="s">
        <v>1394</v>
      </c>
      <c r="V417" t="s">
        <v>1394</v>
      </c>
      <c r="W417" t="s">
        <v>1394</v>
      </c>
      <c r="X417" s="3">
        <v>5</v>
      </c>
      <c r="Y417" t="s">
        <v>1395</v>
      </c>
      <c r="Z417">
        <v>125260</v>
      </c>
      <c r="AA417">
        <v>0.2</v>
      </c>
      <c r="AB417">
        <v>150312</v>
      </c>
    </row>
    <row r="418" spans="1:28" x14ac:dyDescent="0.35">
      <c r="A418" t="str">
        <f t="shared" si="36"/>
        <v>EMP0417</v>
      </c>
      <c r="B418" t="str" cm="1">
        <f t="array" ref="B418">_xlfn.IFS(
ROW()&lt;=421,"NA",
ROW()&lt;=781,"LATAM",
ROW()&lt;=1021,"EMEA",
TRUE,"APAC"
)</f>
        <v>NA</v>
      </c>
      <c r="C418" t="str">
        <f t="shared" si="37"/>
        <v>USA</v>
      </c>
      <c r="D418" t="s">
        <v>44</v>
      </c>
      <c r="E418" t="s">
        <v>380</v>
      </c>
      <c r="F418" t="s">
        <v>709</v>
      </c>
      <c r="G418" t="s">
        <v>28</v>
      </c>
      <c r="H418" s="2">
        <v>44870</v>
      </c>
      <c r="I418" t="s">
        <v>29</v>
      </c>
      <c r="J418" t="s">
        <v>47</v>
      </c>
      <c r="K418" t="str">
        <f t="shared" ca="1" si="40"/>
        <v>OK</v>
      </c>
      <c r="L418" t="s">
        <v>961</v>
      </c>
      <c r="M418">
        <v>5</v>
      </c>
      <c r="N418" s="2">
        <v>46062</v>
      </c>
      <c r="O418" s="2" t="s">
        <v>22</v>
      </c>
      <c r="P418" s="4">
        <f t="shared" ca="1" si="38"/>
        <v>3</v>
      </c>
      <c r="Q418" s="4" t="str">
        <f t="shared" ca="1" si="39"/>
        <v>3-5 Years</v>
      </c>
      <c r="R418">
        <f t="shared" ca="1" si="41"/>
        <v>0</v>
      </c>
      <c r="S418" t="s">
        <v>22</v>
      </c>
      <c r="T418">
        <v>3</v>
      </c>
      <c r="U418" t="s">
        <v>1394</v>
      </c>
      <c r="V418" t="s">
        <v>1394</v>
      </c>
      <c r="W418" t="s">
        <v>1394</v>
      </c>
      <c r="X418" s="3">
        <v>1</v>
      </c>
      <c r="Y418" t="s">
        <v>1397</v>
      </c>
      <c r="Z418">
        <v>41740</v>
      </c>
      <c r="AA418">
        <v>0.1</v>
      </c>
      <c r="AB418">
        <v>45914.000000000007</v>
      </c>
    </row>
    <row r="419" spans="1:28" x14ac:dyDescent="0.35">
      <c r="A419" t="str">
        <f t="shared" si="36"/>
        <v>EMP0418</v>
      </c>
      <c r="B419" t="str" cm="1">
        <f t="array" ref="B419">_xlfn.IFS(
ROW()&lt;=421,"NA",
ROW()&lt;=781,"LATAM",
ROW()&lt;=1021,"EMEA",
TRUE,"APAC"
)</f>
        <v>NA</v>
      </c>
      <c r="C419" t="str">
        <f t="shared" si="37"/>
        <v>USA</v>
      </c>
      <c r="D419" t="s">
        <v>41</v>
      </c>
      <c r="E419" t="s">
        <v>380</v>
      </c>
      <c r="F419" t="s">
        <v>759</v>
      </c>
      <c r="G419" t="s">
        <v>28</v>
      </c>
      <c r="H419" s="2">
        <v>44868</v>
      </c>
      <c r="I419" t="s">
        <v>29</v>
      </c>
      <c r="J419" t="s">
        <v>42</v>
      </c>
      <c r="K419" t="str">
        <f t="shared" ca="1" si="40"/>
        <v>OK</v>
      </c>
      <c r="L419" t="s">
        <v>1287</v>
      </c>
      <c r="M419">
        <v>5</v>
      </c>
      <c r="N419" s="2">
        <v>46008</v>
      </c>
      <c r="O419" s="2" t="s">
        <v>22</v>
      </c>
      <c r="P419" s="4">
        <f t="shared" ca="1" si="38"/>
        <v>3</v>
      </c>
      <c r="Q419" s="4" t="str">
        <f t="shared" ca="1" si="39"/>
        <v>3-5 Years</v>
      </c>
      <c r="R419">
        <f t="shared" ca="1" si="41"/>
        <v>0</v>
      </c>
      <c r="S419" t="s">
        <v>22</v>
      </c>
      <c r="T419">
        <v>3</v>
      </c>
      <c r="U419" t="s">
        <v>1394</v>
      </c>
      <c r="V419" t="s">
        <v>1394</v>
      </c>
      <c r="W419" t="s">
        <v>1394</v>
      </c>
      <c r="X419" s="3">
        <v>2</v>
      </c>
      <c r="Y419" t="s">
        <v>1397</v>
      </c>
      <c r="Z419">
        <v>28124</v>
      </c>
      <c r="AA419">
        <v>0.1</v>
      </c>
      <c r="AB419">
        <v>30936.400000000001</v>
      </c>
    </row>
    <row r="420" spans="1:28" x14ac:dyDescent="0.35">
      <c r="A420" t="str">
        <f t="shared" si="36"/>
        <v>EMP0419</v>
      </c>
      <c r="B420" t="str" cm="1">
        <f t="array" ref="B420">_xlfn.IFS(
ROW()&lt;=421,"NA",
ROW()&lt;=781,"LATAM",
ROW()&lt;=1021,"EMEA",
TRUE,"APAC"
)</f>
        <v>NA</v>
      </c>
      <c r="C420" t="str">
        <f t="shared" si="37"/>
        <v>USA</v>
      </c>
      <c r="D420" t="s">
        <v>44</v>
      </c>
      <c r="E420" t="s">
        <v>380</v>
      </c>
      <c r="F420" t="s">
        <v>414</v>
      </c>
      <c r="G420" t="s">
        <v>28</v>
      </c>
      <c r="H420" s="2">
        <v>44867</v>
      </c>
      <c r="I420" t="s">
        <v>29</v>
      </c>
      <c r="J420" t="s">
        <v>47</v>
      </c>
      <c r="K420" t="str">
        <f t="shared" ca="1" si="40"/>
        <v>OK</v>
      </c>
      <c r="L420" t="s">
        <v>889</v>
      </c>
      <c r="M420">
        <v>5</v>
      </c>
      <c r="N420" s="2">
        <v>46024</v>
      </c>
      <c r="O420" s="2" t="s">
        <v>22</v>
      </c>
      <c r="P420" s="4">
        <f t="shared" ca="1" si="38"/>
        <v>3</v>
      </c>
      <c r="Q420" s="4" t="str">
        <f t="shared" ca="1" si="39"/>
        <v>3-5 Years</v>
      </c>
      <c r="R420">
        <f t="shared" ca="1" si="41"/>
        <v>0</v>
      </c>
      <c r="S420" t="s">
        <v>22</v>
      </c>
      <c r="T420">
        <v>2</v>
      </c>
      <c r="U420" t="s">
        <v>1394</v>
      </c>
      <c r="V420" t="s">
        <v>1394</v>
      </c>
      <c r="W420" t="s">
        <v>1394</v>
      </c>
      <c r="X420" s="3">
        <v>5</v>
      </c>
      <c r="Y420" t="s">
        <v>1395</v>
      </c>
      <c r="Z420">
        <v>42450</v>
      </c>
      <c r="AA420">
        <v>0.1</v>
      </c>
      <c r="AB420">
        <v>46695.000000000007</v>
      </c>
    </row>
    <row r="421" spans="1:28" x14ac:dyDescent="0.35">
      <c r="A421" t="str">
        <f t="shared" si="36"/>
        <v>EMP0420</v>
      </c>
      <c r="B421" t="str" cm="1">
        <f t="array" ref="B421">_xlfn.IFS(
ROW()&lt;=421,"NA",
ROW()&lt;=781,"LATAM",
ROW()&lt;=1021,"EMEA",
TRUE,"APAC"
)</f>
        <v>NA</v>
      </c>
      <c r="C421" t="str">
        <f t="shared" si="37"/>
        <v>USA</v>
      </c>
      <c r="D421" t="s">
        <v>38</v>
      </c>
      <c r="E421" t="s">
        <v>380</v>
      </c>
      <c r="F421" t="s">
        <v>476</v>
      </c>
      <c r="G421" t="s">
        <v>28</v>
      </c>
      <c r="H421" s="2">
        <v>44860</v>
      </c>
      <c r="I421" t="s">
        <v>29</v>
      </c>
      <c r="J421" t="s">
        <v>39</v>
      </c>
      <c r="K421" t="str">
        <f t="shared" ca="1" si="40"/>
        <v>OK</v>
      </c>
      <c r="L421" t="s">
        <v>551</v>
      </c>
      <c r="M421">
        <v>5</v>
      </c>
      <c r="N421" s="2">
        <v>46028</v>
      </c>
      <c r="O421" s="2" t="s">
        <v>22</v>
      </c>
      <c r="P421" s="4">
        <f t="shared" ca="1" si="38"/>
        <v>3</v>
      </c>
      <c r="Q421" s="4" t="str">
        <f t="shared" ca="1" si="39"/>
        <v>3-5 Years</v>
      </c>
      <c r="R421">
        <f t="shared" ca="1" si="41"/>
        <v>0</v>
      </c>
      <c r="S421" t="s">
        <v>22</v>
      </c>
      <c r="T421">
        <v>4</v>
      </c>
      <c r="U421" t="s">
        <v>1394</v>
      </c>
      <c r="V421" t="s">
        <v>1394</v>
      </c>
      <c r="W421" t="s">
        <v>1394</v>
      </c>
      <c r="X421" s="3">
        <v>1</v>
      </c>
      <c r="Y421" t="s">
        <v>1397</v>
      </c>
      <c r="Z421">
        <v>44137</v>
      </c>
      <c r="AA421">
        <v>0.1</v>
      </c>
      <c r="AB421">
        <v>48550.700000000004</v>
      </c>
    </row>
    <row r="422" spans="1:28" x14ac:dyDescent="0.35">
      <c r="A422" t="str">
        <f t="shared" si="36"/>
        <v>EMP0421</v>
      </c>
      <c r="B422" t="str" cm="1">
        <f t="array" ref="B422">_xlfn.IFS(
ROW()&lt;=421,"NA",
ROW()&lt;=781,"LATAM",
ROW()&lt;=1021,"EMEA",
TRUE,"APAC"
)</f>
        <v>LATAM</v>
      </c>
      <c r="C422" t="str">
        <f t="shared" si="37"/>
        <v>Mexico</v>
      </c>
      <c r="D422" t="s">
        <v>26</v>
      </c>
      <c r="E422" t="s">
        <v>380</v>
      </c>
      <c r="F422" t="s">
        <v>618</v>
      </c>
      <c r="G422" t="s">
        <v>28</v>
      </c>
      <c r="H422" s="2">
        <v>44857</v>
      </c>
      <c r="I422" t="s">
        <v>57</v>
      </c>
      <c r="J422" t="s">
        <v>30</v>
      </c>
      <c r="K422" t="str">
        <f t="shared" ca="1" si="40"/>
        <v>OK</v>
      </c>
      <c r="L422" t="s">
        <v>951</v>
      </c>
      <c r="M422">
        <v>5</v>
      </c>
      <c r="N422" s="2">
        <v>46024</v>
      </c>
      <c r="O422" s="2">
        <v>46071</v>
      </c>
      <c r="P422" s="4">
        <f t="shared" ca="1" si="38"/>
        <v>3</v>
      </c>
      <c r="Q422" s="4" t="str">
        <f t="shared" ca="1" si="39"/>
        <v>3-5 Years</v>
      </c>
      <c r="R422">
        <f t="shared" ca="1" si="41"/>
        <v>0</v>
      </c>
      <c r="S422" t="s">
        <v>23</v>
      </c>
      <c r="T422">
        <v>4</v>
      </c>
      <c r="U422" t="s">
        <v>1394</v>
      </c>
      <c r="V422" t="s">
        <v>1394</v>
      </c>
      <c r="W422" t="s">
        <v>1394</v>
      </c>
      <c r="X422" s="3">
        <v>3</v>
      </c>
      <c r="Y422" t="s">
        <v>1398</v>
      </c>
      <c r="Z422">
        <v>34265</v>
      </c>
      <c r="AA422">
        <v>0.1</v>
      </c>
      <c r="AB422">
        <v>37691.5</v>
      </c>
    </row>
    <row r="423" spans="1:28" x14ac:dyDescent="0.35">
      <c r="A423" t="str">
        <f t="shared" si="36"/>
        <v>EMP0422</v>
      </c>
      <c r="B423" t="str" cm="1">
        <f t="array" ref="B423">_xlfn.IFS(
ROW()&lt;=421,"NA",
ROW()&lt;=781,"LATAM",
ROW()&lt;=1021,"EMEA",
TRUE,"APAC"
)</f>
        <v>LATAM</v>
      </c>
      <c r="C423" t="str">
        <f t="shared" si="37"/>
        <v>Mexico</v>
      </c>
      <c r="D423" t="s">
        <v>38</v>
      </c>
      <c r="E423" t="s">
        <v>380</v>
      </c>
      <c r="F423" t="s">
        <v>444</v>
      </c>
      <c r="G423" t="s">
        <v>28</v>
      </c>
      <c r="H423" s="2">
        <v>44855</v>
      </c>
      <c r="I423" t="s">
        <v>29</v>
      </c>
      <c r="J423" t="s">
        <v>39</v>
      </c>
      <c r="K423" t="str">
        <f t="shared" ca="1" si="40"/>
        <v>OK</v>
      </c>
      <c r="L423" t="s">
        <v>1039</v>
      </c>
      <c r="M423">
        <v>5</v>
      </c>
      <c r="N423" s="2">
        <v>46040</v>
      </c>
      <c r="O423" s="2" t="s">
        <v>22</v>
      </c>
      <c r="P423" s="4">
        <f t="shared" ca="1" si="38"/>
        <v>3</v>
      </c>
      <c r="Q423" s="4" t="str">
        <f t="shared" ca="1" si="39"/>
        <v>3-5 Years</v>
      </c>
      <c r="R423">
        <f t="shared" ca="1" si="41"/>
        <v>0</v>
      </c>
      <c r="S423" t="s">
        <v>22</v>
      </c>
      <c r="T423">
        <v>4</v>
      </c>
      <c r="U423" t="s">
        <v>1394</v>
      </c>
      <c r="V423" t="s">
        <v>1394</v>
      </c>
      <c r="W423" t="s">
        <v>1394</v>
      </c>
      <c r="X423" s="3">
        <v>2</v>
      </c>
      <c r="Y423" t="s">
        <v>1397</v>
      </c>
      <c r="Z423">
        <v>29741</v>
      </c>
      <c r="AA423">
        <v>0.1</v>
      </c>
      <c r="AB423">
        <v>32715.100000000002</v>
      </c>
    </row>
    <row r="424" spans="1:28" x14ac:dyDescent="0.35">
      <c r="A424" t="str">
        <f t="shared" si="36"/>
        <v>EMP0423</v>
      </c>
      <c r="B424" t="str" cm="1">
        <f t="array" ref="B424">_xlfn.IFS(
ROW()&lt;=421,"NA",
ROW()&lt;=781,"LATAM",
ROW()&lt;=1021,"EMEA",
TRUE,"APAC"
)</f>
        <v>LATAM</v>
      </c>
      <c r="C424" t="str">
        <f t="shared" si="37"/>
        <v>Mexico</v>
      </c>
      <c r="D424" t="s">
        <v>35</v>
      </c>
      <c r="E424" t="s">
        <v>145</v>
      </c>
      <c r="F424" t="s">
        <v>249</v>
      </c>
      <c r="G424" t="s">
        <v>28</v>
      </c>
      <c r="H424" s="2">
        <v>44853</v>
      </c>
      <c r="I424" t="s">
        <v>29</v>
      </c>
      <c r="J424" t="s">
        <v>36</v>
      </c>
      <c r="K424" t="str">
        <f t="shared" ca="1" si="40"/>
        <v>OK</v>
      </c>
      <c r="L424" t="s">
        <v>250</v>
      </c>
      <c r="M424">
        <v>4</v>
      </c>
      <c r="N424" s="2">
        <v>46027</v>
      </c>
      <c r="O424" s="2" t="s">
        <v>22</v>
      </c>
      <c r="P424" s="4">
        <f t="shared" ca="1" si="38"/>
        <v>3</v>
      </c>
      <c r="Q424" s="4" t="str">
        <f t="shared" ca="1" si="39"/>
        <v>3-5 Years</v>
      </c>
      <c r="R424">
        <f t="shared" ca="1" si="41"/>
        <v>0</v>
      </c>
      <c r="S424" t="s">
        <v>22</v>
      </c>
      <c r="T424">
        <v>2</v>
      </c>
      <c r="U424" t="s">
        <v>1396</v>
      </c>
      <c r="V424" t="s">
        <v>1394</v>
      </c>
      <c r="W424" t="s">
        <v>1394</v>
      </c>
      <c r="X424" s="3">
        <v>1</v>
      </c>
      <c r="Y424" t="s">
        <v>1397</v>
      </c>
      <c r="Z424">
        <v>51996</v>
      </c>
      <c r="AA424">
        <v>0.15</v>
      </c>
      <c r="AB424">
        <v>59795.399999999994</v>
      </c>
    </row>
    <row r="425" spans="1:28" x14ac:dyDescent="0.35">
      <c r="A425" t="str">
        <f t="shared" si="36"/>
        <v>EMP0424</v>
      </c>
      <c r="B425" t="str" cm="1">
        <f t="array" ref="B425">_xlfn.IFS(
ROW()&lt;=421,"NA",
ROW()&lt;=781,"LATAM",
ROW()&lt;=1021,"EMEA",
TRUE,"APAC"
)</f>
        <v>LATAM</v>
      </c>
      <c r="C425" t="str">
        <f t="shared" si="37"/>
        <v>Mexico</v>
      </c>
      <c r="D425" t="s">
        <v>44</v>
      </c>
      <c r="E425" t="s">
        <v>380</v>
      </c>
      <c r="F425" t="s">
        <v>512</v>
      </c>
      <c r="G425" t="s">
        <v>28</v>
      </c>
      <c r="H425" s="2">
        <v>44853</v>
      </c>
      <c r="I425" t="s">
        <v>29</v>
      </c>
      <c r="J425" t="s">
        <v>47</v>
      </c>
      <c r="K425" t="str">
        <f t="shared" ca="1" si="40"/>
        <v>OK</v>
      </c>
      <c r="L425" t="s">
        <v>743</v>
      </c>
      <c r="M425">
        <v>5</v>
      </c>
      <c r="N425" s="2">
        <v>46066</v>
      </c>
      <c r="O425" s="2" t="s">
        <v>22</v>
      </c>
      <c r="P425" s="4">
        <f t="shared" ca="1" si="38"/>
        <v>3</v>
      </c>
      <c r="Q425" s="4" t="str">
        <f t="shared" ca="1" si="39"/>
        <v>3-5 Years</v>
      </c>
      <c r="R425">
        <f t="shared" ca="1" si="41"/>
        <v>0</v>
      </c>
      <c r="S425" t="s">
        <v>22</v>
      </c>
      <c r="T425">
        <v>4</v>
      </c>
      <c r="U425" t="s">
        <v>1394</v>
      </c>
      <c r="V425" t="s">
        <v>1394</v>
      </c>
      <c r="W425" t="s">
        <v>1394</v>
      </c>
      <c r="X425" s="3">
        <v>1</v>
      </c>
      <c r="Y425" t="s">
        <v>1397</v>
      </c>
      <c r="Z425">
        <v>40278</v>
      </c>
      <c r="AA425">
        <v>0.1</v>
      </c>
      <c r="AB425">
        <v>44305.8</v>
      </c>
    </row>
    <row r="426" spans="1:28" x14ac:dyDescent="0.35">
      <c r="A426" t="str">
        <f t="shared" si="36"/>
        <v>EMP0425</v>
      </c>
      <c r="B426" t="str" cm="1">
        <f t="array" ref="B426">_xlfn.IFS(
ROW()&lt;=421,"NA",
ROW()&lt;=781,"LATAM",
ROW()&lt;=1021,"EMEA",
TRUE,"APAC"
)</f>
        <v>LATAM</v>
      </c>
      <c r="C426" t="str">
        <f t="shared" si="37"/>
        <v>Mexico</v>
      </c>
      <c r="D426" t="s">
        <v>32</v>
      </c>
      <c r="E426" t="s">
        <v>145</v>
      </c>
      <c r="F426" t="s">
        <v>278</v>
      </c>
      <c r="G426" t="s">
        <v>28</v>
      </c>
      <c r="H426" s="2">
        <v>44843</v>
      </c>
      <c r="I426" t="s">
        <v>29</v>
      </c>
      <c r="J426" t="s">
        <v>33</v>
      </c>
      <c r="K426" t="str">
        <f t="shared" ca="1" si="40"/>
        <v>OK</v>
      </c>
      <c r="L426" t="s">
        <v>299</v>
      </c>
      <c r="M426">
        <v>4</v>
      </c>
      <c r="N426" s="2">
        <v>46013</v>
      </c>
      <c r="O426" s="2" t="s">
        <v>22</v>
      </c>
      <c r="P426" s="4">
        <f t="shared" ca="1" si="38"/>
        <v>3</v>
      </c>
      <c r="Q426" s="4" t="str">
        <f t="shared" ca="1" si="39"/>
        <v>3-5 Years</v>
      </c>
      <c r="R426">
        <f t="shared" ca="1" si="41"/>
        <v>0</v>
      </c>
      <c r="S426" t="s">
        <v>22</v>
      </c>
      <c r="T426">
        <v>4</v>
      </c>
      <c r="U426" t="s">
        <v>1396</v>
      </c>
      <c r="V426" t="s">
        <v>1394</v>
      </c>
      <c r="W426" t="s">
        <v>1394</v>
      </c>
      <c r="X426" s="3">
        <v>5</v>
      </c>
      <c r="Y426" t="s">
        <v>1395</v>
      </c>
      <c r="Z426">
        <v>66727</v>
      </c>
      <c r="AA426">
        <v>0.15</v>
      </c>
      <c r="AB426">
        <v>76736.049999999988</v>
      </c>
    </row>
    <row r="427" spans="1:28" x14ac:dyDescent="0.35">
      <c r="A427" t="str">
        <f t="shared" si="36"/>
        <v>EMP0426</v>
      </c>
      <c r="B427" t="str" cm="1">
        <f t="array" ref="B427">_xlfn.IFS(
ROW()&lt;=421,"NA",
ROW()&lt;=781,"LATAM",
ROW()&lt;=1021,"EMEA",
TRUE,"APAC"
)</f>
        <v>LATAM</v>
      </c>
      <c r="C427" t="str">
        <f t="shared" si="37"/>
        <v>Mexico</v>
      </c>
      <c r="D427" t="s">
        <v>41</v>
      </c>
      <c r="E427" t="s">
        <v>380</v>
      </c>
      <c r="F427" t="s">
        <v>706</v>
      </c>
      <c r="G427" t="s">
        <v>28</v>
      </c>
      <c r="H427" s="2">
        <v>44840</v>
      </c>
      <c r="I427" t="s">
        <v>29</v>
      </c>
      <c r="J427" t="s">
        <v>42</v>
      </c>
      <c r="K427" t="str">
        <f t="shared" ca="1" si="40"/>
        <v>OK</v>
      </c>
      <c r="L427" t="s">
        <v>1317</v>
      </c>
      <c r="M427">
        <v>5</v>
      </c>
      <c r="N427" s="2">
        <v>46078</v>
      </c>
      <c r="O427" s="2" t="s">
        <v>22</v>
      </c>
      <c r="P427" s="4">
        <f t="shared" ca="1" si="38"/>
        <v>3</v>
      </c>
      <c r="Q427" s="4" t="str">
        <f t="shared" ca="1" si="39"/>
        <v>3-5 Years</v>
      </c>
      <c r="R427">
        <f t="shared" ca="1" si="41"/>
        <v>0</v>
      </c>
      <c r="S427" t="s">
        <v>22</v>
      </c>
      <c r="T427">
        <v>3</v>
      </c>
      <c r="U427" t="s">
        <v>1394</v>
      </c>
      <c r="V427" t="s">
        <v>1394</v>
      </c>
      <c r="W427" t="s">
        <v>1394</v>
      </c>
      <c r="X427" s="3">
        <v>2</v>
      </c>
      <c r="Y427" t="s">
        <v>1397</v>
      </c>
      <c r="Z427">
        <v>43691</v>
      </c>
      <c r="AA427">
        <v>0.1</v>
      </c>
      <c r="AB427">
        <v>48060.100000000006</v>
      </c>
    </row>
    <row r="428" spans="1:28" x14ac:dyDescent="0.35">
      <c r="A428" t="str">
        <f t="shared" si="36"/>
        <v>EMP0427</v>
      </c>
      <c r="B428" t="str" cm="1">
        <f t="array" ref="B428">_xlfn.IFS(
ROW()&lt;=421,"NA",
ROW()&lt;=781,"LATAM",
ROW()&lt;=1021,"EMEA",
TRUE,"APAC"
)</f>
        <v>LATAM</v>
      </c>
      <c r="C428" t="str">
        <f t="shared" si="37"/>
        <v>Mexico</v>
      </c>
      <c r="D428" t="s">
        <v>26</v>
      </c>
      <c r="E428" t="s">
        <v>69</v>
      </c>
      <c r="F428" t="s">
        <v>74</v>
      </c>
      <c r="G428" t="s">
        <v>28</v>
      </c>
      <c r="H428" s="2">
        <v>44832</v>
      </c>
      <c r="I428" t="s">
        <v>29</v>
      </c>
      <c r="J428" t="s">
        <v>30</v>
      </c>
      <c r="K428" t="str">
        <f t="shared" ca="1" si="40"/>
        <v>OK</v>
      </c>
      <c r="L428" t="s">
        <v>131</v>
      </c>
      <c r="M428">
        <v>3</v>
      </c>
      <c r="N428" s="2">
        <v>46048</v>
      </c>
      <c r="O428" s="2" t="s">
        <v>22</v>
      </c>
      <c r="P428" s="4">
        <f t="shared" ca="1" si="38"/>
        <v>3</v>
      </c>
      <c r="Q428" s="4" t="str">
        <f t="shared" ca="1" si="39"/>
        <v>3-5 Years</v>
      </c>
      <c r="R428">
        <f t="shared" ca="1" si="41"/>
        <v>0</v>
      </c>
      <c r="S428" t="s">
        <v>22</v>
      </c>
      <c r="T428">
        <v>5</v>
      </c>
      <c r="U428" t="s">
        <v>1394</v>
      </c>
      <c r="V428" t="s">
        <v>1396</v>
      </c>
      <c r="W428" t="s">
        <v>1394</v>
      </c>
      <c r="X428" s="3">
        <v>5</v>
      </c>
      <c r="Y428" t="s">
        <v>1395</v>
      </c>
      <c r="Z428">
        <v>97654</v>
      </c>
      <c r="AA428">
        <v>0.2</v>
      </c>
      <c r="AB428">
        <v>117184.8</v>
      </c>
    </row>
    <row r="429" spans="1:28" x14ac:dyDescent="0.35">
      <c r="A429" t="str">
        <f t="shared" si="36"/>
        <v>EMP0428</v>
      </c>
      <c r="B429" t="str" cm="1">
        <f t="array" ref="B429">_xlfn.IFS(
ROW()&lt;=421,"NA",
ROW()&lt;=781,"LATAM",
ROW()&lt;=1021,"EMEA",
TRUE,"APAC"
)</f>
        <v>LATAM</v>
      </c>
      <c r="C429" t="str">
        <f t="shared" si="37"/>
        <v>Mexico</v>
      </c>
      <c r="D429" t="s">
        <v>32</v>
      </c>
      <c r="E429" t="s">
        <v>145</v>
      </c>
      <c r="F429" t="s">
        <v>166</v>
      </c>
      <c r="G429" t="s">
        <v>28</v>
      </c>
      <c r="H429" s="2">
        <v>44830</v>
      </c>
      <c r="I429" t="s">
        <v>29</v>
      </c>
      <c r="J429" t="s">
        <v>33</v>
      </c>
      <c r="K429" t="str">
        <f t="shared" ca="1" si="40"/>
        <v>OK</v>
      </c>
      <c r="L429" t="s">
        <v>240</v>
      </c>
      <c r="M429">
        <v>4</v>
      </c>
      <c r="N429" s="2">
        <v>46026</v>
      </c>
      <c r="O429" s="2" t="s">
        <v>22</v>
      </c>
      <c r="P429" s="4">
        <f t="shared" ca="1" si="38"/>
        <v>3</v>
      </c>
      <c r="Q429" s="4" t="str">
        <f t="shared" ca="1" si="39"/>
        <v>3-5 Years</v>
      </c>
      <c r="R429">
        <f t="shared" ca="1" si="41"/>
        <v>0</v>
      </c>
      <c r="S429" t="s">
        <v>22</v>
      </c>
      <c r="T429">
        <v>3</v>
      </c>
      <c r="U429" t="s">
        <v>1394</v>
      </c>
      <c r="V429" t="s">
        <v>1394</v>
      </c>
      <c r="W429" t="s">
        <v>1394</v>
      </c>
      <c r="X429" s="3">
        <v>3</v>
      </c>
      <c r="Y429" t="s">
        <v>1398</v>
      </c>
      <c r="Z429">
        <v>75168</v>
      </c>
      <c r="AA429">
        <v>0.15</v>
      </c>
      <c r="AB429">
        <v>86443.199999999997</v>
      </c>
    </row>
    <row r="430" spans="1:28" x14ac:dyDescent="0.35">
      <c r="A430" t="str">
        <f t="shared" si="36"/>
        <v>EMP0429</v>
      </c>
      <c r="B430" t="str" cm="1">
        <f t="array" ref="B430">_xlfn.IFS(
ROW()&lt;=421,"NA",
ROW()&lt;=781,"LATAM",
ROW()&lt;=1021,"EMEA",
TRUE,"APAC"
)</f>
        <v>LATAM</v>
      </c>
      <c r="C430" t="str">
        <f t="shared" si="37"/>
        <v>Mexico</v>
      </c>
      <c r="D430" t="s">
        <v>44</v>
      </c>
      <c r="E430" t="s">
        <v>380</v>
      </c>
      <c r="F430" t="s">
        <v>777</v>
      </c>
      <c r="G430" t="s">
        <v>28</v>
      </c>
      <c r="H430" s="2">
        <v>44826</v>
      </c>
      <c r="I430" t="s">
        <v>29</v>
      </c>
      <c r="J430" t="s">
        <v>47</v>
      </c>
      <c r="K430" t="str">
        <f t="shared" ca="1" si="40"/>
        <v>OK</v>
      </c>
      <c r="L430" t="s">
        <v>1115</v>
      </c>
      <c r="M430">
        <v>5</v>
      </c>
      <c r="N430" s="2">
        <v>46067</v>
      </c>
      <c r="O430" s="2" t="s">
        <v>22</v>
      </c>
      <c r="P430" s="4">
        <f t="shared" ca="1" si="38"/>
        <v>3</v>
      </c>
      <c r="Q430" s="4" t="str">
        <f t="shared" ca="1" si="39"/>
        <v>3-5 Years</v>
      </c>
      <c r="R430">
        <f t="shared" ca="1" si="41"/>
        <v>0</v>
      </c>
      <c r="S430" t="s">
        <v>22</v>
      </c>
      <c r="T430">
        <v>4</v>
      </c>
      <c r="U430" t="s">
        <v>1394</v>
      </c>
      <c r="V430" t="s">
        <v>1394</v>
      </c>
      <c r="W430" t="s">
        <v>1394</v>
      </c>
      <c r="X430" s="3">
        <v>3</v>
      </c>
      <c r="Y430" t="s">
        <v>1398</v>
      </c>
      <c r="Z430">
        <v>33823</v>
      </c>
      <c r="AA430">
        <v>0.1</v>
      </c>
      <c r="AB430">
        <v>37205.300000000003</v>
      </c>
    </row>
    <row r="431" spans="1:28" x14ac:dyDescent="0.35">
      <c r="A431" t="str">
        <f t="shared" si="36"/>
        <v>EMP0430</v>
      </c>
      <c r="B431" t="str" cm="1">
        <f t="array" ref="B431">_xlfn.IFS(
ROW()&lt;=421,"NA",
ROW()&lt;=781,"LATAM",
ROW()&lt;=1021,"EMEA",
TRUE,"APAC"
)</f>
        <v>LATAM</v>
      </c>
      <c r="C431" t="str">
        <f t="shared" si="37"/>
        <v>Mexico</v>
      </c>
      <c r="D431" t="s">
        <v>26</v>
      </c>
      <c r="E431" t="s">
        <v>380</v>
      </c>
      <c r="F431" t="s">
        <v>450</v>
      </c>
      <c r="G431" t="s">
        <v>28</v>
      </c>
      <c r="H431" s="2">
        <v>44815</v>
      </c>
      <c r="I431" t="s">
        <v>29</v>
      </c>
      <c r="J431" t="s">
        <v>30</v>
      </c>
      <c r="K431" t="str">
        <f t="shared" ca="1" si="40"/>
        <v>OK</v>
      </c>
      <c r="L431" t="s">
        <v>413</v>
      </c>
      <c r="M431">
        <v>5</v>
      </c>
      <c r="N431" s="2">
        <v>45994</v>
      </c>
      <c r="O431" s="2" t="s">
        <v>22</v>
      </c>
      <c r="P431" s="4">
        <f t="shared" ca="1" si="38"/>
        <v>3</v>
      </c>
      <c r="Q431" s="4" t="str">
        <f t="shared" ca="1" si="39"/>
        <v>3-5 Years</v>
      </c>
      <c r="R431">
        <f t="shared" ca="1" si="41"/>
        <v>0</v>
      </c>
      <c r="S431" t="s">
        <v>22</v>
      </c>
      <c r="T431">
        <v>4</v>
      </c>
      <c r="U431" t="s">
        <v>1396</v>
      </c>
      <c r="V431" t="s">
        <v>1394</v>
      </c>
      <c r="W431" t="s">
        <v>1394</v>
      </c>
      <c r="X431" s="3">
        <v>2</v>
      </c>
      <c r="Y431" t="s">
        <v>1397</v>
      </c>
      <c r="Z431">
        <v>35780</v>
      </c>
      <c r="AA431">
        <v>0.1</v>
      </c>
      <c r="AB431">
        <v>39358</v>
      </c>
    </row>
    <row r="432" spans="1:28" x14ac:dyDescent="0.35">
      <c r="A432" t="str">
        <f t="shared" si="36"/>
        <v>EMP0431</v>
      </c>
      <c r="B432" t="str" cm="1">
        <f t="array" ref="B432">_xlfn.IFS(
ROW()&lt;=421,"NA",
ROW()&lt;=781,"LATAM",
ROW()&lt;=1021,"EMEA",
TRUE,"APAC"
)</f>
        <v>LATAM</v>
      </c>
      <c r="C432" t="str">
        <f t="shared" si="37"/>
        <v>Mexico</v>
      </c>
      <c r="D432" t="s">
        <v>32</v>
      </c>
      <c r="E432" t="s">
        <v>145</v>
      </c>
      <c r="F432" t="s">
        <v>219</v>
      </c>
      <c r="G432" t="s">
        <v>28</v>
      </c>
      <c r="H432" s="2">
        <v>44814</v>
      </c>
      <c r="I432" t="s">
        <v>29</v>
      </c>
      <c r="J432" t="s">
        <v>33</v>
      </c>
      <c r="K432" t="str">
        <f t="shared" ca="1" si="40"/>
        <v>OK</v>
      </c>
      <c r="L432" t="s">
        <v>374</v>
      </c>
      <c r="M432">
        <v>4</v>
      </c>
      <c r="N432" s="2">
        <v>46040</v>
      </c>
      <c r="O432" s="2" t="s">
        <v>22</v>
      </c>
      <c r="P432" s="4">
        <f t="shared" ca="1" si="38"/>
        <v>3</v>
      </c>
      <c r="Q432" s="4" t="str">
        <f t="shared" ca="1" si="39"/>
        <v>3-5 Years</v>
      </c>
      <c r="R432">
        <f t="shared" ca="1" si="41"/>
        <v>0</v>
      </c>
      <c r="S432" t="s">
        <v>22</v>
      </c>
      <c r="T432">
        <v>2</v>
      </c>
      <c r="U432" t="s">
        <v>1394</v>
      </c>
      <c r="V432" t="s">
        <v>1394</v>
      </c>
      <c r="W432" t="s">
        <v>1394</v>
      </c>
      <c r="X432" s="3">
        <v>3</v>
      </c>
      <c r="Y432" t="s">
        <v>1398</v>
      </c>
      <c r="Z432">
        <v>88533</v>
      </c>
      <c r="AA432">
        <v>0.15</v>
      </c>
      <c r="AB432">
        <v>101812.95</v>
      </c>
    </row>
    <row r="433" spans="1:28" x14ac:dyDescent="0.35">
      <c r="A433" t="str">
        <f t="shared" si="36"/>
        <v>EMP0432</v>
      </c>
      <c r="B433" t="str" cm="1">
        <f t="array" ref="B433">_xlfn.IFS(
ROW()&lt;=421,"NA",
ROW()&lt;=781,"LATAM",
ROW()&lt;=1021,"EMEA",
TRUE,"APAC"
)</f>
        <v>LATAM</v>
      </c>
      <c r="C433" t="str">
        <f t="shared" si="37"/>
        <v>Mexico</v>
      </c>
      <c r="D433" t="s">
        <v>32</v>
      </c>
      <c r="E433" t="s">
        <v>145</v>
      </c>
      <c r="F433" t="s">
        <v>201</v>
      </c>
      <c r="G433" t="s">
        <v>28</v>
      </c>
      <c r="H433" s="2">
        <v>44808</v>
      </c>
      <c r="I433" t="s">
        <v>29</v>
      </c>
      <c r="J433" t="s">
        <v>33</v>
      </c>
      <c r="K433" t="str">
        <f t="shared" ca="1" si="40"/>
        <v>OK</v>
      </c>
      <c r="L433" t="s">
        <v>367</v>
      </c>
      <c r="M433">
        <v>4</v>
      </c>
      <c r="N433" s="2">
        <v>46074</v>
      </c>
      <c r="O433" s="2" t="s">
        <v>22</v>
      </c>
      <c r="P433" s="4">
        <f t="shared" ca="1" si="38"/>
        <v>3</v>
      </c>
      <c r="Q433" s="4" t="str">
        <f t="shared" ca="1" si="39"/>
        <v>3-5 Years</v>
      </c>
      <c r="R433">
        <f t="shared" ca="1" si="41"/>
        <v>0</v>
      </c>
      <c r="S433" t="s">
        <v>22</v>
      </c>
      <c r="T433">
        <v>4</v>
      </c>
      <c r="U433" t="s">
        <v>1394</v>
      </c>
      <c r="V433" t="s">
        <v>1394</v>
      </c>
      <c r="W433" t="s">
        <v>1394</v>
      </c>
      <c r="X433" s="3">
        <v>3</v>
      </c>
      <c r="Y433" t="s">
        <v>1398</v>
      </c>
      <c r="Z433">
        <v>73929</v>
      </c>
      <c r="AA433">
        <v>0.15</v>
      </c>
      <c r="AB433">
        <v>85018.349999999991</v>
      </c>
    </row>
    <row r="434" spans="1:28" x14ac:dyDescent="0.35">
      <c r="A434" t="str">
        <f t="shared" si="36"/>
        <v>EMP0433</v>
      </c>
      <c r="B434" t="str" cm="1">
        <f t="array" ref="B434">_xlfn.IFS(
ROW()&lt;=421,"NA",
ROW()&lt;=781,"LATAM",
ROW()&lt;=1021,"EMEA",
TRUE,"APAC"
)</f>
        <v>LATAM</v>
      </c>
      <c r="C434" t="str">
        <f t="shared" si="37"/>
        <v>Mexico</v>
      </c>
      <c r="D434" t="s">
        <v>44</v>
      </c>
      <c r="E434" t="s">
        <v>380</v>
      </c>
      <c r="F434" t="s">
        <v>904</v>
      </c>
      <c r="G434" t="s">
        <v>28</v>
      </c>
      <c r="H434" s="2">
        <v>44807</v>
      </c>
      <c r="I434" t="s">
        <v>29</v>
      </c>
      <c r="J434" t="s">
        <v>47</v>
      </c>
      <c r="K434" t="str">
        <f t="shared" ca="1" si="40"/>
        <v>OK</v>
      </c>
      <c r="L434" t="s">
        <v>1383</v>
      </c>
      <c r="M434">
        <v>5</v>
      </c>
      <c r="N434" s="2">
        <v>46075</v>
      </c>
      <c r="O434" s="2" t="s">
        <v>22</v>
      </c>
      <c r="P434" s="4">
        <f t="shared" ca="1" si="38"/>
        <v>3</v>
      </c>
      <c r="Q434" s="4" t="str">
        <f t="shared" ca="1" si="39"/>
        <v>3-5 Years</v>
      </c>
      <c r="R434">
        <f t="shared" ca="1" si="41"/>
        <v>0</v>
      </c>
      <c r="S434" t="s">
        <v>22</v>
      </c>
      <c r="T434">
        <v>4</v>
      </c>
      <c r="U434" t="s">
        <v>1396</v>
      </c>
      <c r="V434" t="s">
        <v>1394</v>
      </c>
      <c r="W434" t="s">
        <v>1394</v>
      </c>
      <c r="X434" s="3">
        <v>3</v>
      </c>
      <c r="Y434" t="s">
        <v>1398</v>
      </c>
      <c r="Z434">
        <v>20015</v>
      </c>
      <c r="AA434">
        <v>0.1</v>
      </c>
      <c r="AB434">
        <v>22016.5</v>
      </c>
    </row>
    <row r="435" spans="1:28" x14ac:dyDescent="0.35">
      <c r="A435" t="str">
        <f t="shared" si="36"/>
        <v>EMP0434</v>
      </c>
      <c r="B435" t="str" cm="1">
        <f t="array" ref="B435">_xlfn.IFS(
ROW()&lt;=421,"NA",
ROW()&lt;=781,"LATAM",
ROW()&lt;=1021,"EMEA",
TRUE,"APAC"
)</f>
        <v>LATAM</v>
      </c>
      <c r="C435" t="str">
        <f t="shared" si="37"/>
        <v>Mexico</v>
      </c>
      <c r="D435" t="s">
        <v>35</v>
      </c>
      <c r="E435" t="s">
        <v>380</v>
      </c>
      <c r="F435" t="s">
        <v>553</v>
      </c>
      <c r="G435" t="s">
        <v>28</v>
      </c>
      <c r="H435" s="2">
        <v>44806</v>
      </c>
      <c r="I435" t="s">
        <v>29</v>
      </c>
      <c r="J435" t="s">
        <v>36</v>
      </c>
      <c r="K435" t="str">
        <f t="shared" ca="1" si="40"/>
        <v>OK</v>
      </c>
      <c r="L435" t="s">
        <v>674</v>
      </c>
      <c r="M435">
        <v>5</v>
      </c>
      <c r="N435" s="2">
        <v>46005</v>
      </c>
      <c r="O435" s="2" t="s">
        <v>22</v>
      </c>
      <c r="P435" s="4">
        <f t="shared" ca="1" si="38"/>
        <v>3</v>
      </c>
      <c r="Q435" s="4" t="str">
        <f t="shared" ca="1" si="39"/>
        <v>3-5 Years</v>
      </c>
      <c r="R435">
        <f t="shared" ca="1" si="41"/>
        <v>0</v>
      </c>
      <c r="S435" t="s">
        <v>22</v>
      </c>
      <c r="T435">
        <v>4</v>
      </c>
      <c r="U435" t="s">
        <v>1396</v>
      </c>
      <c r="V435" t="s">
        <v>1394</v>
      </c>
      <c r="W435" t="s">
        <v>1394</v>
      </c>
      <c r="X435" s="3">
        <v>1</v>
      </c>
      <c r="Y435" t="s">
        <v>1397</v>
      </c>
      <c r="Z435">
        <v>31444</v>
      </c>
      <c r="AA435">
        <v>0.1</v>
      </c>
      <c r="AB435">
        <v>34588.400000000001</v>
      </c>
    </row>
    <row r="436" spans="1:28" x14ac:dyDescent="0.35">
      <c r="A436" t="str">
        <f t="shared" si="36"/>
        <v>EMP0435</v>
      </c>
      <c r="B436" t="str" cm="1">
        <f t="array" ref="B436">_xlfn.IFS(
ROW()&lt;=421,"NA",
ROW()&lt;=781,"LATAM",
ROW()&lt;=1021,"EMEA",
TRUE,"APAC"
)</f>
        <v>LATAM</v>
      </c>
      <c r="C436" t="str">
        <f t="shared" si="37"/>
        <v>Mexico</v>
      </c>
      <c r="D436" t="s">
        <v>26</v>
      </c>
      <c r="E436" t="s">
        <v>380</v>
      </c>
      <c r="F436" t="s">
        <v>865</v>
      </c>
      <c r="G436" t="s">
        <v>28</v>
      </c>
      <c r="H436" s="2">
        <v>44805</v>
      </c>
      <c r="I436" t="s">
        <v>29</v>
      </c>
      <c r="J436" t="s">
        <v>30</v>
      </c>
      <c r="K436" t="str">
        <f t="shared" ca="1" si="40"/>
        <v>OK</v>
      </c>
      <c r="L436" t="s">
        <v>78</v>
      </c>
      <c r="M436">
        <v>5</v>
      </c>
      <c r="N436" s="2">
        <v>46070</v>
      </c>
      <c r="O436" s="2" t="s">
        <v>22</v>
      </c>
      <c r="P436" s="4">
        <f t="shared" ca="1" si="38"/>
        <v>3</v>
      </c>
      <c r="Q436" s="4" t="str">
        <f t="shared" ca="1" si="39"/>
        <v>3-5 Years</v>
      </c>
      <c r="R436">
        <f t="shared" ca="1" si="41"/>
        <v>0</v>
      </c>
      <c r="S436" t="s">
        <v>22</v>
      </c>
      <c r="T436">
        <v>3</v>
      </c>
      <c r="U436" t="s">
        <v>1394</v>
      </c>
      <c r="V436" t="s">
        <v>1394</v>
      </c>
      <c r="W436" t="s">
        <v>1394</v>
      </c>
      <c r="X436" s="3">
        <v>1</v>
      </c>
      <c r="Y436" t="s">
        <v>1397</v>
      </c>
      <c r="Z436">
        <v>36100</v>
      </c>
      <c r="AA436">
        <v>0.1</v>
      </c>
      <c r="AB436">
        <v>39710</v>
      </c>
    </row>
    <row r="437" spans="1:28" x14ac:dyDescent="0.35">
      <c r="A437" t="str">
        <f t="shared" si="36"/>
        <v>EMP0436</v>
      </c>
      <c r="B437" t="str" cm="1">
        <f t="array" ref="B437">_xlfn.IFS(
ROW()&lt;=421,"NA",
ROW()&lt;=781,"LATAM",
ROW()&lt;=1021,"EMEA",
TRUE,"APAC"
)</f>
        <v>LATAM</v>
      </c>
      <c r="C437" t="str">
        <f t="shared" si="37"/>
        <v>Mexico</v>
      </c>
      <c r="D437" t="s">
        <v>35</v>
      </c>
      <c r="E437" t="s">
        <v>380</v>
      </c>
      <c r="F437" t="s">
        <v>492</v>
      </c>
      <c r="G437" t="s">
        <v>28</v>
      </c>
      <c r="H437" s="2">
        <v>44800</v>
      </c>
      <c r="I437" t="s">
        <v>29</v>
      </c>
      <c r="J437" t="s">
        <v>36</v>
      </c>
      <c r="K437" t="str">
        <f t="shared" ca="1" si="40"/>
        <v>OK</v>
      </c>
      <c r="L437" t="s">
        <v>100</v>
      </c>
      <c r="M437">
        <v>5</v>
      </c>
      <c r="N437" s="2">
        <v>45998</v>
      </c>
      <c r="O437" s="2" t="s">
        <v>22</v>
      </c>
      <c r="P437" s="4">
        <f t="shared" ca="1" si="38"/>
        <v>3</v>
      </c>
      <c r="Q437" s="4" t="str">
        <f t="shared" ca="1" si="39"/>
        <v>3-5 Years</v>
      </c>
      <c r="R437">
        <f t="shared" ca="1" si="41"/>
        <v>0</v>
      </c>
      <c r="S437" t="s">
        <v>22</v>
      </c>
      <c r="T437">
        <v>3</v>
      </c>
      <c r="U437" t="s">
        <v>1394</v>
      </c>
      <c r="V437" t="s">
        <v>1394</v>
      </c>
      <c r="W437" t="s">
        <v>1394</v>
      </c>
      <c r="X437" s="3">
        <v>4</v>
      </c>
      <c r="Y437" t="s">
        <v>1395</v>
      </c>
      <c r="Z437">
        <v>48862</v>
      </c>
      <c r="AA437">
        <v>0.1</v>
      </c>
      <c r="AB437">
        <v>53748.200000000004</v>
      </c>
    </row>
    <row r="438" spans="1:28" x14ac:dyDescent="0.35">
      <c r="A438" t="str">
        <f t="shared" si="36"/>
        <v>EMP0437</v>
      </c>
      <c r="B438" t="str" cm="1">
        <f t="array" ref="B438">_xlfn.IFS(
ROW()&lt;=421,"NA",
ROW()&lt;=781,"LATAM",
ROW()&lt;=1021,"EMEA",
TRUE,"APAC"
)</f>
        <v>LATAM</v>
      </c>
      <c r="C438" t="str">
        <f t="shared" si="37"/>
        <v>Mexico</v>
      </c>
      <c r="D438" t="s">
        <v>38</v>
      </c>
      <c r="E438" t="s">
        <v>380</v>
      </c>
      <c r="F438" t="s">
        <v>811</v>
      </c>
      <c r="G438" t="s">
        <v>53</v>
      </c>
      <c r="H438" s="2">
        <v>44798</v>
      </c>
      <c r="I438" t="s">
        <v>29</v>
      </c>
      <c r="J438" t="s">
        <v>39</v>
      </c>
      <c r="K438" t="str">
        <f t="shared" ca="1" si="40"/>
        <v>OK</v>
      </c>
      <c r="L438" t="s">
        <v>1286</v>
      </c>
      <c r="M438">
        <v>5</v>
      </c>
      <c r="N438" s="2">
        <v>46035</v>
      </c>
      <c r="O438" s="2" t="s">
        <v>22</v>
      </c>
      <c r="P438" s="4">
        <f t="shared" ca="1" si="38"/>
        <v>3</v>
      </c>
      <c r="Q438" s="4" t="str">
        <f t="shared" ca="1" si="39"/>
        <v>3-5 Years</v>
      </c>
      <c r="R438">
        <f t="shared" ca="1" si="41"/>
        <v>0</v>
      </c>
      <c r="S438" t="s">
        <v>22</v>
      </c>
      <c r="T438">
        <v>3</v>
      </c>
      <c r="U438" t="s">
        <v>1394</v>
      </c>
      <c r="V438" t="s">
        <v>1394</v>
      </c>
      <c r="W438" t="s">
        <v>1394</v>
      </c>
      <c r="X438" s="3">
        <v>4</v>
      </c>
      <c r="Y438" t="s">
        <v>1395</v>
      </c>
      <c r="Z438">
        <v>44219</v>
      </c>
      <c r="AA438">
        <v>0.1</v>
      </c>
      <c r="AB438">
        <v>48640.9</v>
      </c>
    </row>
    <row r="439" spans="1:28" x14ac:dyDescent="0.35">
      <c r="A439" t="str">
        <f t="shared" si="36"/>
        <v>EMP0438</v>
      </c>
      <c r="B439" t="str" cm="1">
        <f t="array" ref="B439">_xlfn.IFS(
ROW()&lt;=421,"NA",
ROW()&lt;=781,"LATAM",
ROW()&lt;=1021,"EMEA",
TRUE,"APAC"
)</f>
        <v>LATAM</v>
      </c>
      <c r="C439" t="str">
        <f t="shared" si="37"/>
        <v>Mexico</v>
      </c>
      <c r="D439" t="s">
        <v>35</v>
      </c>
      <c r="E439" t="s">
        <v>145</v>
      </c>
      <c r="F439" t="s">
        <v>168</v>
      </c>
      <c r="G439" t="s">
        <v>28</v>
      </c>
      <c r="H439" s="2">
        <v>44793</v>
      </c>
      <c r="I439" t="s">
        <v>29</v>
      </c>
      <c r="J439" t="s">
        <v>36</v>
      </c>
      <c r="K439" t="str">
        <f t="shared" ca="1" si="40"/>
        <v>OK</v>
      </c>
      <c r="L439" t="s">
        <v>169</v>
      </c>
      <c r="M439">
        <v>4</v>
      </c>
      <c r="N439" s="2">
        <v>46011</v>
      </c>
      <c r="O439" s="2" t="s">
        <v>22</v>
      </c>
      <c r="P439" s="4">
        <f t="shared" ca="1" si="38"/>
        <v>3</v>
      </c>
      <c r="Q439" s="4" t="str">
        <f t="shared" ca="1" si="39"/>
        <v>3-5 Years</v>
      </c>
      <c r="R439">
        <f t="shared" ca="1" si="41"/>
        <v>0</v>
      </c>
      <c r="S439" t="s">
        <v>22</v>
      </c>
      <c r="T439">
        <v>3</v>
      </c>
      <c r="U439" t="s">
        <v>1394</v>
      </c>
      <c r="V439" t="s">
        <v>1394</v>
      </c>
      <c r="W439" t="s">
        <v>1394</v>
      </c>
      <c r="X439" s="3">
        <v>4</v>
      </c>
      <c r="Y439" t="s">
        <v>1395</v>
      </c>
      <c r="Z439">
        <v>61109</v>
      </c>
      <c r="AA439">
        <v>0.15</v>
      </c>
      <c r="AB439">
        <v>70275.349999999991</v>
      </c>
    </row>
    <row r="440" spans="1:28" x14ac:dyDescent="0.35">
      <c r="A440" t="str">
        <f t="shared" si="36"/>
        <v>EMP0439</v>
      </c>
      <c r="B440" t="str" cm="1">
        <f t="array" ref="B440">_xlfn.IFS(
ROW()&lt;=421,"NA",
ROW()&lt;=781,"LATAM",
ROW()&lt;=1021,"EMEA",
TRUE,"APAC"
)</f>
        <v>LATAM</v>
      </c>
      <c r="C440" t="str">
        <f t="shared" si="37"/>
        <v>Mexico</v>
      </c>
      <c r="D440" t="s">
        <v>35</v>
      </c>
      <c r="E440" t="s">
        <v>145</v>
      </c>
      <c r="F440" t="s">
        <v>249</v>
      </c>
      <c r="G440" t="s">
        <v>28</v>
      </c>
      <c r="H440" s="2">
        <v>44793</v>
      </c>
      <c r="I440" t="s">
        <v>29</v>
      </c>
      <c r="J440" t="s">
        <v>36</v>
      </c>
      <c r="K440" t="str">
        <f t="shared" ca="1" si="40"/>
        <v>OK</v>
      </c>
      <c r="L440" t="s">
        <v>308</v>
      </c>
      <c r="M440">
        <v>4</v>
      </c>
      <c r="N440" s="2">
        <v>46003</v>
      </c>
      <c r="O440" s="2" t="s">
        <v>22</v>
      </c>
      <c r="P440" s="4">
        <f t="shared" ca="1" si="38"/>
        <v>3</v>
      </c>
      <c r="Q440" s="4" t="str">
        <f t="shared" ca="1" si="39"/>
        <v>3-5 Years</v>
      </c>
      <c r="R440">
        <f t="shared" ca="1" si="41"/>
        <v>0</v>
      </c>
      <c r="S440" t="s">
        <v>22</v>
      </c>
      <c r="T440">
        <v>4</v>
      </c>
      <c r="U440" t="s">
        <v>1394</v>
      </c>
      <c r="V440" t="s">
        <v>1394</v>
      </c>
      <c r="W440" t="s">
        <v>1394</v>
      </c>
      <c r="X440" s="3">
        <v>3</v>
      </c>
      <c r="Y440" t="s">
        <v>1398</v>
      </c>
      <c r="Z440">
        <v>72207</v>
      </c>
      <c r="AA440">
        <v>0.15</v>
      </c>
      <c r="AB440">
        <v>83038.049999999988</v>
      </c>
    </row>
    <row r="441" spans="1:28" x14ac:dyDescent="0.35">
      <c r="A441" t="str">
        <f t="shared" si="36"/>
        <v>EMP0440</v>
      </c>
      <c r="B441" t="str" cm="1">
        <f t="array" ref="B441">_xlfn.IFS(
ROW()&lt;=421,"NA",
ROW()&lt;=781,"LATAM",
ROW()&lt;=1021,"EMEA",
TRUE,"APAC"
)</f>
        <v>LATAM</v>
      </c>
      <c r="C441" t="str">
        <f t="shared" si="37"/>
        <v>Mexico</v>
      </c>
      <c r="D441" t="s">
        <v>41</v>
      </c>
      <c r="E441" t="s">
        <v>380</v>
      </c>
      <c r="F441" t="s">
        <v>636</v>
      </c>
      <c r="G441" t="s">
        <v>28</v>
      </c>
      <c r="H441" s="2">
        <v>44788</v>
      </c>
      <c r="I441" t="s">
        <v>29</v>
      </c>
      <c r="J441" t="s">
        <v>42</v>
      </c>
      <c r="K441" t="str">
        <f t="shared" ca="1" si="40"/>
        <v>OK</v>
      </c>
      <c r="L441" t="s">
        <v>723</v>
      </c>
      <c r="M441">
        <v>5</v>
      </c>
      <c r="N441" s="2">
        <v>46077</v>
      </c>
      <c r="O441" s="2" t="s">
        <v>22</v>
      </c>
      <c r="P441" s="4">
        <f t="shared" ca="1" si="38"/>
        <v>3</v>
      </c>
      <c r="Q441" s="4" t="str">
        <f t="shared" ca="1" si="39"/>
        <v>3-5 Years</v>
      </c>
      <c r="R441">
        <f t="shared" ca="1" si="41"/>
        <v>0</v>
      </c>
      <c r="S441" t="s">
        <v>22</v>
      </c>
      <c r="T441">
        <v>4</v>
      </c>
      <c r="U441" t="s">
        <v>1394</v>
      </c>
      <c r="V441" t="s">
        <v>1394</v>
      </c>
      <c r="W441" t="s">
        <v>1394</v>
      </c>
      <c r="X441" s="3">
        <v>1</v>
      </c>
      <c r="Y441" t="s">
        <v>1397</v>
      </c>
      <c r="Z441">
        <v>24863</v>
      </c>
      <c r="AA441">
        <v>0.1</v>
      </c>
      <c r="AB441">
        <v>27349.300000000003</v>
      </c>
    </row>
    <row r="442" spans="1:28" x14ac:dyDescent="0.35">
      <c r="A442" t="str">
        <f t="shared" si="36"/>
        <v>EMP0441</v>
      </c>
      <c r="B442" t="str" cm="1">
        <f t="array" ref="B442">_xlfn.IFS(
ROW()&lt;=421,"NA",
ROW()&lt;=781,"LATAM",
ROW()&lt;=1021,"EMEA",
TRUE,"APAC"
)</f>
        <v>LATAM</v>
      </c>
      <c r="C442" t="str">
        <f t="shared" si="37"/>
        <v>Mexico</v>
      </c>
      <c r="D442" t="s">
        <v>35</v>
      </c>
      <c r="E442" t="s">
        <v>145</v>
      </c>
      <c r="F442" t="s">
        <v>247</v>
      </c>
      <c r="G442" t="s">
        <v>28</v>
      </c>
      <c r="H442" s="2">
        <v>44787</v>
      </c>
      <c r="I442" t="s">
        <v>29</v>
      </c>
      <c r="J442" t="s">
        <v>36</v>
      </c>
      <c r="K442" t="str">
        <f t="shared" ca="1" si="40"/>
        <v>OK</v>
      </c>
      <c r="L442" t="s">
        <v>355</v>
      </c>
      <c r="M442">
        <v>4</v>
      </c>
      <c r="N442" s="2">
        <v>46060</v>
      </c>
      <c r="O442" s="2" t="s">
        <v>22</v>
      </c>
      <c r="P442" s="4">
        <f t="shared" ca="1" si="38"/>
        <v>3</v>
      </c>
      <c r="Q442" s="4" t="str">
        <f t="shared" ca="1" si="39"/>
        <v>3-5 Years</v>
      </c>
      <c r="R442">
        <f t="shared" ca="1" si="41"/>
        <v>0</v>
      </c>
      <c r="S442" t="s">
        <v>22</v>
      </c>
      <c r="T442">
        <v>4</v>
      </c>
      <c r="U442" t="s">
        <v>1394</v>
      </c>
      <c r="V442" t="s">
        <v>1394</v>
      </c>
      <c r="W442" t="s">
        <v>1394</v>
      </c>
      <c r="X442" s="3">
        <v>3</v>
      </c>
      <c r="Y442" t="s">
        <v>1398</v>
      </c>
      <c r="Z442">
        <v>72032</v>
      </c>
      <c r="AA442">
        <v>0.15</v>
      </c>
      <c r="AB442">
        <v>82836.799999999988</v>
      </c>
    </row>
    <row r="443" spans="1:28" x14ac:dyDescent="0.35">
      <c r="A443" t="str">
        <f t="shared" si="36"/>
        <v>EMP0442</v>
      </c>
      <c r="B443" t="str" cm="1">
        <f t="array" ref="B443">_xlfn.IFS(
ROW()&lt;=421,"NA",
ROW()&lt;=781,"LATAM",
ROW()&lt;=1021,"EMEA",
TRUE,"APAC"
)</f>
        <v>LATAM</v>
      </c>
      <c r="C443" t="str">
        <f t="shared" si="37"/>
        <v>Mexico</v>
      </c>
      <c r="D443" t="s">
        <v>38</v>
      </c>
      <c r="E443" t="s">
        <v>69</v>
      </c>
      <c r="F443" t="s">
        <v>72</v>
      </c>
      <c r="G443" t="s">
        <v>53</v>
      </c>
      <c r="H443" s="2">
        <v>44786</v>
      </c>
      <c r="I443" t="s">
        <v>29</v>
      </c>
      <c r="J443" t="s">
        <v>39</v>
      </c>
      <c r="K443" t="str">
        <f t="shared" ca="1" si="40"/>
        <v>OK</v>
      </c>
      <c r="L443" t="s">
        <v>108</v>
      </c>
      <c r="M443">
        <v>3</v>
      </c>
      <c r="N443" s="2">
        <v>46046</v>
      </c>
      <c r="O443" s="2" t="s">
        <v>22</v>
      </c>
      <c r="P443" s="4">
        <f t="shared" ca="1" si="38"/>
        <v>3</v>
      </c>
      <c r="Q443" s="4" t="str">
        <f t="shared" ca="1" si="39"/>
        <v>3-5 Years</v>
      </c>
      <c r="R443">
        <f t="shared" ca="1" si="41"/>
        <v>0</v>
      </c>
      <c r="S443" t="s">
        <v>22</v>
      </c>
      <c r="T443">
        <v>4</v>
      </c>
      <c r="U443" t="s">
        <v>1394</v>
      </c>
      <c r="V443" t="s">
        <v>1396</v>
      </c>
      <c r="W443" t="s">
        <v>1394</v>
      </c>
      <c r="X443" s="3">
        <v>4</v>
      </c>
      <c r="Y443" t="s">
        <v>1395</v>
      </c>
      <c r="Z443">
        <v>124970</v>
      </c>
      <c r="AA443">
        <v>0.2</v>
      </c>
      <c r="AB443">
        <v>149964</v>
      </c>
    </row>
    <row r="444" spans="1:28" x14ac:dyDescent="0.35">
      <c r="A444" t="str">
        <f t="shared" si="36"/>
        <v>EMP0443</v>
      </c>
      <c r="B444" t="str" cm="1">
        <f t="array" ref="B444">_xlfn.IFS(
ROW()&lt;=421,"NA",
ROW()&lt;=781,"LATAM",
ROW()&lt;=1021,"EMEA",
TRUE,"APAC"
)</f>
        <v>LATAM</v>
      </c>
      <c r="C444" t="str">
        <f t="shared" si="37"/>
        <v>Mexico</v>
      </c>
      <c r="D444" t="s">
        <v>32</v>
      </c>
      <c r="E444" t="s">
        <v>380</v>
      </c>
      <c r="F444" t="s">
        <v>426</v>
      </c>
      <c r="G444" t="s">
        <v>28</v>
      </c>
      <c r="H444" s="2">
        <v>44784</v>
      </c>
      <c r="I444" t="s">
        <v>29</v>
      </c>
      <c r="J444" t="s">
        <v>33</v>
      </c>
      <c r="K444" t="str">
        <f t="shared" ca="1" si="40"/>
        <v>OK</v>
      </c>
      <c r="L444" t="s">
        <v>427</v>
      </c>
      <c r="M444">
        <v>5</v>
      </c>
      <c r="N444" s="2">
        <v>46027</v>
      </c>
      <c r="O444" s="2" t="s">
        <v>22</v>
      </c>
      <c r="P444" s="4">
        <f t="shared" ca="1" si="38"/>
        <v>3</v>
      </c>
      <c r="Q444" s="4" t="str">
        <f t="shared" ca="1" si="39"/>
        <v>3-5 Years</v>
      </c>
      <c r="R444">
        <f t="shared" ca="1" si="41"/>
        <v>0</v>
      </c>
      <c r="S444" t="s">
        <v>22</v>
      </c>
      <c r="T444">
        <v>3</v>
      </c>
      <c r="U444" t="s">
        <v>1394</v>
      </c>
      <c r="V444" t="s">
        <v>1394</v>
      </c>
      <c r="W444" t="s">
        <v>1394</v>
      </c>
      <c r="X444" s="3">
        <v>3</v>
      </c>
      <c r="Y444" t="s">
        <v>1398</v>
      </c>
      <c r="Z444">
        <v>42069</v>
      </c>
      <c r="AA444">
        <v>0.1</v>
      </c>
      <c r="AB444">
        <v>46275.9</v>
      </c>
    </row>
    <row r="445" spans="1:28" x14ac:dyDescent="0.35">
      <c r="A445" t="str">
        <f t="shared" si="36"/>
        <v>EMP0444</v>
      </c>
      <c r="B445" t="str" cm="1">
        <f t="array" ref="B445">_xlfn.IFS(
ROW()&lt;=421,"NA",
ROW()&lt;=781,"LATAM",
ROW()&lt;=1021,"EMEA",
TRUE,"APAC"
)</f>
        <v>LATAM</v>
      </c>
      <c r="C445" t="str">
        <f t="shared" si="37"/>
        <v>Mexico</v>
      </c>
      <c r="D445" t="s">
        <v>41</v>
      </c>
      <c r="E445" t="s">
        <v>380</v>
      </c>
      <c r="F445" t="s">
        <v>595</v>
      </c>
      <c r="G445" t="s">
        <v>28</v>
      </c>
      <c r="H445" s="2">
        <v>45744</v>
      </c>
      <c r="I445" t="s">
        <v>29</v>
      </c>
      <c r="J445" t="s">
        <v>42</v>
      </c>
      <c r="K445" t="str">
        <f t="shared" ca="1" si="40"/>
        <v>OK</v>
      </c>
      <c r="L445" t="s">
        <v>1238</v>
      </c>
      <c r="M445">
        <v>5</v>
      </c>
      <c r="N445" s="2">
        <v>45996</v>
      </c>
      <c r="O445" s="2" t="s">
        <v>22</v>
      </c>
      <c r="P445" s="4">
        <f t="shared" ca="1" si="38"/>
        <v>0</v>
      </c>
      <c r="Q445" s="4" t="str">
        <f t="shared" ca="1" si="39"/>
        <v>0-2 Years</v>
      </c>
      <c r="R445">
        <f t="shared" ca="1" si="41"/>
        <v>1</v>
      </c>
      <c r="S445" t="s">
        <v>22</v>
      </c>
      <c r="T445">
        <v>3</v>
      </c>
      <c r="U445" t="s">
        <v>1394</v>
      </c>
      <c r="V445" t="s">
        <v>1394</v>
      </c>
      <c r="W445" t="s">
        <v>1394</v>
      </c>
      <c r="X445" s="3">
        <v>1</v>
      </c>
      <c r="Y445" t="s">
        <v>1397</v>
      </c>
      <c r="Z445">
        <v>40948</v>
      </c>
      <c r="AA445">
        <v>0.1</v>
      </c>
      <c r="AB445">
        <v>45042.8</v>
      </c>
    </row>
    <row r="446" spans="1:28" x14ac:dyDescent="0.35">
      <c r="A446" t="str">
        <f t="shared" si="36"/>
        <v>EMP0445</v>
      </c>
      <c r="B446" t="str" cm="1">
        <f t="array" ref="B446">_xlfn.IFS(
ROW()&lt;=421,"NA",
ROW()&lt;=781,"LATAM",
ROW()&lt;=1021,"EMEA",
TRUE,"APAC"
)</f>
        <v>LATAM</v>
      </c>
      <c r="C446" t="str">
        <f t="shared" si="37"/>
        <v>Mexico</v>
      </c>
      <c r="D446" t="s">
        <v>44</v>
      </c>
      <c r="E446" t="s">
        <v>380</v>
      </c>
      <c r="F446" t="s">
        <v>709</v>
      </c>
      <c r="G446" t="s">
        <v>28</v>
      </c>
      <c r="H446" s="2">
        <v>44778</v>
      </c>
      <c r="I446" t="s">
        <v>29</v>
      </c>
      <c r="J446" t="s">
        <v>47</v>
      </c>
      <c r="K446" t="str">
        <f t="shared" ca="1" si="40"/>
        <v>OK</v>
      </c>
      <c r="L446" t="s">
        <v>77</v>
      </c>
      <c r="M446">
        <v>5</v>
      </c>
      <c r="N446" s="2">
        <v>46070</v>
      </c>
      <c r="O446" s="2" t="s">
        <v>22</v>
      </c>
      <c r="P446" s="4">
        <f t="shared" ca="1" si="38"/>
        <v>3</v>
      </c>
      <c r="Q446" s="4" t="str">
        <f t="shared" ca="1" si="39"/>
        <v>3-5 Years</v>
      </c>
      <c r="R446">
        <f t="shared" ca="1" si="41"/>
        <v>0</v>
      </c>
      <c r="S446" t="s">
        <v>22</v>
      </c>
      <c r="T446">
        <v>4</v>
      </c>
      <c r="U446" t="s">
        <v>1396</v>
      </c>
      <c r="V446" t="s">
        <v>1394</v>
      </c>
      <c r="W446" t="s">
        <v>1394</v>
      </c>
      <c r="X446" s="3">
        <v>2</v>
      </c>
      <c r="Y446" t="s">
        <v>1397</v>
      </c>
      <c r="Z446">
        <v>40321</v>
      </c>
      <c r="AA446">
        <v>0.1</v>
      </c>
      <c r="AB446">
        <v>44353.100000000006</v>
      </c>
    </row>
    <row r="447" spans="1:28" x14ac:dyDescent="0.35">
      <c r="A447" t="str">
        <f t="shared" si="36"/>
        <v>EMP0446</v>
      </c>
      <c r="B447" t="str" cm="1">
        <f t="array" ref="B447">_xlfn.IFS(
ROW()&lt;=421,"NA",
ROW()&lt;=781,"LATAM",
ROW()&lt;=1021,"EMEA",
TRUE,"APAC"
)</f>
        <v>LATAM</v>
      </c>
      <c r="C447" t="str">
        <f t="shared" si="37"/>
        <v>Mexico</v>
      </c>
      <c r="D447" t="s">
        <v>44</v>
      </c>
      <c r="E447" t="s">
        <v>380</v>
      </c>
      <c r="F447" t="s">
        <v>468</v>
      </c>
      <c r="G447" t="s">
        <v>28</v>
      </c>
      <c r="H447" s="2">
        <v>44776</v>
      </c>
      <c r="I447" t="s">
        <v>29</v>
      </c>
      <c r="J447" t="s">
        <v>47</v>
      </c>
      <c r="K447" t="str">
        <f t="shared" ca="1" si="40"/>
        <v>OK</v>
      </c>
      <c r="L447" t="s">
        <v>641</v>
      </c>
      <c r="M447">
        <v>5</v>
      </c>
      <c r="N447" s="2">
        <v>45988</v>
      </c>
      <c r="O447" s="2" t="s">
        <v>22</v>
      </c>
      <c r="P447" s="4">
        <f t="shared" ca="1" si="38"/>
        <v>3</v>
      </c>
      <c r="Q447" s="4" t="str">
        <f t="shared" ca="1" si="39"/>
        <v>3-5 Years</v>
      </c>
      <c r="R447">
        <f t="shared" ca="1" si="41"/>
        <v>0</v>
      </c>
      <c r="S447" t="s">
        <v>22</v>
      </c>
      <c r="T447">
        <v>2</v>
      </c>
      <c r="U447" t="s">
        <v>1394</v>
      </c>
      <c r="V447" t="s">
        <v>1394</v>
      </c>
      <c r="W447" t="s">
        <v>1394</v>
      </c>
      <c r="X447" s="3">
        <v>4</v>
      </c>
      <c r="Y447" t="s">
        <v>1395</v>
      </c>
      <c r="Z447">
        <v>29321</v>
      </c>
      <c r="AA447">
        <v>0.1</v>
      </c>
      <c r="AB447">
        <v>32253.100000000002</v>
      </c>
    </row>
    <row r="448" spans="1:28" x14ac:dyDescent="0.35">
      <c r="A448" t="str">
        <f t="shared" si="36"/>
        <v>EMP0447</v>
      </c>
      <c r="B448" t="str" cm="1">
        <f t="array" ref="B448">_xlfn.IFS(
ROW()&lt;=421,"NA",
ROW()&lt;=781,"LATAM",
ROW()&lt;=1021,"EMEA",
TRUE,"APAC"
)</f>
        <v>LATAM</v>
      </c>
      <c r="C448" t="str">
        <f t="shared" si="37"/>
        <v>Mexico</v>
      </c>
      <c r="D448" t="s">
        <v>26</v>
      </c>
      <c r="E448" t="s">
        <v>380</v>
      </c>
      <c r="F448" t="s">
        <v>447</v>
      </c>
      <c r="G448" t="s">
        <v>28</v>
      </c>
      <c r="H448" s="2">
        <v>44755</v>
      </c>
      <c r="I448" t="s">
        <v>29</v>
      </c>
      <c r="J448" t="s">
        <v>30</v>
      </c>
      <c r="K448" t="str">
        <f t="shared" ca="1" si="40"/>
        <v>OK</v>
      </c>
      <c r="L448" t="s">
        <v>903</v>
      </c>
      <c r="M448">
        <v>5</v>
      </c>
      <c r="N448" s="2">
        <v>45989</v>
      </c>
      <c r="O448" s="2" t="s">
        <v>22</v>
      </c>
      <c r="P448" s="4">
        <f t="shared" ca="1" si="38"/>
        <v>3</v>
      </c>
      <c r="Q448" s="4" t="str">
        <f t="shared" ca="1" si="39"/>
        <v>3-5 Years</v>
      </c>
      <c r="R448">
        <f t="shared" ca="1" si="41"/>
        <v>0</v>
      </c>
      <c r="S448" t="s">
        <v>22</v>
      </c>
      <c r="T448">
        <v>3</v>
      </c>
      <c r="U448" t="s">
        <v>1394</v>
      </c>
      <c r="V448" t="s">
        <v>1394</v>
      </c>
      <c r="W448" t="s">
        <v>1394</v>
      </c>
      <c r="X448" s="3">
        <v>5</v>
      </c>
      <c r="Y448" t="s">
        <v>1395</v>
      </c>
      <c r="Z448">
        <v>40791</v>
      </c>
      <c r="AA448">
        <v>0.1</v>
      </c>
      <c r="AB448">
        <v>44870.100000000006</v>
      </c>
    </row>
    <row r="449" spans="1:28" x14ac:dyDescent="0.35">
      <c r="A449" t="str">
        <f t="shared" si="36"/>
        <v>EMP0448</v>
      </c>
      <c r="B449" t="str" cm="1">
        <f t="array" ref="B449">_xlfn.IFS(
ROW()&lt;=421,"NA",
ROW()&lt;=781,"LATAM",
ROW()&lt;=1021,"EMEA",
TRUE,"APAC"
)</f>
        <v>LATAM</v>
      </c>
      <c r="C449" t="str">
        <f t="shared" si="37"/>
        <v>Mexico</v>
      </c>
      <c r="D449" t="s">
        <v>32</v>
      </c>
      <c r="E449" t="s">
        <v>380</v>
      </c>
      <c r="F449" t="s">
        <v>713</v>
      </c>
      <c r="G449" t="s">
        <v>28</v>
      </c>
      <c r="H449" s="2">
        <v>44755</v>
      </c>
      <c r="I449" t="s">
        <v>29</v>
      </c>
      <c r="J449" t="s">
        <v>33</v>
      </c>
      <c r="K449" t="str">
        <f t="shared" ca="1" si="40"/>
        <v>OK</v>
      </c>
      <c r="L449" t="s">
        <v>617</v>
      </c>
      <c r="M449">
        <v>5</v>
      </c>
      <c r="N449" s="2">
        <v>45996</v>
      </c>
      <c r="O449" s="2" t="s">
        <v>22</v>
      </c>
      <c r="P449" s="4">
        <f t="shared" ca="1" si="38"/>
        <v>3</v>
      </c>
      <c r="Q449" s="4" t="str">
        <f t="shared" ca="1" si="39"/>
        <v>3-5 Years</v>
      </c>
      <c r="R449">
        <f t="shared" ca="1" si="41"/>
        <v>0</v>
      </c>
      <c r="S449" t="s">
        <v>22</v>
      </c>
      <c r="T449">
        <v>3</v>
      </c>
      <c r="U449" t="s">
        <v>1394</v>
      </c>
      <c r="V449" t="s">
        <v>1394</v>
      </c>
      <c r="W449" t="s">
        <v>1394</v>
      </c>
      <c r="X449" s="3">
        <v>4</v>
      </c>
      <c r="Y449" t="s">
        <v>1395</v>
      </c>
      <c r="Z449">
        <v>28896</v>
      </c>
      <c r="AA449">
        <v>0.1</v>
      </c>
      <c r="AB449">
        <v>31785.600000000002</v>
      </c>
    </row>
    <row r="450" spans="1:28" x14ac:dyDescent="0.35">
      <c r="A450" t="str">
        <f t="shared" ref="A450:A513" si="42">"EMP"&amp;TEXT(ROW()-1,"0000")</f>
        <v>EMP0449</v>
      </c>
      <c r="B450" t="str" cm="1">
        <f t="array" ref="B450">_xlfn.IFS(
ROW()&lt;=421,"NA",
ROW()&lt;=781,"LATAM",
ROW()&lt;=1021,"EMEA",
TRUE,"APAC"
)</f>
        <v>LATAM</v>
      </c>
      <c r="C450" t="str">
        <f t="shared" ref="C450:C513" si="43">IF(B450="NA","USA",
IF(B450="LATAM","Mexico",
IF(B450="EMEA","Germany","Singapore")))</f>
        <v>Mexico</v>
      </c>
      <c r="D450" t="s">
        <v>32</v>
      </c>
      <c r="E450" t="s">
        <v>380</v>
      </c>
      <c r="F450" t="s">
        <v>460</v>
      </c>
      <c r="G450" t="s">
        <v>53</v>
      </c>
      <c r="H450" s="2">
        <v>44754</v>
      </c>
      <c r="I450" t="s">
        <v>57</v>
      </c>
      <c r="J450" t="s">
        <v>33</v>
      </c>
      <c r="K450" t="str">
        <f t="shared" ca="1" si="40"/>
        <v>OK</v>
      </c>
      <c r="L450" t="s">
        <v>687</v>
      </c>
      <c r="M450">
        <v>5</v>
      </c>
      <c r="N450" s="2">
        <v>46071</v>
      </c>
      <c r="O450" s="2">
        <v>46071</v>
      </c>
      <c r="P450" s="4">
        <f t="shared" ref="P450:P513" ca="1" si="44">IF(H450&gt;TODAY(),
"",
IF(I450="Active",
DATEDIF(H450,TODAY(),"Y"),
DATEDIF(H450,O450,"Y")
))</f>
        <v>3</v>
      </c>
      <c r="Q450" s="4" t="str">
        <f t="shared" ref="Q450:Q513" ca="1" si="45">IF(P450&lt;=2,"0-2 Years",
IF(P450&lt;=5,"3-5 Years",
IF(P450&lt;=10,"6-10 Years","10+ Years")))</f>
        <v>3-5 Years</v>
      </c>
      <c r="R450">
        <f t="shared" ca="1" si="41"/>
        <v>0</v>
      </c>
      <c r="S450" t="s">
        <v>23</v>
      </c>
      <c r="T450">
        <v>4</v>
      </c>
      <c r="U450" t="s">
        <v>1394</v>
      </c>
      <c r="V450" t="s">
        <v>1394</v>
      </c>
      <c r="W450" t="s">
        <v>1394</v>
      </c>
      <c r="X450" s="3">
        <v>4</v>
      </c>
      <c r="Y450" t="s">
        <v>1395</v>
      </c>
      <c r="Z450">
        <v>26275</v>
      </c>
      <c r="AA450">
        <v>0.1</v>
      </c>
      <c r="AB450">
        <v>28902.500000000004</v>
      </c>
    </row>
    <row r="451" spans="1:28" x14ac:dyDescent="0.35">
      <c r="A451" t="str">
        <f t="shared" si="42"/>
        <v>EMP0450</v>
      </c>
      <c r="B451" t="str" cm="1">
        <f t="array" ref="B451">_xlfn.IFS(
ROW()&lt;=421,"NA",
ROW()&lt;=781,"LATAM",
ROW()&lt;=1021,"EMEA",
TRUE,"APAC"
)</f>
        <v>LATAM</v>
      </c>
      <c r="C451" t="str">
        <f t="shared" si="43"/>
        <v>Mexico</v>
      </c>
      <c r="D451" t="s">
        <v>38</v>
      </c>
      <c r="E451" t="s">
        <v>145</v>
      </c>
      <c r="F451" t="s">
        <v>192</v>
      </c>
      <c r="G451" t="s">
        <v>28</v>
      </c>
      <c r="H451" s="2">
        <v>44750</v>
      </c>
      <c r="I451" t="s">
        <v>57</v>
      </c>
      <c r="J451" t="s">
        <v>39</v>
      </c>
      <c r="K451" t="str">
        <f t="shared" ref="K451:K514" ca="1" si="46">IF(
OR(
H451="",
I451="",
AND(I451="Inactive",O451=""),
H451&gt;TODAY(),
Z451="",
F451="",
D451="",
X451&lt;1
),
"⚠ Review",
"OK"
)</f>
        <v>OK</v>
      </c>
      <c r="L451" t="s">
        <v>251</v>
      </c>
      <c r="M451">
        <v>4</v>
      </c>
      <c r="N451" s="2">
        <v>46046</v>
      </c>
      <c r="O451" s="2">
        <v>45728</v>
      </c>
      <c r="P451" s="4">
        <f t="shared" ca="1" si="44"/>
        <v>2</v>
      </c>
      <c r="Q451" s="4" t="str">
        <f t="shared" ca="1" si="45"/>
        <v>0-2 Years</v>
      </c>
      <c r="R451">
        <f t="shared" ref="R451:R514" ca="1" si="47">IF(P451&lt;=2,1,0)</f>
        <v>1</v>
      </c>
      <c r="S451" t="s">
        <v>23</v>
      </c>
      <c r="T451">
        <v>4</v>
      </c>
      <c r="U451" t="s">
        <v>1394</v>
      </c>
      <c r="V451" t="s">
        <v>1394</v>
      </c>
      <c r="W451" t="s">
        <v>1394</v>
      </c>
      <c r="X451" s="3">
        <v>5</v>
      </c>
      <c r="Y451" t="s">
        <v>1395</v>
      </c>
      <c r="Z451">
        <v>72138</v>
      </c>
      <c r="AA451">
        <v>0.15</v>
      </c>
      <c r="AB451">
        <v>82958.7</v>
      </c>
    </row>
    <row r="452" spans="1:28" x14ac:dyDescent="0.35">
      <c r="A452" t="str">
        <f t="shared" si="42"/>
        <v>EMP0451</v>
      </c>
      <c r="B452" t="str" cm="1">
        <f t="array" ref="B452">_xlfn.IFS(
ROW()&lt;=421,"NA",
ROW()&lt;=781,"LATAM",
ROW()&lt;=1021,"EMEA",
TRUE,"APAC"
)</f>
        <v>LATAM</v>
      </c>
      <c r="C452" t="str">
        <f t="shared" si="43"/>
        <v>Mexico</v>
      </c>
      <c r="D452" t="s">
        <v>44</v>
      </c>
      <c r="E452" t="s">
        <v>380</v>
      </c>
      <c r="F452" t="s">
        <v>429</v>
      </c>
      <c r="G452" t="s">
        <v>28</v>
      </c>
      <c r="H452" s="2">
        <v>44749</v>
      </c>
      <c r="I452" t="s">
        <v>57</v>
      </c>
      <c r="J452" t="s">
        <v>47</v>
      </c>
      <c r="K452" t="str">
        <f t="shared" ca="1" si="46"/>
        <v>OK</v>
      </c>
      <c r="L452" t="s">
        <v>843</v>
      </c>
      <c r="M452">
        <v>5</v>
      </c>
      <c r="N452" s="2">
        <v>46037</v>
      </c>
      <c r="O452" s="2">
        <v>46057</v>
      </c>
      <c r="P452" s="4">
        <f t="shared" ca="1" si="44"/>
        <v>3</v>
      </c>
      <c r="Q452" s="4" t="str">
        <f t="shared" ca="1" si="45"/>
        <v>3-5 Years</v>
      </c>
      <c r="R452">
        <f t="shared" ca="1" si="47"/>
        <v>0</v>
      </c>
      <c r="S452" t="s">
        <v>24</v>
      </c>
      <c r="T452">
        <v>2</v>
      </c>
      <c r="U452" t="s">
        <v>1394</v>
      </c>
      <c r="V452" t="s">
        <v>1394</v>
      </c>
      <c r="W452" t="s">
        <v>1394</v>
      </c>
      <c r="X452" s="3">
        <v>3</v>
      </c>
      <c r="Y452" t="s">
        <v>1398</v>
      </c>
      <c r="Z452">
        <v>46425</v>
      </c>
      <c r="AA452">
        <v>0.1</v>
      </c>
      <c r="AB452">
        <v>51067.500000000007</v>
      </c>
    </row>
    <row r="453" spans="1:28" x14ac:dyDescent="0.35">
      <c r="A453" t="str">
        <f t="shared" si="42"/>
        <v>EMP0452</v>
      </c>
      <c r="B453" t="str" cm="1">
        <f t="array" ref="B453">_xlfn.IFS(
ROW()&lt;=421,"NA",
ROW()&lt;=781,"LATAM",
ROW()&lt;=1021,"EMEA",
TRUE,"APAC"
)</f>
        <v>LATAM</v>
      </c>
      <c r="C453" t="str">
        <f t="shared" si="43"/>
        <v>Mexico</v>
      </c>
      <c r="D453" t="s">
        <v>32</v>
      </c>
      <c r="E453" t="s">
        <v>380</v>
      </c>
      <c r="F453" t="s">
        <v>521</v>
      </c>
      <c r="G453" t="s">
        <v>28</v>
      </c>
      <c r="H453" s="2">
        <v>44747</v>
      </c>
      <c r="I453" t="s">
        <v>29</v>
      </c>
      <c r="J453" t="s">
        <v>33</v>
      </c>
      <c r="K453" t="str">
        <f t="shared" ca="1" si="46"/>
        <v>OK</v>
      </c>
      <c r="L453" t="s">
        <v>826</v>
      </c>
      <c r="M453">
        <v>5</v>
      </c>
      <c r="N453" s="2">
        <v>46002</v>
      </c>
      <c r="O453" s="2" t="s">
        <v>22</v>
      </c>
      <c r="P453" s="4">
        <f t="shared" ca="1" si="44"/>
        <v>3</v>
      </c>
      <c r="Q453" s="4" t="str">
        <f t="shared" ca="1" si="45"/>
        <v>3-5 Years</v>
      </c>
      <c r="R453">
        <f t="shared" ca="1" si="47"/>
        <v>0</v>
      </c>
      <c r="S453" t="s">
        <v>22</v>
      </c>
      <c r="T453">
        <v>4</v>
      </c>
      <c r="U453" t="s">
        <v>1394</v>
      </c>
      <c r="V453" t="s">
        <v>1394</v>
      </c>
      <c r="W453" t="s">
        <v>1394</v>
      </c>
      <c r="X453" s="3">
        <v>5</v>
      </c>
      <c r="Y453" t="s">
        <v>1395</v>
      </c>
      <c r="Z453">
        <v>23868</v>
      </c>
      <c r="AA453">
        <v>0.1</v>
      </c>
      <c r="AB453">
        <v>26254.800000000003</v>
      </c>
    </row>
    <row r="454" spans="1:28" x14ac:dyDescent="0.35">
      <c r="A454" t="str">
        <f t="shared" si="42"/>
        <v>EMP0453</v>
      </c>
      <c r="B454" t="str" cm="1">
        <f t="array" ref="B454">_xlfn.IFS(
ROW()&lt;=421,"NA",
ROW()&lt;=781,"LATAM",
ROW()&lt;=1021,"EMEA",
TRUE,"APAC"
)</f>
        <v>LATAM</v>
      </c>
      <c r="C454" t="str">
        <f t="shared" si="43"/>
        <v>Mexico</v>
      </c>
      <c r="E454" t="s">
        <v>380</v>
      </c>
      <c r="F454" t="s">
        <v>522</v>
      </c>
      <c r="G454" t="s">
        <v>28</v>
      </c>
      <c r="H454" s="2">
        <v>44744</v>
      </c>
      <c r="I454" t="s">
        <v>29</v>
      </c>
      <c r="J454" t="s">
        <v>47</v>
      </c>
      <c r="K454" t="str">
        <f t="shared" ca="1" si="46"/>
        <v>⚠ Review</v>
      </c>
      <c r="L454" t="s">
        <v>523</v>
      </c>
      <c r="M454">
        <v>5</v>
      </c>
      <c r="N454" s="2">
        <v>46060</v>
      </c>
      <c r="O454" s="2" t="s">
        <v>22</v>
      </c>
      <c r="P454" s="4">
        <f t="shared" ca="1" si="44"/>
        <v>3</v>
      </c>
      <c r="Q454" s="4" t="str">
        <f t="shared" ca="1" si="45"/>
        <v>3-5 Years</v>
      </c>
      <c r="R454">
        <f t="shared" ca="1" si="47"/>
        <v>0</v>
      </c>
      <c r="S454" t="s">
        <v>22</v>
      </c>
      <c r="T454">
        <v>4</v>
      </c>
      <c r="U454" t="s">
        <v>1394</v>
      </c>
      <c r="V454" t="s">
        <v>1394</v>
      </c>
      <c r="W454" t="s">
        <v>1394</v>
      </c>
      <c r="X454" s="3">
        <v>3</v>
      </c>
      <c r="Y454" t="s">
        <v>1398</v>
      </c>
      <c r="Z454">
        <v>34695</v>
      </c>
      <c r="AA454">
        <v>0.1</v>
      </c>
      <c r="AB454">
        <v>38164.5</v>
      </c>
    </row>
    <row r="455" spans="1:28" x14ac:dyDescent="0.35">
      <c r="A455" t="str">
        <f t="shared" si="42"/>
        <v>EMP0454</v>
      </c>
      <c r="B455" t="str" cm="1">
        <f t="array" ref="B455">_xlfn.IFS(
ROW()&lt;=421,"NA",
ROW()&lt;=781,"LATAM",
ROW()&lt;=1021,"EMEA",
TRUE,"APAC"
)</f>
        <v>LATAM</v>
      </c>
      <c r="C455" t="str">
        <f t="shared" si="43"/>
        <v>Mexico</v>
      </c>
      <c r="D455" t="s">
        <v>35</v>
      </c>
      <c r="E455" t="s">
        <v>69</v>
      </c>
      <c r="F455" t="s">
        <v>84</v>
      </c>
      <c r="G455" t="s">
        <v>28</v>
      </c>
      <c r="H455" s="2">
        <v>44739</v>
      </c>
      <c r="I455" t="s">
        <v>29</v>
      </c>
      <c r="J455" t="s">
        <v>36</v>
      </c>
      <c r="K455" t="str">
        <f t="shared" ca="1" si="46"/>
        <v>OK</v>
      </c>
      <c r="L455" t="s">
        <v>107</v>
      </c>
      <c r="M455">
        <v>3</v>
      </c>
      <c r="N455" s="2">
        <v>46001</v>
      </c>
      <c r="O455" s="2" t="s">
        <v>22</v>
      </c>
      <c r="P455" s="4">
        <f t="shared" ca="1" si="44"/>
        <v>3</v>
      </c>
      <c r="Q455" s="4" t="str">
        <f t="shared" ca="1" si="45"/>
        <v>3-5 Years</v>
      </c>
      <c r="R455">
        <f t="shared" ca="1" si="47"/>
        <v>0</v>
      </c>
      <c r="S455" t="s">
        <v>22</v>
      </c>
      <c r="T455">
        <v>3</v>
      </c>
      <c r="U455" t="s">
        <v>1394</v>
      </c>
      <c r="V455" t="s">
        <v>1394</v>
      </c>
      <c r="W455" t="s">
        <v>1394</v>
      </c>
      <c r="X455" s="3">
        <v>5</v>
      </c>
      <c r="Y455" t="s">
        <v>1395</v>
      </c>
      <c r="Z455">
        <v>127949</v>
      </c>
      <c r="AA455">
        <v>0.2</v>
      </c>
      <c r="AB455">
        <v>153538.79999999999</v>
      </c>
    </row>
    <row r="456" spans="1:28" x14ac:dyDescent="0.35">
      <c r="A456" t="str">
        <f t="shared" si="42"/>
        <v>EMP0455</v>
      </c>
      <c r="B456" t="str" cm="1">
        <f t="array" ref="B456">_xlfn.IFS(
ROW()&lt;=421,"NA",
ROW()&lt;=781,"LATAM",
ROW()&lt;=1021,"EMEA",
TRUE,"APAC"
)</f>
        <v>LATAM</v>
      </c>
      <c r="C456" t="str">
        <f t="shared" si="43"/>
        <v>Mexico</v>
      </c>
      <c r="D456" t="s">
        <v>38</v>
      </c>
      <c r="E456" t="s">
        <v>380</v>
      </c>
      <c r="F456" t="s">
        <v>557</v>
      </c>
      <c r="G456" t="s">
        <v>28</v>
      </c>
      <c r="H456" s="2">
        <v>44738</v>
      </c>
      <c r="I456" t="s">
        <v>29</v>
      </c>
      <c r="J456" t="s">
        <v>39</v>
      </c>
      <c r="K456" t="str">
        <f t="shared" ca="1" si="46"/>
        <v>OK</v>
      </c>
      <c r="L456" t="s">
        <v>93</v>
      </c>
      <c r="M456">
        <v>5</v>
      </c>
      <c r="N456" s="2">
        <v>45997</v>
      </c>
      <c r="O456" s="2" t="s">
        <v>22</v>
      </c>
      <c r="P456" s="4">
        <f t="shared" ca="1" si="44"/>
        <v>3</v>
      </c>
      <c r="Q456" s="4" t="str">
        <f t="shared" ca="1" si="45"/>
        <v>3-5 Years</v>
      </c>
      <c r="R456">
        <f t="shared" ca="1" si="47"/>
        <v>0</v>
      </c>
      <c r="S456" t="s">
        <v>22</v>
      </c>
      <c r="T456">
        <v>2</v>
      </c>
      <c r="U456" t="s">
        <v>1394</v>
      </c>
      <c r="V456" t="s">
        <v>1394</v>
      </c>
      <c r="W456" t="s">
        <v>1394</v>
      </c>
      <c r="X456" s="3">
        <v>4</v>
      </c>
      <c r="Y456" t="s">
        <v>1395</v>
      </c>
      <c r="Z456">
        <v>43350</v>
      </c>
      <c r="AA456">
        <v>0.1</v>
      </c>
      <c r="AB456">
        <v>47685.000000000007</v>
      </c>
    </row>
    <row r="457" spans="1:28" x14ac:dyDescent="0.35">
      <c r="A457" t="str">
        <f t="shared" si="42"/>
        <v>EMP0456</v>
      </c>
      <c r="B457" t="str" cm="1">
        <f t="array" ref="B457">_xlfn.IFS(
ROW()&lt;=421,"NA",
ROW()&lt;=781,"LATAM",
ROW()&lt;=1021,"EMEA",
TRUE,"APAC"
)</f>
        <v>LATAM</v>
      </c>
      <c r="C457" t="str">
        <f t="shared" si="43"/>
        <v>Mexico</v>
      </c>
      <c r="D457" t="s">
        <v>41</v>
      </c>
      <c r="E457" t="s">
        <v>380</v>
      </c>
      <c r="F457" t="s">
        <v>508</v>
      </c>
      <c r="G457" t="s">
        <v>28</v>
      </c>
      <c r="H457" s="2">
        <v>46044</v>
      </c>
      <c r="I457" t="s">
        <v>29</v>
      </c>
      <c r="J457" t="s">
        <v>42</v>
      </c>
      <c r="K457" t="str">
        <f t="shared" ca="1" si="46"/>
        <v>OK</v>
      </c>
      <c r="L457" t="s">
        <v>1212</v>
      </c>
      <c r="M457">
        <v>5</v>
      </c>
      <c r="N457" s="2">
        <v>46034</v>
      </c>
      <c r="O457" s="2" t="s">
        <v>22</v>
      </c>
      <c r="P457" s="4">
        <f t="shared" ca="1" si="44"/>
        <v>0</v>
      </c>
      <c r="Q457" s="4" t="str">
        <f t="shared" ca="1" si="45"/>
        <v>0-2 Years</v>
      </c>
      <c r="R457">
        <f t="shared" ca="1" si="47"/>
        <v>1</v>
      </c>
      <c r="S457" t="s">
        <v>22</v>
      </c>
      <c r="T457">
        <v>3</v>
      </c>
      <c r="U457" t="s">
        <v>1394</v>
      </c>
      <c r="V457" t="s">
        <v>1396</v>
      </c>
      <c r="W457" t="s">
        <v>1394</v>
      </c>
      <c r="X457" s="3">
        <v>2</v>
      </c>
      <c r="Y457" t="s">
        <v>1397</v>
      </c>
      <c r="Z457">
        <v>49212</v>
      </c>
      <c r="AA457">
        <v>0.1</v>
      </c>
      <c r="AB457">
        <v>54133.200000000004</v>
      </c>
    </row>
    <row r="458" spans="1:28" x14ac:dyDescent="0.35">
      <c r="A458" t="str">
        <f t="shared" si="42"/>
        <v>EMP0457</v>
      </c>
      <c r="B458" t="str" cm="1">
        <f t="array" ref="B458">_xlfn.IFS(
ROW()&lt;=421,"NA",
ROW()&lt;=781,"LATAM",
ROW()&lt;=1021,"EMEA",
TRUE,"APAC"
)</f>
        <v>LATAM</v>
      </c>
      <c r="C458" t="str">
        <f t="shared" si="43"/>
        <v>Mexico</v>
      </c>
      <c r="D458" t="s">
        <v>26</v>
      </c>
      <c r="E458" t="s">
        <v>380</v>
      </c>
      <c r="F458" t="s">
        <v>803</v>
      </c>
      <c r="G458" t="s">
        <v>28</v>
      </c>
      <c r="H458" s="2">
        <v>44735</v>
      </c>
      <c r="I458" t="s">
        <v>29</v>
      </c>
      <c r="J458" t="s">
        <v>30</v>
      </c>
      <c r="K458" t="str">
        <f t="shared" ca="1" si="46"/>
        <v>OK</v>
      </c>
      <c r="L458" t="s">
        <v>1182</v>
      </c>
      <c r="M458">
        <v>5</v>
      </c>
      <c r="N458" s="2">
        <v>46073</v>
      </c>
      <c r="O458" s="2" t="s">
        <v>22</v>
      </c>
      <c r="P458" s="4">
        <f t="shared" ca="1" si="44"/>
        <v>3</v>
      </c>
      <c r="Q458" s="4" t="str">
        <f t="shared" ca="1" si="45"/>
        <v>3-5 Years</v>
      </c>
      <c r="R458">
        <f t="shared" ca="1" si="47"/>
        <v>0</v>
      </c>
      <c r="S458" t="s">
        <v>22</v>
      </c>
      <c r="T458">
        <v>4</v>
      </c>
      <c r="U458" t="s">
        <v>1394</v>
      </c>
      <c r="V458" t="s">
        <v>1394</v>
      </c>
      <c r="W458" t="s">
        <v>1394</v>
      </c>
      <c r="X458" s="3">
        <v>5</v>
      </c>
      <c r="Y458" t="s">
        <v>1395</v>
      </c>
      <c r="Z458">
        <v>30128</v>
      </c>
      <c r="AA458">
        <v>0.1</v>
      </c>
      <c r="AB458">
        <v>33140.800000000003</v>
      </c>
    </row>
    <row r="459" spans="1:28" x14ac:dyDescent="0.35">
      <c r="A459" t="str">
        <f t="shared" si="42"/>
        <v>EMP0458</v>
      </c>
      <c r="B459" t="str" cm="1">
        <f t="array" ref="B459">_xlfn.IFS(
ROW()&lt;=421,"NA",
ROW()&lt;=781,"LATAM",
ROW()&lt;=1021,"EMEA",
TRUE,"APAC"
)</f>
        <v>LATAM</v>
      </c>
      <c r="C459" t="str">
        <f t="shared" si="43"/>
        <v>Mexico</v>
      </c>
      <c r="D459" t="s">
        <v>41</v>
      </c>
      <c r="E459" t="s">
        <v>380</v>
      </c>
      <c r="F459" t="s">
        <v>646</v>
      </c>
      <c r="G459" t="s">
        <v>28</v>
      </c>
      <c r="H459" s="2">
        <v>45695</v>
      </c>
      <c r="I459" t="s">
        <v>29</v>
      </c>
      <c r="J459" t="s">
        <v>42</v>
      </c>
      <c r="K459" t="str">
        <f t="shared" ca="1" si="46"/>
        <v>OK</v>
      </c>
      <c r="L459" t="s">
        <v>802</v>
      </c>
      <c r="M459">
        <v>5</v>
      </c>
      <c r="N459" s="2">
        <v>45994</v>
      </c>
      <c r="O459" s="2" t="s">
        <v>22</v>
      </c>
      <c r="P459" s="4">
        <f t="shared" ca="1" si="44"/>
        <v>1</v>
      </c>
      <c r="Q459" s="4" t="str">
        <f t="shared" ca="1" si="45"/>
        <v>0-2 Years</v>
      </c>
      <c r="R459">
        <f t="shared" ca="1" si="47"/>
        <v>1</v>
      </c>
      <c r="S459" t="s">
        <v>22</v>
      </c>
      <c r="T459">
        <v>4</v>
      </c>
      <c r="U459" t="s">
        <v>1394</v>
      </c>
      <c r="V459" t="s">
        <v>1394</v>
      </c>
      <c r="W459" t="s">
        <v>1394</v>
      </c>
      <c r="X459" s="3">
        <v>1</v>
      </c>
      <c r="Y459" t="s">
        <v>1397</v>
      </c>
      <c r="Z459">
        <v>28046</v>
      </c>
      <c r="AA459">
        <v>0.1</v>
      </c>
      <c r="AB459">
        <v>30850.600000000002</v>
      </c>
    </row>
    <row r="460" spans="1:28" x14ac:dyDescent="0.35">
      <c r="A460" t="str">
        <f t="shared" si="42"/>
        <v>EMP0459</v>
      </c>
      <c r="B460" t="str" cm="1">
        <f t="array" ref="B460">_xlfn.IFS(
ROW()&lt;=421,"NA",
ROW()&lt;=781,"LATAM",
ROW()&lt;=1021,"EMEA",
TRUE,"APAC"
)</f>
        <v>LATAM</v>
      </c>
      <c r="C460" t="str">
        <f t="shared" si="43"/>
        <v>Mexico</v>
      </c>
      <c r="D460" t="s">
        <v>38</v>
      </c>
      <c r="E460" t="s">
        <v>380</v>
      </c>
      <c r="F460" t="s">
        <v>611</v>
      </c>
      <c r="G460" t="s">
        <v>28</v>
      </c>
      <c r="H460" s="2">
        <v>44728</v>
      </c>
      <c r="I460" t="s">
        <v>29</v>
      </c>
      <c r="J460" t="s">
        <v>39</v>
      </c>
      <c r="K460" t="str">
        <f t="shared" ca="1" si="46"/>
        <v>OK</v>
      </c>
      <c r="L460" t="s">
        <v>809</v>
      </c>
      <c r="M460">
        <v>5</v>
      </c>
      <c r="N460" s="2">
        <v>46047</v>
      </c>
      <c r="O460" s="2" t="s">
        <v>22</v>
      </c>
      <c r="P460" s="4">
        <f t="shared" ca="1" si="44"/>
        <v>3</v>
      </c>
      <c r="Q460" s="4" t="str">
        <f t="shared" ca="1" si="45"/>
        <v>3-5 Years</v>
      </c>
      <c r="R460">
        <f t="shared" ca="1" si="47"/>
        <v>0</v>
      </c>
      <c r="S460" t="s">
        <v>22</v>
      </c>
      <c r="T460">
        <v>4</v>
      </c>
      <c r="U460" t="s">
        <v>1394</v>
      </c>
      <c r="V460" t="s">
        <v>1396</v>
      </c>
      <c r="W460" t="s">
        <v>1396</v>
      </c>
      <c r="X460" s="3">
        <v>1</v>
      </c>
      <c r="Y460" t="s">
        <v>1397</v>
      </c>
      <c r="Z460">
        <v>32748</v>
      </c>
      <c r="AA460">
        <v>0.1</v>
      </c>
      <c r="AB460">
        <v>36022.800000000003</v>
      </c>
    </row>
    <row r="461" spans="1:28" x14ac:dyDescent="0.35">
      <c r="A461" t="str">
        <f t="shared" si="42"/>
        <v>EMP0460</v>
      </c>
      <c r="B461" t="str" cm="1">
        <f t="array" ref="B461">_xlfn.IFS(
ROW()&lt;=421,"NA",
ROW()&lt;=781,"LATAM",
ROW()&lt;=1021,"EMEA",
TRUE,"APAC"
)</f>
        <v>LATAM</v>
      </c>
      <c r="C461" t="str">
        <f t="shared" si="43"/>
        <v>Mexico</v>
      </c>
      <c r="D461" t="s">
        <v>32</v>
      </c>
      <c r="E461" t="s">
        <v>380</v>
      </c>
      <c r="F461" t="s">
        <v>600</v>
      </c>
      <c r="G461" t="s">
        <v>28</v>
      </c>
      <c r="H461" s="2">
        <v>44720</v>
      </c>
      <c r="I461" t="s">
        <v>57</v>
      </c>
      <c r="J461" t="s">
        <v>33</v>
      </c>
      <c r="K461" t="str">
        <f t="shared" ca="1" si="46"/>
        <v>OK</v>
      </c>
      <c r="L461" t="s">
        <v>1255</v>
      </c>
      <c r="M461">
        <v>5</v>
      </c>
      <c r="N461" s="2">
        <v>46009</v>
      </c>
      <c r="O461" s="2">
        <v>46071</v>
      </c>
      <c r="P461" s="4">
        <f t="shared" ca="1" si="44"/>
        <v>3</v>
      </c>
      <c r="Q461" s="4" t="str">
        <f t="shared" ca="1" si="45"/>
        <v>3-5 Years</v>
      </c>
      <c r="R461">
        <f t="shared" ca="1" si="47"/>
        <v>0</v>
      </c>
      <c r="S461" t="s">
        <v>23</v>
      </c>
      <c r="T461">
        <v>3</v>
      </c>
      <c r="U461" t="s">
        <v>1394</v>
      </c>
      <c r="V461" t="s">
        <v>1394</v>
      </c>
      <c r="W461" t="s">
        <v>1394</v>
      </c>
      <c r="X461" s="3">
        <v>2</v>
      </c>
      <c r="Y461" t="s">
        <v>1397</v>
      </c>
      <c r="Z461">
        <v>34052</v>
      </c>
      <c r="AA461">
        <v>0.1</v>
      </c>
      <c r="AB461">
        <v>37457.200000000004</v>
      </c>
    </row>
    <row r="462" spans="1:28" x14ac:dyDescent="0.35">
      <c r="A462" t="str">
        <f t="shared" si="42"/>
        <v>EMP0461</v>
      </c>
      <c r="B462" t="str" cm="1">
        <f t="array" ref="B462">_xlfn.IFS(
ROW()&lt;=421,"NA",
ROW()&lt;=781,"LATAM",
ROW()&lt;=1021,"EMEA",
TRUE,"APAC"
)</f>
        <v>LATAM</v>
      </c>
      <c r="C462" t="str">
        <f t="shared" si="43"/>
        <v>Mexico</v>
      </c>
      <c r="D462" t="s">
        <v>32</v>
      </c>
      <c r="E462" t="s">
        <v>380</v>
      </c>
      <c r="F462" t="s">
        <v>968</v>
      </c>
      <c r="G462" t="s">
        <v>28</v>
      </c>
      <c r="H462" s="2">
        <v>44716</v>
      </c>
      <c r="I462" t="s">
        <v>29</v>
      </c>
      <c r="J462" t="s">
        <v>33</v>
      </c>
      <c r="K462" t="str">
        <f t="shared" ca="1" si="46"/>
        <v>OK</v>
      </c>
      <c r="L462" t="s">
        <v>1214</v>
      </c>
      <c r="M462">
        <v>5</v>
      </c>
      <c r="N462" s="2">
        <v>46019</v>
      </c>
      <c r="O462" s="2" t="s">
        <v>22</v>
      </c>
      <c r="P462" s="4">
        <f t="shared" ca="1" si="44"/>
        <v>3</v>
      </c>
      <c r="Q462" s="4" t="str">
        <f t="shared" ca="1" si="45"/>
        <v>3-5 Years</v>
      </c>
      <c r="R462">
        <f t="shared" ca="1" si="47"/>
        <v>0</v>
      </c>
      <c r="S462" t="s">
        <v>22</v>
      </c>
      <c r="T462">
        <v>2</v>
      </c>
      <c r="U462" t="s">
        <v>1396</v>
      </c>
      <c r="V462" t="s">
        <v>1394</v>
      </c>
      <c r="W462" t="s">
        <v>1394</v>
      </c>
      <c r="X462" s="3">
        <v>2</v>
      </c>
      <c r="Y462" t="s">
        <v>1397</v>
      </c>
      <c r="Z462">
        <v>32349</v>
      </c>
      <c r="AA462">
        <v>0.1</v>
      </c>
      <c r="AB462">
        <v>35583.9</v>
      </c>
    </row>
    <row r="463" spans="1:28" x14ac:dyDescent="0.35">
      <c r="A463" t="str">
        <f t="shared" si="42"/>
        <v>EMP0462</v>
      </c>
      <c r="B463" t="str" cm="1">
        <f t="array" ref="B463">_xlfn.IFS(
ROW()&lt;=421,"NA",
ROW()&lt;=781,"LATAM",
ROW()&lt;=1021,"EMEA",
TRUE,"APAC"
)</f>
        <v>LATAM</v>
      </c>
      <c r="C463" t="str">
        <f t="shared" si="43"/>
        <v>Mexico</v>
      </c>
      <c r="D463" t="s">
        <v>44</v>
      </c>
      <c r="E463" t="s">
        <v>380</v>
      </c>
      <c r="F463" t="s">
        <v>543</v>
      </c>
      <c r="G463" t="s">
        <v>28</v>
      </c>
      <c r="H463" s="2">
        <v>44708</v>
      </c>
      <c r="I463" t="s">
        <v>29</v>
      </c>
      <c r="J463" t="s">
        <v>47</v>
      </c>
      <c r="K463" t="str">
        <f t="shared" ca="1" si="46"/>
        <v>OK</v>
      </c>
      <c r="L463" t="s">
        <v>1181</v>
      </c>
      <c r="M463">
        <v>5</v>
      </c>
      <c r="N463" s="2">
        <v>46055</v>
      </c>
      <c r="O463" s="2" t="s">
        <v>22</v>
      </c>
      <c r="P463" s="4">
        <f t="shared" ca="1" si="44"/>
        <v>3</v>
      </c>
      <c r="Q463" s="4" t="str">
        <f t="shared" ca="1" si="45"/>
        <v>3-5 Years</v>
      </c>
      <c r="R463">
        <f t="shared" ca="1" si="47"/>
        <v>0</v>
      </c>
      <c r="S463" t="s">
        <v>22</v>
      </c>
      <c r="T463">
        <v>3</v>
      </c>
      <c r="U463" t="s">
        <v>1394</v>
      </c>
      <c r="V463" t="s">
        <v>1394</v>
      </c>
      <c r="W463" t="s">
        <v>1394</v>
      </c>
      <c r="X463" s="3">
        <v>1</v>
      </c>
      <c r="Y463" t="s">
        <v>1397</v>
      </c>
      <c r="Z463">
        <v>25087</v>
      </c>
      <c r="AA463">
        <v>0.1</v>
      </c>
      <c r="AB463">
        <v>27595.7</v>
      </c>
    </row>
    <row r="464" spans="1:28" x14ac:dyDescent="0.35">
      <c r="A464" t="str">
        <f t="shared" si="42"/>
        <v>EMP0463</v>
      </c>
      <c r="B464" t="str" cm="1">
        <f t="array" ref="B464">_xlfn.IFS(
ROW()&lt;=421,"NA",
ROW()&lt;=781,"LATAM",
ROW()&lt;=1021,"EMEA",
TRUE,"APAC"
)</f>
        <v>LATAM</v>
      </c>
      <c r="C464" t="str">
        <f t="shared" si="43"/>
        <v>Mexico</v>
      </c>
      <c r="D464" t="s">
        <v>26</v>
      </c>
      <c r="E464" t="s">
        <v>145</v>
      </c>
      <c r="F464" t="s">
        <v>249</v>
      </c>
      <c r="G464" t="s">
        <v>28</v>
      </c>
      <c r="H464" s="2">
        <v>44705</v>
      </c>
      <c r="I464" t="s">
        <v>29</v>
      </c>
      <c r="J464" t="s">
        <v>30</v>
      </c>
      <c r="K464" t="str">
        <f t="shared" ca="1" si="46"/>
        <v>OK</v>
      </c>
      <c r="L464" t="s">
        <v>268</v>
      </c>
      <c r="M464">
        <v>4</v>
      </c>
      <c r="N464" s="2">
        <v>46036</v>
      </c>
      <c r="O464" s="2" t="s">
        <v>22</v>
      </c>
      <c r="P464" s="4">
        <f t="shared" ca="1" si="44"/>
        <v>3</v>
      </c>
      <c r="Q464" s="4" t="str">
        <f t="shared" ca="1" si="45"/>
        <v>3-5 Years</v>
      </c>
      <c r="R464">
        <f t="shared" ca="1" si="47"/>
        <v>0</v>
      </c>
      <c r="S464" t="s">
        <v>22</v>
      </c>
      <c r="T464">
        <v>3</v>
      </c>
      <c r="U464" t="s">
        <v>1394</v>
      </c>
      <c r="V464" t="s">
        <v>1396</v>
      </c>
      <c r="W464" t="s">
        <v>1394</v>
      </c>
      <c r="X464" s="3">
        <v>5</v>
      </c>
      <c r="Y464" t="s">
        <v>1395</v>
      </c>
      <c r="Z464">
        <v>55950</v>
      </c>
      <c r="AA464">
        <v>0.15</v>
      </c>
      <c r="AB464">
        <v>64342.499999999993</v>
      </c>
    </row>
    <row r="465" spans="1:28" x14ac:dyDescent="0.35">
      <c r="A465" t="str">
        <f t="shared" si="42"/>
        <v>EMP0464</v>
      </c>
      <c r="B465" t="str" cm="1">
        <f t="array" ref="B465">_xlfn.IFS(
ROW()&lt;=421,"NA",
ROW()&lt;=781,"LATAM",
ROW()&lt;=1021,"EMEA",
TRUE,"APAC"
)</f>
        <v>LATAM</v>
      </c>
      <c r="C465" t="str">
        <f t="shared" si="43"/>
        <v>Mexico</v>
      </c>
      <c r="D465" t="s">
        <v>32</v>
      </c>
      <c r="E465" t="s">
        <v>380</v>
      </c>
      <c r="F465" t="s">
        <v>958</v>
      </c>
      <c r="G465" t="s">
        <v>28</v>
      </c>
      <c r="H465" s="2">
        <f ca="1">DATE(RANDBETWEEN(2018,2021),RANDBETWEEN(1,12),RANDBETWEEN(1,28))</f>
        <v>43234</v>
      </c>
      <c r="I465" t="s">
        <v>29</v>
      </c>
      <c r="J465" t="s">
        <v>33</v>
      </c>
      <c r="K465" t="str">
        <f t="shared" ca="1" si="46"/>
        <v>OK</v>
      </c>
      <c r="L465" t="s">
        <v>1096</v>
      </c>
      <c r="M465">
        <v>5</v>
      </c>
      <c r="N465" s="2">
        <v>46034</v>
      </c>
      <c r="O465" s="2" t="s">
        <v>22</v>
      </c>
      <c r="P465" s="4">
        <f t="shared" ca="1" si="44"/>
        <v>7</v>
      </c>
      <c r="Q465" s="4" t="str">
        <f t="shared" ca="1" si="45"/>
        <v>6-10 Years</v>
      </c>
      <c r="R465">
        <f t="shared" ca="1" si="47"/>
        <v>0</v>
      </c>
      <c r="S465" t="s">
        <v>22</v>
      </c>
      <c r="T465">
        <v>5</v>
      </c>
      <c r="U465" t="s">
        <v>1394</v>
      </c>
      <c r="V465" t="s">
        <v>1394</v>
      </c>
      <c r="W465" t="s">
        <v>1394</v>
      </c>
      <c r="X465" s="3">
        <v>5</v>
      </c>
      <c r="Y465" t="s">
        <v>1395</v>
      </c>
      <c r="Z465">
        <v>20368</v>
      </c>
      <c r="AA465">
        <v>0.1</v>
      </c>
      <c r="AB465">
        <v>22404.800000000003</v>
      </c>
    </row>
    <row r="466" spans="1:28" x14ac:dyDescent="0.35">
      <c r="A466" t="str">
        <f t="shared" si="42"/>
        <v>EMP0465</v>
      </c>
      <c r="B466" t="str" cm="1">
        <f t="array" ref="B466">_xlfn.IFS(
ROW()&lt;=421,"NA",
ROW()&lt;=781,"LATAM",
ROW()&lt;=1021,"EMEA",
TRUE,"APAC"
)</f>
        <v>LATAM</v>
      </c>
      <c r="C466" t="str">
        <f t="shared" si="43"/>
        <v>Mexico</v>
      </c>
      <c r="D466" t="s">
        <v>26</v>
      </c>
      <c r="E466" t="s">
        <v>380</v>
      </c>
      <c r="F466" t="s">
        <v>577</v>
      </c>
      <c r="G466" t="s">
        <v>28</v>
      </c>
      <c r="H466" s="2">
        <v>44703</v>
      </c>
      <c r="I466" t="s">
        <v>29</v>
      </c>
      <c r="J466" t="s">
        <v>30</v>
      </c>
      <c r="K466" t="str">
        <f t="shared" ca="1" si="46"/>
        <v>OK</v>
      </c>
      <c r="L466" t="s">
        <v>1030</v>
      </c>
      <c r="M466">
        <v>5</v>
      </c>
      <c r="N466" s="2">
        <v>45997</v>
      </c>
      <c r="O466" s="2" t="s">
        <v>22</v>
      </c>
      <c r="P466" s="4">
        <f t="shared" ca="1" si="44"/>
        <v>3</v>
      </c>
      <c r="Q466" s="4" t="str">
        <f t="shared" ca="1" si="45"/>
        <v>3-5 Years</v>
      </c>
      <c r="R466">
        <f t="shared" ca="1" si="47"/>
        <v>0</v>
      </c>
      <c r="S466" t="s">
        <v>22</v>
      </c>
      <c r="T466">
        <v>4</v>
      </c>
      <c r="U466" t="s">
        <v>1394</v>
      </c>
      <c r="V466" t="s">
        <v>1394</v>
      </c>
      <c r="W466" t="s">
        <v>1394</v>
      </c>
      <c r="X466" s="3">
        <v>2</v>
      </c>
      <c r="Y466" t="s">
        <v>1397</v>
      </c>
      <c r="Z466">
        <v>29570</v>
      </c>
      <c r="AA466">
        <v>0.1</v>
      </c>
      <c r="AB466">
        <v>32527.000000000004</v>
      </c>
    </row>
    <row r="467" spans="1:28" x14ac:dyDescent="0.35">
      <c r="A467" t="str">
        <f t="shared" si="42"/>
        <v>EMP0466</v>
      </c>
      <c r="B467" t="str" cm="1">
        <f t="array" ref="B467">_xlfn.IFS(
ROW()&lt;=421,"NA",
ROW()&lt;=781,"LATAM",
ROW()&lt;=1021,"EMEA",
TRUE,"APAC"
)</f>
        <v>LATAM</v>
      </c>
      <c r="C467" t="str">
        <f t="shared" si="43"/>
        <v>Mexico</v>
      </c>
      <c r="D467" t="s">
        <v>35</v>
      </c>
      <c r="E467" t="s">
        <v>380</v>
      </c>
      <c r="F467" t="s">
        <v>412</v>
      </c>
      <c r="G467" t="s">
        <v>28</v>
      </c>
      <c r="H467" s="2">
        <v>44701</v>
      </c>
      <c r="I467" t="s">
        <v>29</v>
      </c>
      <c r="J467" t="s">
        <v>36</v>
      </c>
      <c r="K467" t="str">
        <f t="shared" ca="1" si="46"/>
        <v>OK</v>
      </c>
      <c r="L467" t="s">
        <v>550</v>
      </c>
      <c r="M467">
        <v>5</v>
      </c>
      <c r="N467" s="2">
        <v>46000</v>
      </c>
      <c r="O467" s="2" t="s">
        <v>22</v>
      </c>
      <c r="P467" s="4">
        <f t="shared" ca="1" si="44"/>
        <v>3</v>
      </c>
      <c r="Q467" s="4" t="str">
        <f t="shared" ca="1" si="45"/>
        <v>3-5 Years</v>
      </c>
      <c r="R467">
        <f t="shared" ca="1" si="47"/>
        <v>0</v>
      </c>
      <c r="S467" t="s">
        <v>22</v>
      </c>
      <c r="T467">
        <v>3</v>
      </c>
      <c r="U467" t="s">
        <v>1394</v>
      </c>
      <c r="V467" t="s">
        <v>1394</v>
      </c>
      <c r="W467" t="s">
        <v>1394</v>
      </c>
      <c r="X467" s="3">
        <v>3</v>
      </c>
      <c r="Y467" t="s">
        <v>1398</v>
      </c>
      <c r="Z467">
        <v>29511</v>
      </c>
      <c r="AA467">
        <v>0.1</v>
      </c>
      <c r="AB467">
        <v>32462.100000000002</v>
      </c>
    </row>
    <row r="468" spans="1:28" x14ac:dyDescent="0.35">
      <c r="A468" t="str">
        <f t="shared" si="42"/>
        <v>EMP0467</v>
      </c>
      <c r="B468" t="str" cm="1">
        <f t="array" ref="B468">_xlfn.IFS(
ROW()&lt;=421,"NA",
ROW()&lt;=781,"LATAM",
ROW()&lt;=1021,"EMEA",
TRUE,"APAC"
)</f>
        <v>LATAM</v>
      </c>
      <c r="C468" t="str">
        <f t="shared" si="43"/>
        <v>Mexico</v>
      </c>
      <c r="D468" t="s">
        <v>32</v>
      </c>
      <c r="E468" t="s">
        <v>380</v>
      </c>
      <c r="F468" t="s">
        <v>521</v>
      </c>
      <c r="G468" t="s">
        <v>28</v>
      </c>
      <c r="H468" s="2">
        <v>44694</v>
      </c>
      <c r="I468" t="s">
        <v>29</v>
      </c>
      <c r="J468" t="s">
        <v>33</v>
      </c>
      <c r="K468" t="str">
        <f t="shared" ca="1" si="46"/>
        <v>OK</v>
      </c>
      <c r="L468" t="s">
        <v>775</v>
      </c>
      <c r="M468">
        <v>5</v>
      </c>
      <c r="N468" s="2">
        <v>46004</v>
      </c>
      <c r="O468" s="2" t="s">
        <v>22</v>
      </c>
      <c r="P468" s="4">
        <f t="shared" ca="1" si="44"/>
        <v>3</v>
      </c>
      <c r="Q468" s="4" t="str">
        <f t="shared" ca="1" si="45"/>
        <v>3-5 Years</v>
      </c>
      <c r="R468">
        <f t="shared" ca="1" si="47"/>
        <v>0</v>
      </c>
      <c r="S468" t="s">
        <v>22</v>
      </c>
      <c r="T468">
        <v>5</v>
      </c>
      <c r="U468" t="s">
        <v>1394</v>
      </c>
      <c r="V468" t="s">
        <v>1396</v>
      </c>
      <c r="W468" t="s">
        <v>1396</v>
      </c>
      <c r="X468" s="3">
        <v>1</v>
      </c>
      <c r="Y468" t="s">
        <v>1397</v>
      </c>
      <c r="Z468">
        <v>39535</v>
      </c>
      <c r="AA468">
        <v>0.1</v>
      </c>
      <c r="AB468">
        <v>43488.5</v>
      </c>
    </row>
    <row r="469" spans="1:28" x14ac:dyDescent="0.35">
      <c r="A469" t="str">
        <f t="shared" si="42"/>
        <v>EMP0468</v>
      </c>
      <c r="B469" t="str" cm="1">
        <f t="array" ref="B469">_xlfn.IFS(
ROW()&lt;=421,"NA",
ROW()&lt;=781,"LATAM",
ROW()&lt;=1021,"EMEA",
TRUE,"APAC"
)</f>
        <v>LATAM</v>
      </c>
      <c r="C469" t="str">
        <f t="shared" si="43"/>
        <v>Mexico</v>
      </c>
      <c r="D469" t="s">
        <v>35</v>
      </c>
      <c r="E469" t="s">
        <v>380</v>
      </c>
      <c r="F469" t="s">
        <v>424</v>
      </c>
      <c r="G469" t="s">
        <v>28</v>
      </c>
      <c r="H469" s="2">
        <v>44691</v>
      </c>
      <c r="I469" t="s">
        <v>29</v>
      </c>
      <c r="J469" t="s">
        <v>36</v>
      </c>
      <c r="K469" t="str">
        <f t="shared" ca="1" si="46"/>
        <v>OK</v>
      </c>
      <c r="L469" t="s">
        <v>449</v>
      </c>
      <c r="M469">
        <v>5</v>
      </c>
      <c r="N469" s="2">
        <v>46062</v>
      </c>
      <c r="O469" s="2" t="s">
        <v>22</v>
      </c>
      <c r="P469" s="4">
        <f t="shared" ca="1" si="44"/>
        <v>3</v>
      </c>
      <c r="Q469" s="4" t="str">
        <f t="shared" ca="1" si="45"/>
        <v>3-5 Years</v>
      </c>
      <c r="R469">
        <f t="shared" ca="1" si="47"/>
        <v>0</v>
      </c>
      <c r="S469" t="s">
        <v>22</v>
      </c>
      <c r="T469">
        <v>4</v>
      </c>
      <c r="U469" t="s">
        <v>1394</v>
      </c>
      <c r="V469" t="s">
        <v>1394</v>
      </c>
      <c r="W469" t="s">
        <v>1394</v>
      </c>
      <c r="X469" s="3">
        <v>5</v>
      </c>
      <c r="Y469" t="s">
        <v>1395</v>
      </c>
      <c r="Z469">
        <v>22860</v>
      </c>
      <c r="AA469">
        <v>0.1</v>
      </c>
      <c r="AB469">
        <v>25146.000000000004</v>
      </c>
    </row>
    <row r="470" spans="1:28" x14ac:dyDescent="0.35">
      <c r="A470" t="str">
        <f t="shared" si="42"/>
        <v>EMP0469</v>
      </c>
      <c r="B470" t="str" cm="1">
        <f t="array" ref="B470">_xlfn.IFS(
ROW()&lt;=421,"NA",
ROW()&lt;=781,"LATAM",
ROW()&lt;=1021,"EMEA",
TRUE,"APAC"
)</f>
        <v>LATAM</v>
      </c>
      <c r="C470" t="str">
        <f t="shared" si="43"/>
        <v>Mexico</v>
      </c>
      <c r="D470" t="s">
        <v>38</v>
      </c>
      <c r="E470" t="s">
        <v>380</v>
      </c>
      <c r="F470" t="s">
        <v>933</v>
      </c>
      <c r="G470" t="s">
        <v>28</v>
      </c>
      <c r="H470" s="2">
        <v>44690</v>
      </c>
      <c r="I470" t="s">
        <v>29</v>
      </c>
      <c r="J470" t="s">
        <v>39</v>
      </c>
      <c r="K470" t="str">
        <f t="shared" ca="1" si="46"/>
        <v>OK</v>
      </c>
      <c r="L470" t="s">
        <v>472</v>
      </c>
      <c r="M470">
        <v>5</v>
      </c>
      <c r="N470" s="2">
        <v>45995</v>
      </c>
      <c r="O470" s="2" t="s">
        <v>22</v>
      </c>
      <c r="P470" s="4">
        <f t="shared" ca="1" si="44"/>
        <v>3</v>
      </c>
      <c r="Q470" s="4" t="str">
        <f t="shared" ca="1" si="45"/>
        <v>3-5 Years</v>
      </c>
      <c r="R470">
        <f t="shared" ca="1" si="47"/>
        <v>0</v>
      </c>
      <c r="S470" t="s">
        <v>22</v>
      </c>
      <c r="T470">
        <v>3</v>
      </c>
      <c r="U470" t="s">
        <v>1396</v>
      </c>
      <c r="V470" t="s">
        <v>1394</v>
      </c>
      <c r="W470" t="s">
        <v>1394</v>
      </c>
      <c r="X470" s="3">
        <v>5</v>
      </c>
      <c r="Y470" t="s">
        <v>1395</v>
      </c>
      <c r="Z470">
        <v>44170</v>
      </c>
      <c r="AA470">
        <v>0.1</v>
      </c>
      <c r="AB470">
        <v>48587.000000000007</v>
      </c>
    </row>
    <row r="471" spans="1:28" x14ac:dyDescent="0.35">
      <c r="A471" t="str">
        <f t="shared" si="42"/>
        <v>EMP0470</v>
      </c>
      <c r="B471" t="str" cm="1">
        <f t="array" ref="B471">_xlfn.IFS(
ROW()&lt;=421,"NA",
ROW()&lt;=781,"LATAM",
ROW()&lt;=1021,"EMEA",
TRUE,"APAC"
)</f>
        <v>LATAM</v>
      </c>
      <c r="C471" t="str">
        <f t="shared" si="43"/>
        <v>Mexico</v>
      </c>
      <c r="D471" t="s">
        <v>35</v>
      </c>
      <c r="E471" t="s">
        <v>145</v>
      </c>
      <c r="F471" t="s">
        <v>219</v>
      </c>
      <c r="G471" t="s">
        <v>28</v>
      </c>
      <c r="H471" s="2">
        <v>44689</v>
      </c>
      <c r="I471" t="s">
        <v>29</v>
      </c>
      <c r="J471" t="s">
        <v>36</v>
      </c>
      <c r="K471" t="str">
        <f t="shared" ca="1" si="46"/>
        <v>OK</v>
      </c>
      <c r="L471" t="s">
        <v>270</v>
      </c>
      <c r="M471">
        <v>4</v>
      </c>
      <c r="N471" s="2">
        <v>46029</v>
      </c>
      <c r="O471" s="2" t="s">
        <v>22</v>
      </c>
      <c r="P471" s="4">
        <f t="shared" ca="1" si="44"/>
        <v>3</v>
      </c>
      <c r="Q471" s="4" t="str">
        <f t="shared" ca="1" si="45"/>
        <v>3-5 Years</v>
      </c>
      <c r="R471">
        <f t="shared" ca="1" si="47"/>
        <v>0</v>
      </c>
      <c r="S471" t="s">
        <v>22</v>
      </c>
      <c r="T471">
        <v>4</v>
      </c>
      <c r="U471" t="s">
        <v>1394</v>
      </c>
      <c r="V471" t="s">
        <v>1394</v>
      </c>
      <c r="W471" t="s">
        <v>1394</v>
      </c>
      <c r="X471" s="3">
        <v>3</v>
      </c>
      <c r="Y471" t="s">
        <v>1398</v>
      </c>
      <c r="Z471">
        <v>64602</v>
      </c>
      <c r="AA471">
        <v>0.15</v>
      </c>
      <c r="AB471">
        <v>74292.299999999988</v>
      </c>
    </row>
    <row r="472" spans="1:28" x14ac:dyDescent="0.35">
      <c r="A472" t="str">
        <f t="shared" si="42"/>
        <v>EMP0471</v>
      </c>
      <c r="B472" t="str" cm="1">
        <f t="array" ref="B472">_xlfn.IFS(
ROW()&lt;=421,"NA",
ROW()&lt;=781,"LATAM",
ROW()&lt;=1021,"EMEA",
TRUE,"APAC"
)</f>
        <v>LATAM</v>
      </c>
      <c r="C472" t="str">
        <f t="shared" si="43"/>
        <v>Mexico</v>
      </c>
      <c r="D472" t="s">
        <v>44</v>
      </c>
      <c r="E472" t="s">
        <v>380</v>
      </c>
      <c r="F472" t="s">
        <v>595</v>
      </c>
      <c r="G472" t="s">
        <v>28</v>
      </c>
      <c r="H472" s="2">
        <v>44675</v>
      </c>
      <c r="I472" t="s">
        <v>29</v>
      </c>
      <c r="J472" t="s">
        <v>47</v>
      </c>
      <c r="K472" t="str">
        <f t="shared" ca="1" si="46"/>
        <v>OK</v>
      </c>
      <c r="L472" t="s">
        <v>1213</v>
      </c>
      <c r="M472">
        <v>5</v>
      </c>
      <c r="N472" s="2">
        <v>46013</v>
      </c>
      <c r="O472" s="2" t="s">
        <v>22</v>
      </c>
      <c r="P472" s="4">
        <f t="shared" ca="1" si="44"/>
        <v>3</v>
      </c>
      <c r="Q472" s="4" t="str">
        <f t="shared" ca="1" si="45"/>
        <v>3-5 Years</v>
      </c>
      <c r="R472">
        <f t="shared" ca="1" si="47"/>
        <v>0</v>
      </c>
      <c r="S472" t="s">
        <v>22</v>
      </c>
      <c r="T472">
        <v>4</v>
      </c>
      <c r="U472" t="s">
        <v>1396</v>
      </c>
      <c r="V472" t="s">
        <v>1394</v>
      </c>
      <c r="W472" t="s">
        <v>1394</v>
      </c>
      <c r="X472" s="3">
        <v>5</v>
      </c>
      <c r="Y472" t="s">
        <v>1395</v>
      </c>
      <c r="Z472">
        <v>46356</v>
      </c>
      <c r="AA472">
        <v>0.1</v>
      </c>
      <c r="AB472">
        <v>50991.600000000006</v>
      </c>
    </row>
    <row r="473" spans="1:28" x14ac:dyDescent="0.35">
      <c r="A473" t="str">
        <f t="shared" si="42"/>
        <v>EMP0472</v>
      </c>
      <c r="B473" t="str" cm="1">
        <f t="array" ref="B473">_xlfn.IFS(
ROW()&lt;=421,"NA",
ROW()&lt;=781,"LATAM",
ROW()&lt;=1021,"EMEA",
TRUE,"APAC"
)</f>
        <v>LATAM</v>
      </c>
      <c r="C473" t="str">
        <f t="shared" si="43"/>
        <v>Mexico</v>
      </c>
      <c r="D473" t="s">
        <v>44</v>
      </c>
      <c r="E473" t="s">
        <v>145</v>
      </c>
      <c r="F473" t="s">
        <v>261</v>
      </c>
      <c r="G473" t="s">
        <v>28</v>
      </c>
      <c r="H473" s="2">
        <v>44673</v>
      </c>
      <c r="I473" t="s">
        <v>57</v>
      </c>
      <c r="J473" t="s">
        <v>47</v>
      </c>
      <c r="K473" t="str">
        <f t="shared" ca="1" si="46"/>
        <v>OK</v>
      </c>
      <c r="L473" t="s">
        <v>267</v>
      </c>
      <c r="M473">
        <v>4</v>
      </c>
      <c r="N473" s="2">
        <v>46078</v>
      </c>
      <c r="O473" s="2">
        <v>46000</v>
      </c>
      <c r="P473" s="4">
        <f t="shared" ca="1" si="44"/>
        <v>3</v>
      </c>
      <c r="Q473" s="4" t="str">
        <f t="shared" ca="1" si="45"/>
        <v>3-5 Years</v>
      </c>
      <c r="R473">
        <f t="shared" ca="1" si="47"/>
        <v>0</v>
      </c>
      <c r="S473" t="s">
        <v>24</v>
      </c>
      <c r="T473">
        <v>4</v>
      </c>
      <c r="U473" t="s">
        <v>1396</v>
      </c>
      <c r="V473" t="s">
        <v>1394</v>
      </c>
      <c r="W473" t="s">
        <v>1394</v>
      </c>
      <c r="X473" s="3">
        <v>4</v>
      </c>
      <c r="Y473" t="s">
        <v>1395</v>
      </c>
      <c r="Z473">
        <v>55836</v>
      </c>
      <c r="AA473">
        <v>0.15</v>
      </c>
      <c r="AB473">
        <v>64211.399999999994</v>
      </c>
    </row>
    <row r="474" spans="1:28" x14ac:dyDescent="0.35">
      <c r="A474" t="str">
        <f t="shared" si="42"/>
        <v>EMP0473</v>
      </c>
      <c r="B474" t="str" cm="1">
        <f t="array" ref="B474">_xlfn.IFS(
ROW()&lt;=421,"NA",
ROW()&lt;=781,"LATAM",
ROW()&lt;=1021,"EMEA",
TRUE,"APAC"
)</f>
        <v>LATAM</v>
      </c>
      <c r="C474" t="str">
        <f t="shared" si="43"/>
        <v>Mexico</v>
      </c>
      <c r="D474" t="s">
        <v>41</v>
      </c>
      <c r="E474" t="s">
        <v>380</v>
      </c>
      <c r="F474" t="s">
        <v>434</v>
      </c>
      <c r="G474" t="s">
        <v>28</v>
      </c>
      <c r="H474" s="2">
        <v>45885</v>
      </c>
      <c r="I474" t="s">
        <v>29</v>
      </c>
      <c r="J474" t="s">
        <v>42</v>
      </c>
      <c r="K474" t="str">
        <f t="shared" ca="1" si="46"/>
        <v>OK</v>
      </c>
      <c r="L474" t="s">
        <v>1268</v>
      </c>
      <c r="M474">
        <v>5</v>
      </c>
      <c r="N474" s="2">
        <v>46013</v>
      </c>
      <c r="O474" s="2" t="s">
        <v>22</v>
      </c>
      <c r="P474" s="4">
        <f t="shared" ca="1" si="44"/>
        <v>0</v>
      </c>
      <c r="Q474" s="4" t="str">
        <f t="shared" ca="1" si="45"/>
        <v>0-2 Years</v>
      </c>
      <c r="R474">
        <f t="shared" ca="1" si="47"/>
        <v>1</v>
      </c>
      <c r="S474" t="s">
        <v>22</v>
      </c>
      <c r="T474">
        <v>3</v>
      </c>
      <c r="U474" t="s">
        <v>1394</v>
      </c>
      <c r="V474" t="s">
        <v>1394</v>
      </c>
      <c r="W474" t="s">
        <v>1394</v>
      </c>
      <c r="X474" s="3">
        <v>2</v>
      </c>
      <c r="Y474" t="s">
        <v>1397</v>
      </c>
      <c r="Z474">
        <v>47211</v>
      </c>
      <c r="AA474">
        <v>0.1</v>
      </c>
      <c r="AB474">
        <v>51932.100000000006</v>
      </c>
    </row>
    <row r="475" spans="1:28" x14ac:dyDescent="0.35">
      <c r="A475" t="str">
        <f t="shared" si="42"/>
        <v>EMP0474</v>
      </c>
      <c r="B475" t="str" cm="1">
        <f t="array" ref="B475">_xlfn.IFS(
ROW()&lt;=421,"NA",
ROW()&lt;=781,"LATAM",
ROW()&lt;=1021,"EMEA",
TRUE,"APAC"
)</f>
        <v>LATAM</v>
      </c>
      <c r="C475" t="str">
        <f t="shared" si="43"/>
        <v>Mexico</v>
      </c>
      <c r="D475" t="s">
        <v>41</v>
      </c>
      <c r="E475" t="s">
        <v>380</v>
      </c>
      <c r="F475" t="s">
        <v>666</v>
      </c>
      <c r="G475" t="s">
        <v>28</v>
      </c>
      <c r="H475" s="2">
        <v>45933</v>
      </c>
      <c r="I475" t="s">
        <v>29</v>
      </c>
      <c r="J475" t="s">
        <v>42</v>
      </c>
      <c r="K475" t="str">
        <f t="shared" ca="1" si="46"/>
        <v>OK</v>
      </c>
      <c r="L475" t="s">
        <v>1098</v>
      </c>
      <c r="M475">
        <v>5</v>
      </c>
      <c r="N475" s="2">
        <v>46005</v>
      </c>
      <c r="O475" s="2" t="s">
        <v>22</v>
      </c>
      <c r="P475" s="4">
        <f t="shared" ca="1" si="44"/>
        <v>0</v>
      </c>
      <c r="Q475" s="4" t="str">
        <f t="shared" ca="1" si="45"/>
        <v>0-2 Years</v>
      </c>
      <c r="R475">
        <f t="shared" ca="1" si="47"/>
        <v>1</v>
      </c>
      <c r="S475" t="s">
        <v>22</v>
      </c>
      <c r="T475">
        <v>4</v>
      </c>
      <c r="U475" t="s">
        <v>1394</v>
      </c>
      <c r="V475" t="s">
        <v>1394</v>
      </c>
      <c r="W475" t="s">
        <v>1394</v>
      </c>
      <c r="X475" s="3">
        <v>2</v>
      </c>
      <c r="Y475" t="s">
        <v>1397</v>
      </c>
      <c r="Z475">
        <v>30003</v>
      </c>
      <c r="AA475">
        <v>0.1</v>
      </c>
      <c r="AB475">
        <v>33003.300000000003</v>
      </c>
    </row>
    <row r="476" spans="1:28" x14ac:dyDescent="0.35">
      <c r="A476" t="str">
        <f t="shared" si="42"/>
        <v>EMP0475</v>
      </c>
      <c r="B476" t="str" cm="1">
        <f t="array" ref="B476">_xlfn.IFS(
ROW()&lt;=421,"NA",
ROW()&lt;=781,"LATAM",
ROW()&lt;=1021,"EMEA",
TRUE,"APAC"
)</f>
        <v>LATAM</v>
      </c>
      <c r="C476" t="str">
        <f t="shared" si="43"/>
        <v>Mexico</v>
      </c>
      <c r="D476" t="s">
        <v>32</v>
      </c>
      <c r="E476" t="s">
        <v>380</v>
      </c>
      <c r="F476" t="s">
        <v>579</v>
      </c>
      <c r="G476" t="s">
        <v>28</v>
      </c>
      <c r="H476" s="2">
        <v>44663</v>
      </c>
      <c r="I476" t="s">
        <v>57</v>
      </c>
      <c r="J476" t="s">
        <v>33</v>
      </c>
      <c r="K476" t="str">
        <f t="shared" ca="1" si="46"/>
        <v>OK</v>
      </c>
      <c r="L476" t="s">
        <v>1167</v>
      </c>
      <c r="M476">
        <v>5</v>
      </c>
      <c r="N476" s="2">
        <v>46059</v>
      </c>
      <c r="O476" s="2">
        <v>46071</v>
      </c>
      <c r="P476" s="4">
        <f t="shared" ca="1" si="44"/>
        <v>3</v>
      </c>
      <c r="Q476" s="4" t="str">
        <f t="shared" ca="1" si="45"/>
        <v>3-5 Years</v>
      </c>
      <c r="R476">
        <f t="shared" ca="1" si="47"/>
        <v>0</v>
      </c>
      <c r="S476" t="s">
        <v>23</v>
      </c>
      <c r="T476">
        <v>3</v>
      </c>
      <c r="U476" t="s">
        <v>1394</v>
      </c>
      <c r="V476" t="s">
        <v>1394</v>
      </c>
      <c r="W476" t="s">
        <v>1394</v>
      </c>
      <c r="X476" s="3">
        <v>1</v>
      </c>
      <c r="Y476" t="s">
        <v>1397</v>
      </c>
      <c r="Z476">
        <v>38213</v>
      </c>
      <c r="AA476">
        <v>0.1</v>
      </c>
      <c r="AB476">
        <v>42034.3</v>
      </c>
    </row>
    <row r="477" spans="1:28" x14ac:dyDescent="0.35">
      <c r="A477" t="str">
        <f t="shared" si="42"/>
        <v>EMP0476</v>
      </c>
      <c r="B477" t="str" cm="1">
        <f t="array" ref="B477">_xlfn.IFS(
ROW()&lt;=421,"NA",
ROW()&lt;=781,"LATAM",
ROW()&lt;=1021,"EMEA",
TRUE,"APAC"
)</f>
        <v>LATAM</v>
      </c>
      <c r="C477" t="str">
        <f t="shared" si="43"/>
        <v>Mexico</v>
      </c>
      <c r="D477" t="s">
        <v>26</v>
      </c>
      <c r="E477" t="s">
        <v>380</v>
      </c>
      <c r="F477" t="s">
        <v>669</v>
      </c>
      <c r="G477" t="s">
        <v>28</v>
      </c>
      <c r="H477" s="2">
        <v>44663</v>
      </c>
      <c r="I477" t="s">
        <v>29</v>
      </c>
      <c r="J477" t="s">
        <v>30</v>
      </c>
      <c r="K477" t="str">
        <f t="shared" ca="1" si="46"/>
        <v>OK</v>
      </c>
      <c r="L477" t="s">
        <v>1356</v>
      </c>
      <c r="M477">
        <v>5</v>
      </c>
      <c r="N477" s="2">
        <v>46024</v>
      </c>
      <c r="O477" s="2" t="s">
        <v>22</v>
      </c>
      <c r="P477" s="4">
        <f t="shared" ca="1" si="44"/>
        <v>3</v>
      </c>
      <c r="Q477" s="4" t="str">
        <f t="shared" ca="1" si="45"/>
        <v>3-5 Years</v>
      </c>
      <c r="R477">
        <f t="shared" ca="1" si="47"/>
        <v>0</v>
      </c>
      <c r="S477" t="s">
        <v>22</v>
      </c>
      <c r="T477">
        <v>3</v>
      </c>
      <c r="U477" t="s">
        <v>1394</v>
      </c>
      <c r="V477" t="s">
        <v>1394</v>
      </c>
      <c r="W477" t="s">
        <v>1394</v>
      </c>
      <c r="X477" s="3">
        <v>2</v>
      </c>
      <c r="Y477" t="s">
        <v>1397</v>
      </c>
      <c r="Z477">
        <v>39149</v>
      </c>
      <c r="AA477">
        <v>0.1</v>
      </c>
      <c r="AB477">
        <v>43063.9</v>
      </c>
    </row>
    <row r="478" spans="1:28" x14ac:dyDescent="0.35">
      <c r="A478" t="str">
        <f t="shared" si="42"/>
        <v>EMP0477</v>
      </c>
      <c r="B478" t="str" cm="1">
        <f t="array" ref="B478">_xlfn.IFS(
ROW()&lt;=421,"NA",
ROW()&lt;=781,"LATAM",
ROW()&lt;=1021,"EMEA",
TRUE,"APAC"
)</f>
        <v>LATAM</v>
      </c>
      <c r="C478" t="str">
        <f t="shared" si="43"/>
        <v>Mexico</v>
      </c>
      <c r="D478" t="s">
        <v>41</v>
      </c>
      <c r="E478" t="s">
        <v>380</v>
      </c>
      <c r="F478" t="s">
        <v>784</v>
      </c>
      <c r="G478" t="s">
        <v>28</v>
      </c>
      <c r="H478" s="2">
        <v>46024</v>
      </c>
      <c r="I478" t="s">
        <v>29</v>
      </c>
      <c r="J478" t="s">
        <v>42</v>
      </c>
      <c r="K478" t="str">
        <f t="shared" ca="1" si="46"/>
        <v>OK</v>
      </c>
      <c r="L478" t="s">
        <v>1349</v>
      </c>
      <c r="M478">
        <v>5</v>
      </c>
      <c r="N478" s="2">
        <v>46031</v>
      </c>
      <c r="O478" s="2" t="s">
        <v>22</v>
      </c>
      <c r="P478" s="4">
        <f t="shared" ca="1" si="44"/>
        <v>0</v>
      </c>
      <c r="Q478" s="4" t="str">
        <f t="shared" ca="1" si="45"/>
        <v>0-2 Years</v>
      </c>
      <c r="R478">
        <f t="shared" ca="1" si="47"/>
        <v>1</v>
      </c>
      <c r="S478" t="s">
        <v>22</v>
      </c>
      <c r="T478">
        <v>3</v>
      </c>
      <c r="U478" t="s">
        <v>1394</v>
      </c>
      <c r="V478" t="s">
        <v>1396</v>
      </c>
      <c r="W478" t="s">
        <v>1394</v>
      </c>
      <c r="X478" s="3">
        <v>3</v>
      </c>
      <c r="Y478" t="s">
        <v>1398</v>
      </c>
      <c r="Z478">
        <v>25521</v>
      </c>
      <c r="AA478">
        <v>0.1</v>
      </c>
      <c r="AB478">
        <v>28073.100000000002</v>
      </c>
    </row>
    <row r="479" spans="1:28" x14ac:dyDescent="0.35">
      <c r="A479" t="str">
        <f t="shared" si="42"/>
        <v>EMP0478</v>
      </c>
      <c r="B479" t="str" cm="1">
        <f t="array" ref="B479">_xlfn.IFS(
ROW()&lt;=421,"NA",
ROW()&lt;=781,"LATAM",
ROW()&lt;=1021,"EMEA",
TRUE,"APAC"
)</f>
        <v>LATAM</v>
      </c>
      <c r="C479" t="str">
        <f t="shared" si="43"/>
        <v>Mexico</v>
      </c>
      <c r="D479" t="s">
        <v>35</v>
      </c>
      <c r="E479" t="s">
        <v>145</v>
      </c>
      <c r="F479" t="s">
        <v>194</v>
      </c>
      <c r="G479" t="s">
        <v>28</v>
      </c>
      <c r="H479" s="2">
        <v>44661</v>
      </c>
      <c r="I479" t="s">
        <v>29</v>
      </c>
      <c r="J479" t="s">
        <v>36</v>
      </c>
      <c r="K479" t="str">
        <f t="shared" ca="1" si="46"/>
        <v>OK</v>
      </c>
      <c r="L479" t="s">
        <v>287</v>
      </c>
      <c r="M479">
        <v>4</v>
      </c>
      <c r="N479" s="2">
        <v>46072</v>
      </c>
      <c r="O479" s="2" t="s">
        <v>22</v>
      </c>
      <c r="P479" s="4">
        <f t="shared" ca="1" si="44"/>
        <v>3</v>
      </c>
      <c r="Q479" s="4" t="str">
        <f t="shared" ca="1" si="45"/>
        <v>3-5 Years</v>
      </c>
      <c r="R479">
        <f t="shared" ca="1" si="47"/>
        <v>0</v>
      </c>
      <c r="S479" t="s">
        <v>22</v>
      </c>
      <c r="T479">
        <v>4</v>
      </c>
      <c r="U479" t="s">
        <v>1394</v>
      </c>
      <c r="V479" t="s">
        <v>1394</v>
      </c>
      <c r="W479" t="s">
        <v>1394</v>
      </c>
      <c r="X479" s="3">
        <v>5</v>
      </c>
      <c r="Y479" t="s">
        <v>1395</v>
      </c>
      <c r="Z479">
        <v>65764</v>
      </c>
      <c r="AA479">
        <v>0.15</v>
      </c>
      <c r="AB479">
        <v>75628.599999999991</v>
      </c>
    </row>
    <row r="480" spans="1:28" x14ac:dyDescent="0.35">
      <c r="A480" t="str">
        <f t="shared" si="42"/>
        <v>EMP0479</v>
      </c>
      <c r="B480" t="str" cm="1">
        <f t="array" ref="B480">_xlfn.IFS(
ROW()&lt;=421,"NA",
ROW()&lt;=781,"LATAM",
ROW()&lt;=1021,"EMEA",
TRUE,"APAC"
)</f>
        <v>LATAM</v>
      </c>
      <c r="C480" t="str">
        <f t="shared" si="43"/>
        <v>Mexico</v>
      </c>
      <c r="D480" t="s">
        <v>38</v>
      </c>
      <c r="E480" t="s">
        <v>380</v>
      </c>
      <c r="F480" t="s">
        <v>429</v>
      </c>
      <c r="G480" t="s">
        <v>28</v>
      </c>
      <c r="H480" s="2">
        <v>44658</v>
      </c>
      <c r="I480" t="s">
        <v>29</v>
      </c>
      <c r="J480" t="s">
        <v>39</v>
      </c>
      <c r="K480" t="str">
        <f t="shared" ca="1" si="46"/>
        <v>OK</v>
      </c>
      <c r="L480" t="s">
        <v>430</v>
      </c>
      <c r="M480">
        <v>5</v>
      </c>
      <c r="N480" s="2">
        <v>45991</v>
      </c>
      <c r="O480" s="2" t="s">
        <v>22</v>
      </c>
      <c r="P480" s="4">
        <f t="shared" ca="1" si="44"/>
        <v>3</v>
      </c>
      <c r="Q480" s="4" t="str">
        <f t="shared" ca="1" si="45"/>
        <v>3-5 Years</v>
      </c>
      <c r="R480">
        <f t="shared" ca="1" si="47"/>
        <v>0</v>
      </c>
      <c r="S480" t="s">
        <v>22</v>
      </c>
      <c r="T480">
        <v>3</v>
      </c>
      <c r="U480" t="s">
        <v>1396</v>
      </c>
      <c r="V480" t="s">
        <v>1394</v>
      </c>
      <c r="W480" t="s">
        <v>1394</v>
      </c>
      <c r="X480" s="3">
        <v>1</v>
      </c>
      <c r="Y480" t="s">
        <v>1397</v>
      </c>
      <c r="Z480">
        <v>40917</v>
      </c>
      <c r="AA480">
        <v>0.1</v>
      </c>
      <c r="AB480">
        <v>45008.700000000004</v>
      </c>
    </row>
    <row r="481" spans="1:28" x14ac:dyDescent="0.35">
      <c r="A481" t="str">
        <f t="shared" si="42"/>
        <v>EMP0480</v>
      </c>
      <c r="B481" t="str" cm="1">
        <f t="array" ref="B481">_xlfn.IFS(
ROW()&lt;=421,"NA",
ROW()&lt;=781,"LATAM",
ROW()&lt;=1021,"EMEA",
TRUE,"APAC"
)</f>
        <v>LATAM</v>
      </c>
      <c r="C481" t="str">
        <f t="shared" si="43"/>
        <v>Mexico</v>
      </c>
      <c r="D481" t="s">
        <v>26</v>
      </c>
      <c r="E481" t="s">
        <v>145</v>
      </c>
      <c r="F481" t="s">
        <v>249</v>
      </c>
      <c r="G481" t="s">
        <v>28</v>
      </c>
      <c r="H481" s="2">
        <v>44655</v>
      </c>
      <c r="I481" t="s">
        <v>29</v>
      </c>
      <c r="J481" t="s">
        <v>30</v>
      </c>
      <c r="K481" t="str">
        <f t="shared" ca="1" si="46"/>
        <v>OK</v>
      </c>
      <c r="L481" t="s">
        <v>378</v>
      </c>
      <c r="M481">
        <v>4</v>
      </c>
      <c r="N481" s="2">
        <v>45999</v>
      </c>
      <c r="O481" s="2" t="s">
        <v>22</v>
      </c>
      <c r="P481" s="4">
        <f t="shared" ca="1" si="44"/>
        <v>3</v>
      </c>
      <c r="Q481" s="4" t="str">
        <f t="shared" ca="1" si="45"/>
        <v>3-5 Years</v>
      </c>
      <c r="R481">
        <f t="shared" ca="1" si="47"/>
        <v>0</v>
      </c>
      <c r="S481" t="s">
        <v>22</v>
      </c>
      <c r="T481">
        <v>2</v>
      </c>
      <c r="U481" t="s">
        <v>1394</v>
      </c>
      <c r="V481" t="s">
        <v>1394</v>
      </c>
      <c r="W481" t="s">
        <v>1394</v>
      </c>
      <c r="X481" s="3">
        <v>1</v>
      </c>
      <c r="Y481" t="s">
        <v>1397</v>
      </c>
      <c r="Z481">
        <v>56735</v>
      </c>
      <c r="AA481">
        <v>0.15</v>
      </c>
      <c r="AB481">
        <v>65245.249999999993</v>
      </c>
    </row>
    <row r="482" spans="1:28" x14ac:dyDescent="0.35">
      <c r="A482" t="str">
        <f t="shared" si="42"/>
        <v>EMP0481</v>
      </c>
      <c r="B482" t="str" cm="1">
        <f t="array" ref="B482">_xlfn.IFS(
ROW()&lt;=421,"NA",
ROW()&lt;=781,"LATAM",
ROW()&lt;=1021,"EMEA",
TRUE,"APAC"
)</f>
        <v>LATAM</v>
      </c>
      <c r="C482" t="str">
        <f t="shared" si="43"/>
        <v>Mexico</v>
      </c>
      <c r="D482" t="s">
        <v>32</v>
      </c>
      <c r="E482" t="s">
        <v>145</v>
      </c>
      <c r="F482" t="s">
        <v>185</v>
      </c>
      <c r="G482" t="s">
        <v>28</v>
      </c>
      <c r="H482" s="2">
        <v>44654</v>
      </c>
      <c r="I482" t="s">
        <v>29</v>
      </c>
      <c r="J482" t="s">
        <v>33</v>
      </c>
      <c r="K482" t="str">
        <f t="shared" ca="1" si="46"/>
        <v>OK</v>
      </c>
      <c r="L482" t="s">
        <v>342</v>
      </c>
      <c r="M482">
        <v>4</v>
      </c>
      <c r="N482" s="2">
        <v>46043</v>
      </c>
      <c r="O482" s="2" t="s">
        <v>22</v>
      </c>
      <c r="P482" s="4">
        <f t="shared" ca="1" si="44"/>
        <v>3</v>
      </c>
      <c r="Q482" s="4" t="str">
        <f t="shared" ca="1" si="45"/>
        <v>3-5 Years</v>
      </c>
      <c r="R482">
        <f t="shared" ca="1" si="47"/>
        <v>0</v>
      </c>
      <c r="S482" t="s">
        <v>22</v>
      </c>
      <c r="T482">
        <v>5</v>
      </c>
      <c r="U482" t="s">
        <v>1394</v>
      </c>
      <c r="V482" t="s">
        <v>1394</v>
      </c>
      <c r="W482" t="s">
        <v>1394</v>
      </c>
      <c r="X482" s="3">
        <v>4</v>
      </c>
      <c r="Y482" t="s">
        <v>1395</v>
      </c>
      <c r="Z482">
        <v>56780</v>
      </c>
      <c r="AA482">
        <v>0.15</v>
      </c>
      <c r="AB482">
        <v>65296.999999999993</v>
      </c>
    </row>
    <row r="483" spans="1:28" x14ac:dyDescent="0.35">
      <c r="A483" t="str">
        <f t="shared" si="42"/>
        <v>EMP0482</v>
      </c>
      <c r="B483" t="str" cm="1">
        <f t="array" ref="B483">_xlfn.IFS(
ROW()&lt;=421,"NA",
ROW()&lt;=781,"LATAM",
ROW()&lt;=1021,"EMEA",
TRUE,"APAC"
)</f>
        <v>LATAM</v>
      </c>
      <c r="C483" t="str">
        <f t="shared" si="43"/>
        <v>Mexico</v>
      </c>
      <c r="D483" t="s">
        <v>35</v>
      </c>
      <c r="E483" t="s">
        <v>380</v>
      </c>
      <c r="F483" t="s">
        <v>418</v>
      </c>
      <c r="G483" t="s">
        <v>28</v>
      </c>
      <c r="H483" s="2">
        <v>44642</v>
      </c>
      <c r="I483" t="s">
        <v>29</v>
      </c>
      <c r="J483" t="s">
        <v>36</v>
      </c>
      <c r="K483" t="str">
        <f t="shared" ca="1" si="46"/>
        <v>OK</v>
      </c>
      <c r="L483" t="s">
        <v>1353</v>
      </c>
      <c r="M483">
        <v>5</v>
      </c>
      <c r="N483" s="2">
        <v>46047</v>
      </c>
      <c r="O483" s="2" t="s">
        <v>22</v>
      </c>
      <c r="P483" s="4">
        <f t="shared" ca="1" si="44"/>
        <v>3</v>
      </c>
      <c r="Q483" s="4" t="str">
        <f t="shared" ca="1" si="45"/>
        <v>3-5 Years</v>
      </c>
      <c r="R483">
        <f t="shared" ca="1" si="47"/>
        <v>0</v>
      </c>
      <c r="S483" t="s">
        <v>22</v>
      </c>
      <c r="T483">
        <v>3</v>
      </c>
      <c r="U483" t="s">
        <v>1394</v>
      </c>
      <c r="V483" t="s">
        <v>1394</v>
      </c>
      <c r="W483" t="s">
        <v>1394</v>
      </c>
      <c r="X483" s="3">
        <v>1</v>
      </c>
      <c r="Y483" t="s">
        <v>1397</v>
      </c>
      <c r="Z483">
        <v>33649</v>
      </c>
      <c r="AA483">
        <v>0.1</v>
      </c>
      <c r="AB483">
        <v>37013.9</v>
      </c>
    </row>
    <row r="484" spans="1:28" x14ac:dyDescent="0.35">
      <c r="A484" t="str">
        <f t="shared" si="42"/>
        <v>EMP0483</v>
      </c>
      <c r="B484" t="str" cm="1">
        <f t="array" ref="B484">_xlfn.IFS(
ROW()&lt;=421,"NA",
ROW()&lt;=781,"LATAM",
ROW()&lt;=1021,"EMEA",
TRUE,"APAC"
)</f>
        <v>LATAM</v>
      </c>
      <c r="C484" t="str">
        <f t="shared" si="43"/>
        <v>Mexico</v>
      </c>
      <c r="D484" t="s">
        <v>35</v>
      </c>
      <c r="E484" t="s">
        <v>380</v>
      </c>
      <c r="F484" t="s">
        <v>404</v>
      </c>
      <c r="G484" t="s">
        <v>28</v>
      </c>
      <c r="H484" s="2">
        <v>44641</v>
      </c>
      <c r="I484" t="s">
        <v>29</v>
      </c>
      <c r="J484" t="s">
        <v>36</v>
      </c>
      <c r="K484" t="str">
        <f t="shared" ca="1" si="46"/>
        <v>OK</v>
      </c>
      <c r="L484" t="s">
        <v>405</v>
      </c>
      <c r="M484">
        <v>5</v>
      </c>
      <c r="N484" s="2">
        <v>45997</v>
      </c>
      <c r="O484" s="2" t="s">
        <v>22</v>
      </c>
      <c r="P484" s="4">
        <f t="shared" ca="1" si="44"/>
        <v>3</v>
      </c>
      <c r="Q484" s="4" t="str">
        <f t="shared" ca="1" si="45"/>
        <v>3-5 Years</v>
      </c>
      <c r="R484">
        <f t="shared" ca="1" si="47"/>
        <v>0</v>
      </c>
      <c r="S484" t="s">
        <v>22</v>
      </c>
      <c r="T484">
        <v>4</v>
      </c>
      <c r="U484" t="s">
        <v>1394</v>
      </c>
      <c r="V484" t="s">
        <v>1394</v>
      </c>
      <c r="W484" t="s">
        <v>1394</v>
      </c>
      <c r="X484" s="3">
        <v>4</v>
      </c>
      <c r="Y484" t="s">
        <v>1395</v>
      </c>
      <c r="Z484">
        <v>46043</v>
      </c>
      <c r="AA484">
        <v>0.1</v>
      </c>
      <c r="AB484">
        <v>50647.3</v>
      </c>
    </row>
    <row r="485" spans="1:28" x14ac:dyDescent="0.35">
      <c r="A485" t="str">
        <f t="shared" si="42"/>
        <v>EMP0484</v>
      </c>
      <c r="B485" t="str" cm="1">
        <f t="array" ref="B485">_xlfn.IFS(
ROW()&lt;=421,"NA",
ROW()&lt;=781,"LATAM",
ROW()&lt;=1021,"EMEA",
TRUE,"APAC"
)</f>
        <v>LATAM</v>
      </c>
      <c r="C485" t="str">
        <f t="shared" si="43"/>
        <v>Mexico</v>
      </c>
      <c r="D485" t="s">
        <v>32</v>
      </c>
      <c r="E485" t="s">
        <v>380</v>
      </c>
      <c r="F485" t="s">
        <v>431</v>
      </c>
      <c r="G485" t="s">
        <v>28</v>
      </c>
      <c r="H485" s="2">
        <v>44635</v>
      </c>
      <c r="I485" t="s">
        <v>29</v>
      </c>
      <c r="J485" t="s">
        <v>33</v>
      </c>
      <c r="K485" t="str">
        <f t="shared" ca="1" si="46"/>
        <v>OK</v>
      </c>
      <c r="L485" t="s">
        <v>859</v>
      </c>
      <c r="M485">
        <v>5</v>
      </c>
      <c r="N485" s="2">
        <v>46076</v>
      </c>
      <c r="O485" s="2" t="s">
        <v>22</v>
      </c>
      <c r="P485" s="4">
        <f t="shared" ca="1" si="44"/>
        <v>3</v>
      </c>
      <c r="Q485" s="4" t="str">
        <f t="shared" ca="1" si="45"/>
        <v>3-5 Years</v>
      </c>
      <c r="R485">
        <f t="shared" ca="1" si="47"/>
        <v>0</v>
      </c>
      <c r="S485" t="s">
        <v>22</v>
      </c>
      <c r="T485">
        <v>3</v>
      </c>
      <c r="U485" t="s">
        <v>1394</v>
      </c>
      <c r="V485" t="s">
        <v>1394</v>
      </c>
      <c r="W485" t="s">
        <v>1394</v>
      </c>
      <c r="X485" s="3">
        <v>4</v>
      </c>
      <c r="Y485" t="s">
        <v>1395</v>
      </c>
      <c r="Z485">
        <v>26987</v>
      </c>
      <c r="AA485">
        <v>0.1</v>
      </c>
      <c r="AB485">
        <v>29685.7</v>
      </c>
    </row>
    <row r="486" spans="1:28" x14ac:dyDescent="0.35">
      <c r="A486" t="str">
        <f t="shared" si="42"/>
        <v>EMP0485</v>
      </c>
      <c r="B486" t="str" cm="1">
        <f t="array" ref="B486">_xlfn.IFS(
ROW()&lt;=421,"NA",
ROW()&lt;=781,"LATAM",
ROW()&lt;=1021,"EMEA",
TRUE,"APAC"
)</f>
        <v>LATAM</v>
      </c>
      <c r="C486" t="str">
        <f t="shared" si="43"/>
        <v>Mexico</v>
      </c>
      <c r="D486" t="s">
        <v>38</v>
      </c>
      <c r="E486" t="s">
        <v>145</v>
      </c>
      <c r="F486" t="s">
        <v>318</v>
      </c>
      <c r="G486" t="s">
        <v>28</v>
      </c>
      <c r="H486" s="2">
        <v>44629</v>
      </c>
      <c r="I486" t="s">
        <v>29</v>
      </c>
      <c r="J486" t="s">
        <v>39</v>
      </c>
      <c r="K486" t="str">
        <f t="shared" ca="1" si="46"/>
        <v>OK</v>
      </c>
      <c r="L486" t="s">
        <v>356</v>
      </c>
      <c r="M486">
        <v>4</v>
      </c>
      <c r="N486" s="2">
        <v>46042</v>
      </c>
      <c r="O486" s="2" t="s">
        <v>22</v>
      </c>
      <c r="P486" s="4">
        <f t="shared" ca="1" si="44"/>
        <v>3</v>
      </c>
      <c r="Q486" s="4" t="str">
        <f t="shared" ca="1" si="45"/>
        <v>3-5 Years</v>
      </c>
      <c r="R486">
        <f t="shared" ca="1" si="47"/>
        <v>0</v>
      </c>
      <c r="S486" t="s">
        <v>22</v>
      </c>
      <c r="T486">
        <v>3</v>
      </c>
      <c r="U486" t="s">
        <v>1396</v>
      </c>
      <c r="V486" t="s">
        <v>1394</v>
      </c>
      <c r="W486" t="s">
        <v>1394</v>
      </c>
      <c r="X486" s="3">
        <v>5</v>
      </c>
      <c r="Y486" t="s">
        <v>1395</v>
      </c>
      <c r="Z486">
        <v>80138</v>
      </c>
      <c r="AA486">
        <v>0.15</v>
      </c>
      <c r="AB486">
        <v>92158.7</v>
      </c>
    </row>
    <row r="487" spans="1:28" x14ac:dyDescent="0.35">
      <c r="A487" t="str">
        <f t="shared" si="42"/>
        <v>EMP0486</v>
      </c>
      <c r="B487" t="str" cm="1">
        <f t="array" ref="B487">_xlfn.IFS(
ROW()&lt;=421,"NA",
ROW()&lt;=781,"LATAM",
ROW()&lt;=1021,"EMEA",
TRUE,"APAC"
)</f>
        <v>LATAM</v>
      </c>
      <c r="C487" t="str">
        <f t="shared" si="43"/>
        <v>Mexico</v>
      </c>
      <c r="D487" t="s">
        <v>38</v>
      </c>
      <c r="E487" t="s">
        <v>380</v>
      </c>
      <c r="F487" t="s">
        <v>595</v>
      </c>
      <c r="G487" t="s">
        <v>28</v>
      </c>
      <c r="H487" s="2">
        <v>44629</v>
      </c>
      <c r="I487" t="s">
        <v>57</v>
      </c>
      <c r="J487" t="s">
        <v>39</v>
      </c>
      <c r="K487" t="str">
        <f t="shared" ca="1" si="46"/>
        <v>OK</v>
      </c>
      <c r="L487" t="s">
        <v>596</v>
      </c>
      <c r="M487">
        <v>5</v>
      </c>
      <c r="N487" s="2">
        <v>46027</v>
      </c>
      <c r="O487" s="2">
        <v>45191</v>
      </c>
      <c r="P487" s="4">
        <f t="shared" ca="1" si="44"/>
        <v>1</v>
      </c>
      <c r="Q487" s="4" t="str">
        <f t="shared" ca="1" si="45"/>
        <v>0-2 Years</v>
      </c>
      <c r="R487">
        <f t="shared" ca="1" si="47"/>
        <v>1</v>
      </c>
      <c r="S487" t="s">
        <v>23</v>
      </c>
      <c r="T487">
        <v>3</v>
      </c>
      <c r="U487" t="s">
        <v>1394</v>
      </c>
      <c r="V487" t="s">
        <v>1394</v>
      </c>
      <c r="W487" t="s">
        <v>1394</v>
      </c>
      <c r="X487" s="3">
        <v>2</v>
      </c>
      <c r="Y487" t="s">
        <v>1397</v>
      </c>
      <c r="Z487">
        <v>48110</v>
      </c>
      <c r="AA487">
        <v>0.1</v>
      </c>
      <c r="AB487">
        <v>52921.000000000007</v>
      </c>
    </row>
    <row r="488" spans="1:28" x14ac:dyDescent="0.35">
      <c r="A488" t="str">
        <f t="shared" si="42"/>
        <v>EMP0487</v>
      </c>
      <c r="B488" t="str" cm="1">
        <f t="array" ref="B488">_xlfn.IFS(
ROW()&lt;=421,"NA",
ROW()&lt;=781,"LATAM",
ROW()&lt;=1021,"EMEA",
TRUE,"APAC"
)</f>
        <v>LATAM</v>
      </c>
      <c r="C488" t="str">
        <f t="shared" si="43"/>
        <v>Mexico</v>
      </c>
      <c r="D488" t="s">
        <v>26</v>
      </c>
      <c r="E488" t="s">
        <v>380</v>
      </c>
      <c r="F488" t="s">
        <v>524</v>
      </c>
      <c r="G488" t="s">
        <v>28</v>
      </c>
      <c r="H488" s="2">
        <v>44622</v>
      </c>
      <c r="I488" t="s">
        <v>29</v>
      </c>
      <c r="J488" t="s">
        <v>30</v>
      </c>
      <c r="K488" t="str">
        <f t="shared" ca="1" si="46"/>
        <v>OK</v>
      </c>
      <c r="L488" t="s">
        <v>67</v>
      </c>
      <c r="M488">
        <v>5</v>
      </c>
      <c r="N488" s="2">
        <v>46021</v>
      </c>
      <c r="O488" s="2" t="s">
        <v>22</v>
      </c>
      <c r="P488" s="4">
        <f t="shared" ca="1" si="44"/>
        <v>4</v>
      </c>
      <c r="Q488" s="4" t="str">
        <f t="shared" ca="1" si="45"/>
        <v>3-5 Years</v>
      </c>
      <c r="R488">
        <f t="shared" ca="1" si="47"/>
        <v>0</v>
      </c>
      <c r="S488" t="s">
        <v>22</v>
      </c>
      <c r="T488">
        <v>3</v>
      </c>
      <c r="U488" t="s">
        <v>1394</v>
      </c>
      <c r="V488" t="s">
        <v>1396</v>
      </c>
      <c r="W488" t="s">
        <v>1394</v>
      </c>
      <c r="X488" s="3">
        <v>1</v>
      </c>
      <c r="Y488" t="s">
        <v>1397</v>
      </c>
      <c r="Z488">
        <v>45639</v>
      </c>
      <c r="AA488">
        <v>0.1</v>
      </c>
      <c r="AB488">
        <v>50202.9</v>
      </c>
    </row>
    <row r="489" spans="1:28" x14ac:dyDescent="0.35">
      <c r="A489" t="str">
        <f t="shared" si="42"/>
        <v>EMP0488</v>
      </c>
      <c r="B489" t="str" cm="1">
        <f t="array" ref="B489">_xlfn.IFS(
ROW()&lt;=421,"NA",
ROW()&lt;=781,"LATAM",
ROW()&lt;=1021,"EMEA",
TRUE,"APAC"
)</f>
        <v>LATAM</v>
      </c>
      <c r="C489" t="str">
        <f t="shared" si="43"/>
        <v>Mexico</v>
      </c>
      <c r="D489" t="s">
        <v>44</v>
      </c>
      <c r="E489" t="s">
        <v>380</v>
      </c>
      <c r="F489" t="s">
        <v>492</v>
      </c>
      <c r="G489" t="s">
        <v>28</v>
      </c>
      <c r="H489" s="2">
        <v>44618</v>
      </c>
      <c r="I489" t="s">
        <v>29</v>
      </c>
      <c r="J489" t="s">
        <v>47</v>
      </c>
      <c r="K489" t="str">
        <f t="shared" ca="1" si="46"/>
        <v>OK</v>
      </c>
      <c r="L489" t="s">
        <v>1035</v>
      </c>
      <c r="M489">
        <v>5</v>
      </c>
      <c r="N489" s="2">
        <v>46051</v>
      </c>
      <c r="O489" s="2" t="s">
        <v>22</v>
      </c>
      <c r="P489" s="4">
        <f t="shared" ca="1" si="44"/>
        <v>4</v>
      </c>
      <c r="Q489" s="4" t="str">
        <f t="shared" ca="1" si="45"/>
        <v>3-5 Years</v>
      </c>
      <c r="R489">
        <f t="shared" ca="1" si="47"/>
        <v>0</v>
      </c>
      <c r="S489" t="s">
        <v>22</v>
      </c>
      <c r="T489">
        <v>4</v>
      </c>
      <c r="U489" t="s">
        <v>1396</v>
      </c>
      <c r="V489" t="s">
        <v>1394</v>
      </c>
      <c r="W489" t="s">
        <v>1394</v>
      </c>
      <c r="X489" s="3">
        <v>3</v>
      </c>
      <c r="Y489" t="s">
        <v>1398</v>
      </c>
      <c r="Z489">
        <v>45332</v>
      </c>
      <c r="AA489">
        <v>0.1</v>
      </c>
      <c r="AB489">
        <v>49865.200000000004</v>
      </c>
    </row>
    <row r="490" spans="1:28" x14ac:dyDescent="0.35">
      <c r="A490" t="str">
        <f t="shared" si="42"/>
        <v>EMP0489</v>
      </c>
      <c r="B490" t="str" cm="1">
        <f t="array" ref="B490">_xlfn.IFS(
ROW()&lt;=421,"NA",
ROW()&lt;=781,"LATAM",
ROW()&lt;=1021,"EMEA",
TRUE,"APAC"
)</f>
        <v>LATAM</v>
      </c>
      <c r="C490" t="str">
        <f t="shared" si="43"/>
        <v>Mexico</v>
      </c>
      <c r="D490" t="s">
        <v>41</v>
      </c>
      <c r="E490" t="s">
        <v>380</v>
      </c>
      <c r="F490" t="s">
        <v>854</v>
      </c>
      <c r="G490" t="s">
        <v>28</v>
      </c>
      <c r="H490" s="2">
        <v>46077</v>
      </c>
      <c r="I490" t="s">
        <v>29</v>
      </c>
      <c r="J490" t="s">
        <v>42</v>
      </c>
      <c r="K490" t="str">
        <f t="shared" ca="1" si="46"/>
        <v>OK</v>
      </c>
      <c r="L490" t="s">
        <v>1248</v>
      </c>
      <c r="M490">
        <v>5</v>
      </c>
      <c r="N490" s="2">
        <v>46077</v>
      </c>
      <c r="O490" s="2" t="s">
        <v>22</v>
      </c>
      <c r="P490" s="4">
        <f t="shared" ca="1" si="44"/>
        <v>0</v>
      </c>
      <c r="Q490" s="4" t="str">
        <f t="shared" ca="1" si="45"/>
        <v>0-2 Years</v>
      </c>
      <c r="R490">
        <f t="shared" ca="1" si="47"/>
        <v>1</v>
      </c>
      <c r="S490" t="s">
        <v>22</v>
      </c>
      <c r="T490">
        <v>4</v>
      </c>
      <c r="U490" t="s">
        <v>1394</v>
      </c>
      <c r="V490" t="s">
        <v>1394</v>
      </c>
      <c r="W490" t="s">
        <v>1394</v>
      </c>
      <c r="X490" s="3">
        <v>1</v>
      </c>
      <c r="Y490" t="s">
        <v>1397</v>
      </c>
      <c r="Z490">
        <v>29134</v>
      </c>
      <c r="AA490">
        <v>0.1</v>
      </c>
      <c r="AB490">
        <v>32047.4</v>
      </c>
    </row>
    <row r="491" spans="1:28" x14ac:dyDescent="0.35">
      <c r="A491" t="str">
        <f t="shared" si="42"/>
        <v>EMP0490</v>
      </c>
      <c r="B491" t="str" cm="1">
        <f t="array" ref="B491">_xlfn.IFS(
ROW()&lt;=421,"NA",
ROW()&lt;=781,"LATAM",
ROW()&lt;=1021,"EMEA",
TRUE,"APAC"
)</f>
        <v>LATAM</v>
      </c>
      <c r="C491" t="str">
        <f t="shared" si="43"/>
        <v>Mexico</v>
      </c>
      <c r="D491" t="s">
        <v>35</v>
      </c>
      <c r="E491" t="s">
        <v>380</v>
      </c>
      <c r="F491" t="s">
        <v>782</v>
      </c>
      <c r="G491" t="s">
        <v>28</v>
      </c>
      <c r="H491" s="2">
        <v>44610</v>
      </c>
      <c r="I491" t="s">
        <v>57</v>
      </c>
      <c r="J491" t="s">
        <v>36</v>
      </c>
      <c r="K491" t="str">
        <f t="shared" ca="1" si="46"/>
        <v>OK</v>
      </c>
      <c r="L491" t="s">
        <v>783</v>
      </c>
      <c r="M491">
        <v>5</v>
      </c>
      <c r="N491" s="2">
        <v>46025</v>
      </c>
      <c r="O491" s="2">
        <v>45413</v>
      </c>
      <c r="P491" s="4">
        <f t="shared" ca="1" si="44"/>
        <v>2</v>
      </c>
      <c r="Q491" s="4" t="str">
        <f t="shared" ca="1" si="45"/>
        <v>0-2 Years</v>
      </c>
      <c r="R491">
        <f t="shared" ca="1" si="47"/>
        <v>1</v>
      </c>
      <c r="S491" t="s">
        <v>23</v>
      </c>
      <c r="T491">
        <v>3</v>
      </c>
      <c r="U491" t="s">
        <v>1394</v>
      </c>
      <c r="V491" t="s">
        <v>1394</v>
      </c>
      <c r="W491" t="s">
        <v>1394</v>
      </c>
      <c r="X491" s="3">
        <v>3</v>
      </c>
      <c r="Y491" t="s">
        <v>1398</v>
      </c>
      <c r="Z491">
        <v>46813</v>
      </c>
      <c r="AA491">
        <v>0.1</v>
      </c>
      <c r="AB491">
        <v>51494.3</v>
      </c>
    </row>
    <row r="492" spans="1:28" x14ac:dyDescent="0.35">
      <c r="A492" t="str">
        <f t="shared" si="42"/>
        <v>EMP0491</v>
      </c>
      <c r="B492" t="str" cm="1">
        <f t="array" ref="B492">_xlfn.IFS(
ROW()&lt;=421,"NA",
ROW()&lt;=781,"LATAM",
ROW()&lt;=1021,"EMEA",
TRUE,"APAC"
)</f>
        <v>LATAM</v>
      </c>
      <c r="C492" t="str">
        <f t="shared" si="43"/>
        <v>Mexico</v>
      </c>
      <c r="D492" t="s">
        <v>32</v>
      </c>
      <c r="E492" t="s">
        <v>380</v>
      </c>
      <c r="F492" t="s">
        <v>803</v>
      </c>
      <c r="G492" t="s">
        <v>28</v>
      </c>
      <c r="H492" s="2">
        <v>44608</v>
      </c>
      <c r="I492" t="s">
        <v>29</v>
      </c>
      <c r="J492" t="s">
        <v>33</v>
      </c>
      <c r="K492" t="str">
        <f t="shared" ca="1" si="46"/>
        <v>OK</v>
      </c>
      <c r="L492" t="s">
        <v>1376</v>
      </c>
      <c r="M492">
        <v>5</v>
      </c>
      <c r="N492" s="2">
        <v>45995</v>
      </c>
      <c r="O492" s="2" t="s">
        <v>22</v>
      </c>
      <c r="P492" s="4">
        <f t="shared" ca="1" si="44"/>
        <v>4</v>
      </c>
      <c r="Q492" s="4" t="str">
        <f t="shared" ca="1" si="45"/>
        <v>3-5 Years</v>
      </c>
      <c r="R492">
        <f t="shared" ca="1" si="47"/>
        <v>0</v>
      </c>
      <c r="S492" t="s">
        <v>22</v>
      </c>
      <c r="T492">
        <v>4</v>
      </c>
      <c r="U492" t="s">
        <v>1394</v>
      </c>
      <c r="V492" t="s">
        <v>1394</v>
      </c>
      <c r="W492" t="s">
        <v>1394</v>
      </c>
      <c r="X492" s="3">
        <v>5</v>
      </c>
      <c r="Y492" t="s">
        <v>1395</v>
      </c>
      <c r="Z492">
        <v>27451</v>
      </c>
      <c r="AA492">
        <v>0.1</v>
      </c>
      <c r="AB492">
        <v>30196.100000000002</v>
      </c>
    </row>
    <row r="493" spans="1:28" x14ac:dyDescent="0.35">
      <c r="A493" t="str">
        <f t="shared" si="42"/>
        <v>EMP0492</v>
      </c>
      <c r="B493" t="str" cm="1">
        <f t="array" ref="B493">_xlfn.IFS(
ROW()&lt;=421,"NA",
ROW()&lt;=781,"LATAM",
ROW()&lt;=1021,"EMEA",
TRUE,"APAC"
)</f>
        <v>LATAM</v>
      </c>
      <c r="C493" t="str">
        <f t="shared" si="43"/>
        <v>Mexico</v>
      </c>
      <c r="D493" t="s">
        <v>26</v>
      </c>
      <c r="E493" t="s">
        <v>380</v>
      </c>
      <c r="F493" t="s">
        <v>464</v>
      </c>
      <c r="G493" t="s">
        <v>28</v>
      </c>
      <c r="H493" s="2">
        <v>44607</v>
      </c>
      <c r="I493" t="s">
        <v>29</v>
      </c>
      <c r="J493" t="s">
        <v>30</v>
      </c>
      <c r="K493" t="str">
        <f t="shared" ca="1" si="46"/>
        <v>OK</v>
      </c>
      <c r="L493" t="s">
        <v>555</v>
      </c>
      <c r="M493">
        <v>5</v>
      </c>
      <c r="N493" s="2">
        <v>46015</v>
      </c>
      <c r="O493" s="2" t="s">
        <v>22</v>
      </c>
      <c r="P493" s="4">
        <f t="shared" ca="1" si="44"/>
        <v>4</v>
      </c>
      <c r="Q493" s="4" t="str">
        <f t="shared" ca="1" si="45"/>
        <v>3-5 Years</v>
      </c>
      <c r="R493">
        <f t="shared" ca="1" si="47"/>
        <v>0</v>
      </c>
      <c r="S493" t="s">
        <v>22</v>
      </c>
      <c r="T493">
        <v>3</v>
      </c>
      <c r="U493" t="s">
        <v>1394</v>
      </c>
      <c r="V493" t="s">
        <v>1396</v>
      </c>
      <c r="W493" t="s">
        <v>1396</v>
      </c>
      <c r="X493" s="3">
        <v>4</v>
      </c>
      <c r="Y493" t="s">
        <v>1395</v>
      </c>
      <c r="Z493">
        <v>32882</v>
      </c>
      <c r="AA493">
        <v>0.1</v>
      </c>
      <c r="AB493">
        <v>36170.200000000004</v>
      </c>
    </row>
    <row r="494" spans="1:28" x14ac:dyDescent="0.35">
      <c r="A494" t="str">
        <f t="shared" si="42"/>
        <v>EMP0493</v>
      </c>
      <c r="B494" t="str" cm="1">
        <f t="array" ref="B494">_xlfn.IFS(
ROW()&lt;=421,"NA",
ROW()&lt;=781,"LATAM",
ROW()&lt;=1021,"EMEA",
TRUE,"APAC"
)</f>
        <v>LATAM</v>
      </c>
      <c r="C494" t="str">
        <f t="shared" si="43"/>
        <v>Mexico</v>
      </c>
      <c r="D494" t="s">
        <v>38</v>
      </c>
      <c r="E494" t="s">
        <v>380</v>
      </c>
      <c r="F494" t="s">
        <v>418</v>
      </c>
      <c r="G494" t="s">
        <v>28</v>
      </c>
      <c r="H494" s="2">
        <v>44606</v>
      </c>
      <c r="I494" t="s">
        <v>29</v>
      </c>
      <c r="J494" t="s">
        <v>39</v>
      </c>
      <c r="K494" t="str">
        <f t="shared" ca="1" si="46"/>
        <v>OK</v>
      </c>
      <c r="L494" t="s">
        <v>419</v>
      </c>
      <c r="M494">
        <v>5</v>
      </c>
      <c r="N494" s="2">
        <v>46040</v>
      </c>
      <c r="O494" s="2" t="s">
        <v>22</v>
      </c>
      <c r="P494" s="4">
        <f t="shared" ca="1" si="44"/>
        <v>4</v>
      </c>
      <c r="Q494" s="4" t="str">
        <f t="shared" ca="1" si="45"/>
        <v>3-5 Years</v>
      </c>
      <c r="R494">
        <f t="shared" ca="1" si="47"/>
        <v>0</v>
      </c>
      <c r="S494" t="s">
        <v>22</v>
      </c>
      <c r="T494">
        <v>2</v>
      </c>
      <c r="U494" t="s">
        <v>1394</v>
      </c>
      <c r="V494" t="s">
        <v>1394</v>
      </c>
      <c r="W494" t="s">
        <v>1394</v>
      </c>
      <c r="X494" s="3">
        <v>5</v>
      </c>
      <c r="Y494" t="s">
        <v>1395</v>
      </c>
      <c r="Z494">
        <v>39273</v>
      </c>
      <c r="AA494">
        <v>0.1</v>
      </c>
      <c r="AB494">
        <v>43200.3</v>
      </c>
    </row>
    <row r="495" spans="1:28" x14ac:dyDescent="0.35">
      <c r="A495" t="str">
        <f t="shared" si="42"/>
        <v>EMP0494</v>
      </c>
      <c r="B495" t="str" cm="1">
        <f t="array" ref="B495">_xlfn.IFS(
ROW()&lt;=421,"NA",
ROW()&lt;=781,"LATAM",
ROW()&lt;=1021,"EMEA",
TRUE,"APAC"
)</f>
        <v>LATAM</v>
      </c>
      <c r="C495" t="str">
        <f t="shared" si="43"/>
        <v>Mexico</v>
      </c>
      <c r="D495" t="s">
        <v>44</v>
      </c>
      <c r="E495" t="s">
        <v>380</v>
      </c>
      <c r="F495" t="s">
        <v>506</v>
      </c>
      <c r="G495" t="s">
        <v>28</v>
      </c>
      <c r="H495" s="2">
        <v>44604</v>
      </c>
      <c r="I495" t="s">
        <v>29</v>
      </c>
      <c r="J495" t="s">
        <v>47</v>
      </c>
      <c r="K495" t="str">
        <f t="shared" ca="1" si="46"/>
        <v>OK</v>
      </c>
      <c r="L495" t="s">
        <v>581</v>
      </c>
      <c r="M495">
        <v>5</v>
      </c>
      <c r="N495" s="2">
        <v>46030</v>
      </c>
      <c r="O495" s="2" t="s">
        <v>22</v>
      </c>
      <c r="P495" s="4">
        <f t="shared" ca="1" si="44"/>
        <v>4</v>
      </c>
      <c r="Q495" s="4" t="str">
        <f t="shared" ca="1" si="45"/>
        <v>3-5 Years</v>
      </c>
      <c r="R495">
        <f t="shared" ca="1" si="47"/>
        <v>0</v>
      </c>
      <c r="S495" t="s">
        <v>22</v>
      </c>
      <c r="T495">
        <v>5</v>
      </c>
      <c r="U495" t="s">
        <v>1394</v>
      </c>
      <c r="V495" t="s">
        <v>1394</v>
      </c>
      <c r="W495" t="s">
        <v>1394</v>
      </c>
      <c r="X495" s="3">
        <v>3</v>
      </c>
      <c r="Y495" t="s">
        <v>1398</v>
      </c>
      <c r="Z495">
        <v>42167</v>
      </c>
      <c r="AA495">
        <v>0.1</v>
      </c>
      <c r="AB495">
        <v>46383.700000000004</v>
      </c>
    </row>
    <row r="496" spans="1:28" x14ac:dyDescent="0.35">
      <c r="A496" t="str">
        <f t="shared" si="42"/>
        <v>EMP0495</v>
      </c>
      <c r="B496" t="str" cm="1">
        <f t="array" ref="B496">_xlfn.IFS(
ROW()&lt;=421,"NA",
ROW()&lt;=781,"LATAM",
ROW()&lt;=1021,"EMEA",
TRUE,"APAC"
)</f>
        <v>LATAM</v>
      </c>
      <c r="C496" t="str">
        <f t="shared" si="43"/>
        <v>Mexico</v>
      </c>
      <c r="D496" t="s">
        <v>35</v>
      </c>
      <c r="E496" t="s">
        <v>380</v>
      </c>
      <c r="F496" t="s">
        <v>464</v>
      </c>
      <c r="G496" t="s">
        <v>53</v>
      </c>
      <c r="H496" s="2">
        <v>44600</v>
      </c>
      <c r="I496" t="s">
        <v>29</v>
      </c>
      <c r="J496" t="s">
        <v>36</v>
      </c>
      <c r="K496" t="str">
        <f t="shared" ca="1" si="46"/>
        <v>OK</v>
      </c>
      <c r="L496" t="s">
        <v>594</v>
      </c>
      <c r="M496">
        <v>5</v>
      </c>
      <c r="N496" s="2">
        <v>46073</v>
      </c>
      <c r="O496" s="2" t="s">
        <v>22</v>
      </c>
      <c r="P496" s="4">
        <f t="shared" ca="1" si="44"/>
        <v>4</v>
      </c>
      <c r="Q496" s="4" t="str">
        <f t="shared" ca="1" si="45"/>
        <v>3-5 Years</v>
      </c>
      <c r="R496">
        <f t="shared" ca="1" si="47"/>
        <v>0</v>
      </c>
      <c r="S496" t="s">
        <v>22</v>
      </c>
      <c r="T496">
        <v>5</v>
      </c>
      <c r="U496" t="s">
        <v>1394</v>
      </c>
      <c r="V496" t="s">
        <v>1394</v>
      </c>
      <c r="W496" t="s">
        <v>1394</v>
      </c>
      <c r="X496" s="3">
        <v>3</v>
      </c>
      <c r="Y496" t="s">
        <v>1398</v>
      </c>
      <c r="Z496">
        <v>34979</v>
      </c>
      <c r="AA496">
        <v>0.1</v>
      </c>
      <c r="AB496">
        <v>38476.9</v>
      </c>
    </row>
    <row r="497" spans="1:28" x14ac:dyDescent="0.35">
      <c r="A497" t="str">
        <f t="shared" si="42"/>
        <v>EMP0496</v>
      </c>
      <c r="B497" t="str" cm="1">
        <f t="array" ref="B497">_xlfn.IFS(
ROW()&lt;=421,"NA",
ROW()&lt;=781,"LATAM",
ROW()&lt;=1021,"EMEA",
TRUE,"APAC"
)</f>
        <v>LATAM</v>
      </c>
      <c r="C497" t="str">
        <f t="shared" si="43"/>
        <v>Mexico</v>
      </c>
      <c r="D497" t="s">
        <v>44</v>
      </c>
      <c r="E497" t="s">
        <v>145</v>
      </c>
      <c r="F497" t="s">
        <v>273</v>
      </c>
      <c r="G497" t="s">
        <v>28</v>
      </c>
      <c r="H497" s="2">
        <v>44597</v>
      </c>
      <c r="I497" t="s">
        <v>29</v>
      </c>
      <c r="J497" t="s">
        <v>47</v>
      </c>
      <c r="K497" t="str">
        <f t="shared" ca="1" si="46"/>
        <v>OK</v>
      </c>
      <c r="L497" t="s">
        <v>290</v>
      </c>
      <c r="M497">
        <v>4</v>
      </c>
      <c r="N497" s="2">
        <v>46030</v>
      </c>
      <c r="O497" s="2" t="s">
        <v>22</v>
      </c>
      <c r="P497" s="4">
        <f t="shared" ca="1" si="44"/>
        <v>4</v>
      </c>
      <c r="Q497" s="4" t="str">
        <f t="shared" ca="1" si="45"/>
        <v>3-5 Years</v>
      </c>
      <c r="R497">
        <f t="shared" ca="1" si="47"/>
        <v>0</v>
      </c>
      <c r="S497" t="s">
        <v>22</v>
      </c>
      <c r="T497">
        <v>4</v>
      </c>
      <c r="U497" t="s">
        <v>1394</v>
      </c>
      <c r="V497" t="s">
        <v>1394</v>
      </c>
      <c r="W497" t="s">
        <v>1394</v>
      </c>
      <c r="X497" s="3">
        <v>4</v>
      </c>
      <c r="Y497" t="s">
        <v>1395</v>
      </c>
      <c r="Z497">
        <v>56870</v>
      </c>
      <c r="AA497">
        <v>0.15</v>
      </c>
      <c r="AB497">
        <v>65400.499999999993</v>
      </c>
    </row>
    <row r="498" spans="1:28" x14ac:dyDescent="0.35">
      <c r="A498" t="str">
        <f t="shared" si="42"/>
        <v>EMP0497</v>
      </c>
      <c r="B498" t="str" cm="1">
        <f t="array" ref="B498">_xlfn.IFS(
ROW()&lt;=421,"NA",
ROW()&lt;=781,"LATAM",
ROW()&lt;=1021,"EMEA",
TRUE,"APAC"
)</f>
        <v>LATAM</v>
      </c>
      <c r="C498" t="str">
        <f t="shared" si="43"/>
        <v>Mexico</v>
      </c>
      <c r="D498" t="s">
        <v>32</v>
      </c>
      <c r="E498" t="s">
        <v>380</v>
      </c>
      <c r="F498" t="s">
        <v>684</v>
      </c>
      <c r="G498" t="s">
        <v>28</v>
      </c>
      <c r="H498" s="2">
        <v>44596</v>
      </c>
      <c r="I498" t="s">
        <v>29</v>
      </c>
      <c r="J498" t="s">
        <v>33</v>
      </c>
      <c r="K498" t="str">
        <f t="shared" ca="1" si="46"/>
        <v>OK</v>
      </c>
      <c r="L498" t="s">
        <v>751</v>
      </c>
      <c r="M498">
        <v>5</v>
      </c>
      <c r="N498" s="2">
        <v>46063</v>
      </c>
      <c r="O498" s="2" t="s">
        <v>22</v>
      </c>
      <c r="P498" s="4">
        <f t="shared" ca="1" si="44"/>
        <v>4</v>
      </c>
      <c r="Q498" s="4" t="str">
        <f t="shared" ca="1" si="45"/>
        <v>3-5 Years</v>
      </c>
      <c r="R498">
        <f t="shared" ca="1" si="47"/>
        <v>0</v>
      </c>
      <c r="S498" t="s">
        <v>22</v>
      </c>
      <c r="T498">
        <v>3</v>
      </c>
      <c r="U498" t="s">
        <v>1394</v>
      </c>
      <c r="V498" t="s">
        <v>1396</v>
      </c>
      <c r="W498" t="s">
        <v>1394</v>
      </c>
      <c r="X498" s="3">
        <v>3</v>
      </c>
      <c r="Y498" t="s">
        <v>1398</v>
      </c>
      <c r="Z498">
        <v>28530</v>
      </c>
      <c r="AA498">
        <v>0.1</v>
      </c>
      <c r="AB498">
        <v>31383.000000000004</v>
      </c>
    </row>
    <row r="499" spans="1:28" x14ac:dyDescent="0.35">
      <c r="A499" t="str">
        <f t="shared" si="42"/>
        <v>EMP0498</v>
      </c>
      <c r="B499" t="str" cm="1">
        <f t="array" ref="B499">_xlfn.IFS(
ROW()&lt;=421,"NA",
ROW()&lt;=781,"LATAM",
ROW()&lt;=1021,"EMEA",
TRUE,"APAC"
)</f>
        <v>LATAM</v>
      </c>
      <c r="C499" t="str">
        <f t="shared" si="43"/>
        <v>Mexico</v>
      </c>
      <c r="D499" t="s">
        <v>32</v>
      </c>
      <c r="E499" t="s">
        <v>380</v>
      </c>
      <c r="F499" t="s">
        <v>414</v>
      </c>
      <c r="G499" t="s">
        <v>28</v>
      </c>
      <c r="H499" s="2">
        <v>44594</v>
      </c>
      <c r="I499" t="s">
        <v>29</v>
      </c>
      <c r="J499" t="s">
        <v>33</v>
      </c>
      <c r="K499" t="str">
        <f t="shared" ca="1" si="46"/>
        <v>OK</v>
      </c>
      <c r="L499" t="s">
        <v>415</v>
      </c>
      <c r="M499">
        <v>5</v>
      </c>
      <c r="N499" s="2">
        <v>46030</v>
      </c>
      <c r="O499" s="2" t="s">
        <v>22</v>
      </c>
      <c r="P499" s="4">
        <f t="shared" ca="1" si="44"/>
        <v>4</v>
      </c>
      <c r="Q499" s="4" t="str">
        <f t="shared" ca="1" si="45"/>
        <v>3-5 Years</v>
      </c>
      <c r="R499">
        <f t="shared" ca="1" si="47"/>
        <v>0</v>
      </c>
      <c r="S499" t="s">
        <v>22</v>
      </c>
      <c r="T499">
        <v>3</v>
      </c>
      <c r="U499" t="s">
        <v>1394</v>
      </c>
      <c r="V499" t="s">
        <v>1394</v>
      </c>
      <c r="W499" t="s">
        <v>1394</v>
      </c>
      <c r="X499" s="3">
        <v>5</v>
      </c>
      <c r="Y499" t="s">
        <v>1395</v>
      </c>
      <c r="Z499">
        <v>23647</v>
      </c>
      <c r="AA499">
        <v>0.1</v>
      </c>
      <c r="AB499">
        <v>26011.7</v>
      </c>
    </row>
    <row r="500" spans="1:28" x14ac:dyDescent="0.35">
      <c r="A500" t="str">
        <f t="shared" si="42"/>
        <v>EMP0499</v>
      </c>
      <c r="B500" t="str" cm="1">
        <f t="array" ref="B500">_xlfn.IFS(
ROW()&lt;=421,"NA",
ROW()&lt;=781,"LATAM",
ROW()&lt;=1021,"EMEA",
TRUE,"APAC"
)</f>
        <v>LATAM</v>
      </c>
      <c r="C500" t="str">
        <f t="shared" si="43"/>
        <v>Mexico</v>
      </c>
      <c r="D500" t="s">
        <v>35</v>
      </c>
      <c r="E500" t="s">
        <v>380</v>
      </c>
      <c r="F500" t="s">
        <v>946</v>
      </c>
      <c r="G500" t="s">
        <v>28</v>
      </c>
      <c r="H500" s="2">
        <v>44594</v>
      </c>
      <c r="I500" t="s">
        <v>57</v>
      </c>
      <c r="J500" t="s">
        <v>36</v>
      </c>
      <c r="K500" t="str">
        <f t="shared" ca="1" si="46"/>
        <v>OK</v>
      </c>
      <c r="L500" t="s">
        <v>947</v>
      </c>
      <c r="M500">
        <v>5</v>
      </c>
      <c r="N500" s="2">
        <v>46007</v>
      </c>
      <c r="O500" s="2">
        <v>46071</v>
      </c>
      <c r="P500" s="4">
        <f t="shared" ca="1" si="44"/>
        <v>4</v>
      </c>
      <c r="Q500" s="4" t="str">
        <f t="shared" ca="1" si="45"/>
        <v>3-5 Years</v>
      </c>
      <c r="R500">
        <f t="shared" ca="1" si="47"/>
        <v>0</v>
      </c>
      <c r="S500" t="s">
        <v>23</v>
      </c>
      <c r="T500">
        <v>4</v>
      </c>
      <c r="U500" t="s">
        <v>1394</v>
      </c>
      <c r="V500" t="s">
        <v>1396</v>
      </c>
      <c r="W500" t="s">
        <v>1394</v>
      </c>
      <c r="X500" s="3">
        <v>3</v>
      </c>
      <c r="Y500" t="s">
        <v>1398</v>
      </c>
      <c r="Z500">
        <v>27483</v>
      </c>
      <c r="AA500">
        <v>0.1</v>
      </c>
      <c r="AB500">
        <v>30231.300000000003</v>
      </c>
    </row>
    <row r="501" spans="1:28" x14ac:dyDescent="0.35">
      <c r="A501" t="str">
        <f t="shared" si="42"/>
        <v>EMP0500</v>
      </c>
      <c r="B501" t="str" cm="1">
        <f t="array" ref="B501">_xlfn.IFS(
ROW()&lt;=421,"NA",
ROW()&lt;=781,"LATAM",
ROW()&lt;=1021,"EMEA",
TRUE,"APAC"
)</f>
        <v>LATAM</v>
      </c>
      <c r="C501" t="str">
        <f t="shared" si="43"/>
        <v>Mexico</v>
      </c>
      <c r="D501" t="s">
        <v>41</v>
      </c>
      <c r="E501" t="s">
        <v>380</v>
      </c>
      <c r="F501" t="s">
        <v>958</v>
      </c>
      <c r="G501" t="s">
        <v>28</v>
      </c>
      <c r="H501" s="2">
        <v>45707</v>
      </c>
      <c r="I501" t="s">
        <v>29</v>
      </c>
      <c r="J501" t="s">
        <v>42</v>
      </c>
      <c r="K501" t="str">
        <f t="shared" ca="1" si="46"/>
        <v>OK</v>
      </c>
      <c r="L501" t="s">
        <v>1326</v>
      </c>
      <c r="M501">
        <v>5</v>
      </c>
      <c r="N501" s="2">
        <v>46049</v>
      </c>
      <c r="O501" s="2" t="s">
        <v>22</v>
      </c>
      <c r="P501" s="4">
        <f t="shared" ca="1" si="44"/>
        <v>1</v>
      </c>
      <c r="Q501" s="4" t="str">
        <f t="shared" ca="1" si="45"/>
        <v>0-2 Years</v>
      </c>
      <c r="R501">
        <f t="shared" ca="1" si="47"/>
        <v>1</v>
      </c>
      <c r="S501" t="s">
        <v>22</v>
      </c>
      <c r="T501">
        <v>5</v>
      </c>
      <c r="U501" t="s">
        <v>1394</v>
      </c>
      <c r="V501" t="s">
        <v>1394</v>
      </c>
      <c r="W501" t="s">
        <v>1394</v>
      </c>
      <c r="X501" s="3">
        <v>1</v>
      </c>
      <c r="Y501" t="s">
        <v>1397</v>
      </c>
      <c r="Z501">
        <v>20288</v>
      </c>
      <c r="AA501">
        <v>0.1</v>
      </c>
      <c r="AB501">
        <v>22316.800000000003</v>
      </c>
    </row>
    <row r="502" spans="1:28" x14ac:dyDescent="0.35">
      <c r="A502" t="str">
        <f t="shared" si="42"/>
        <v>EMP0501</v>
      </c>
      <c r="B502" t="str" cm="1">
        <f t="array" ref="B502">_xlfn.IFS(
ROW()&lt;=421,"NA",
ROW()&lt;=781,"LATAM",
ROW()&lt;=1021,"EMEA",
TRUE,"APAC"
)</f>
        <v>LATAM</v>
      </c>
      <c r="C502" t="str">
        <f t="shared" si="43"/>
        <v>Mexico</v>
      </c>
      <c r="D502" t="s">
        <v>32</v>
      </c>
      <c r="E502" t="s">
        <v>145</v>
      </c>
      <c r="F502" t="s">
        <v>347</v>
      </c>
      <c r="G502" t="s">
        <v>28</v>
      </c>
      <c r="H502" s="2">
        <v>44588</v>
      </c>
      <c r="I502" t="s">
        <v>57</v>
      </c>
      <c r="J502" t="s">
        <v>33</v>
      </c>
      <c r="K502" t="str">
        <f t="shared" ca="1" si="46"/>
        <v>OK</v>
      </c>
      <c r="L502" t="s">
        <v>348</v>
      </c>
      <c r="M502">
        <v>4</v>
      </c>
      <c r="N502" s="2">
        <v>46034</v>
      </c>
      <c r="O502" s="2">
        <v>46071</v>
      </c>
      <c r="P502" s="4">
        <f t="shared" ca="1" si="44"/>
        <v>4</v>
      </c>
      <c r="Q502" s="4" t="str">
        <f t="shared" ca="1" si="45"/>
        <v>3-5 Years</v>
      </c>
      <c r="R502">
        <f t="shared" ca="1" si="47"/>
        <v>0</v>
      </c>
      <c r="S502" t="s">
        <v>23</v>
      </c>
      <c r="T502">
        <v>3</v>
      </c>
      <c r="U502" t="s">
        <v>1394</v>
      </c>
      <c r="V502" t="s">
        <v>1394</v>
      </c>
      <c r="W502" t="s">
        <v>1394</v>
      </c>
      <c r="X502" s="3">
        <v>5</v>
      </c>
      <c r="Y502" t="s">
        <v>1395</v>
      </c>
      <c r="Z502">
        <v>69561</v>
      </c>
      <c r="AA502">
        <v>0.15</v>
      </c>
      <c r="AB502">
        <v>79995.149999999994</v>
      </c>
    </row>
    <row r="503" spans="1:28" x14ac:dyDescent="0.35">
      <c r="A503" t="str">
        <f t="shared" si="42"/>
        <v>EMP0502</v>
      </c>
      <c r="B503" t="str" cm="1">
        <f t="array" ref="B503">_xlfn.IFS(
ROW()&lt;=421,"NA",
ROW()&lt;=781,"LATAM",
ROW()&lt;=1021,"EMEA",
TRUE,"APAC"
)</f>
        <v>LATAM</v>
      </c>
      <c r="C503" t="str">
        <f t="shared" si="43"/>
        <v>Mexico</v>
      </c>
      <c r="D503" t="s">
        <v>32</v>
      </c>
      <c r="E503" t="s">
        <v>380</v>
      </c>
      <c r="F503" t="s">
        <v>946</v>
      </c>
      <c r="G503" t="s">
        <v>28</v>
      </c>
      <c r="H503" s="2">
        <v>44579</v>
      </c>
      <c r="I503" t="s">
        <v>29</v>
      </c>
      <c r="J503" t="s">
        <v>33</v>
      </c>
      <c r="K503" t="str">
        <f t="shared" ca="1" si="46"/>
        <v>OK</v>
      </c>
      <c r="L503" t="s">
        <v>1275</v>
      </c>
      <c r="M503">
        <v>5</v>
      </c>
      <c r="N503" s="2">
        <v>46022</v>
      </c>
      <c r="O503" s="2" t="s">
        <v>22</v>
      </c>
      <c r="P503" s="4">
        <f t="shared" ca="1" si="44"/>
        <v>4</v>
      </c>
      <c r="Q503" s="4" t="str">
        <f t="shared" ca="1" si="45"/>
        <v>3-5 Years</v>
      </c>
      <c r="R503">
        <f t="shared" ca="1" si="47"/>
        <v>0</v>
      </c>
      <c r="S503" t="s">
        <v>22</v>
      </c>
      <c r="T503">
        <v>4</v>
      </c>
      <c r="U503" t="s">
        <v>1394</v>
      </c>
      <c r="V503" t="s">
        <v>1394</v>
      </c>
      <c r="W503" t="s">
        <v>1394</v>
      </c>
      <c r="X503" s="3">
        <v>5</v>
      </c>
      <c r="Y503" t="s">
        <v>1395</v>
      </c>
      <c r="Z503">
        <v>35829</v>
      </c>
      <c r="AA503">
        <v>0.1</v>
      </c>
      <c r="AB503">
        <v>39411.9</v>
      </c>
    </row>
    <row r="504" spans="1:28" x14ac:dyDescent="0.35">
      <c r="A504" t="str">
        <f t="shared" si="42"/>
        <v>EMP0503</v>
      </c>
      <c r="B504" t="str" cm="1">
        <f t="array" ref="B504">_xlfn.IFS(
ROW()&lt;=421,"NA",
ROW()&lt;=781,"LATAM",
ROW()&lt;=1021,"EMEA",
TRUE,"APAC"
)</f>
        <v>LATAM</v>
      </c>
      <c r="C504" t="str">
        <f t="shared" si="43"/>
        <v>Mexico</v>
      </c>
      <c r="D504" t="s">
        <v>32</v>
      </c>
      <c r="E504" t="s">
        <v>380</v>
      </c>
      <c r="F504" t="s">
        <v>759</v>
      </c>
      <c r="G504" t="s">
        <v>53</v>
      </c>
      <c r="H504" s="2">
        <v>44578</v>
      </c>
      <c r="I504" t="s">
        <v>29</v>
      </c>
      <c r="J504" t="s">
        <v>33</v>
      </c>
      <c r="K504" t="str">
        <f t="shared" ca="1" si="46"/>
        <v>OK</v>
      </c>
      <c r="L504" t="s">
        <v>760</v>
      </c>
      <c r="M504">
        <v>5</v>
      </c>
      <c r="N504" s="2">
        <v>46043</v>
      </c>
      <c r="O504" s="2" t="s">
        <v>22</v>
      </c>
      <c r="P504" s="4">
        <f t="shared" ca="1" si="44"/>
        <v>4</v>
      </c>
      <c r="Q504" s="4" t="str">
        <f t="shared" ca="1" si="45"/>
        <v>3-5 Years</v>
      </c>
      <c r="R504">
        <f t="shared" ca="1" si="47"/>
        <v>0</v>
      </c>
      <c r="S504" t="s">
        <v>22</v>
      </c>
      <c r="T504">
        <v>4</v>
      </c>
      <c r="U504" t="s">
        <v>1394</v>
      </c>
      <c r="V504" t="s">
        <v>1394</v>
      </c>
      <c r="W504" t="s">
        <v>1394</v>
      </c>
      <c r="X504" s="3">
        <v>5</v>
      </c>
      <c r="Y504" t="s">
        <v>1395</v>
      </c>
      <c r="Z504">
        <v>28598</v>
      </c>
      <c r="AA504">
        <v>0.1</v>
      </c>
      <c r="AB504">
        <v>31457.800000000003</v>
      </c>
    </row>
    <row r="505" spans="1:28" x14ac:dyDescent="0.35">
      <c r="A505" t="str">
        <f t="shared" si="42"/>
        <v>EMP0504</v>
      </c>
      <c r="B505" t="str" cm="1">
        <f t="array" ref="B505">_xlfn.IFS(
ROW()&lt;=421,"NA",
ROW()&lt;=781,"LATAM",
ROW()&lt;=1021,"EMEA",
TRUE,"APAC"
)</f>
        <v>LATAM</v>
      </c>
      <c r="C505" t="str">
        <f t="shared" si="43"/>
        <v>Mexico</v>
      </c>
      <c r="D505" t="s">
        <v>38</v>
      </c>
      <c r="E505" t="s">
        <v>380</v>
      </c>
      <c r="F505" t="s">
        <v>512</v>
      </c>
      <c r="G505" t="s">
        <v>28</v>
      </c>
      <c r="H505" s="2">
        <v>44573</v>
      </c>
      <c r="I505" t="s">
        <v>29</v>
      </c>
      <c r="J505" t="s">
        <v>39</v>
      </c>
      <c r="K505" t="str">
        <f t="shared" ca="1" si="46"/>
        <v>OK</v>
      </c>
      <c r="L505" t="s">
        <v>587</v>
      </c>
      <c r="M505">
        <v>5</v>
      </c>
      <c r="N505" s="2">
        <v>46053</v>
      </c>
      <c r="O505" s="2" t="s">
        <v>22</v>
      </c>
      <c r="P505" s="4">
        <f t="shared" ca="1" si="44"/>
        <v>4</v>
      </c>
      <c r="Q505" s="4" t="str">
        <f t="shared" ca="1" si="45"/>
        <v>3-5 Years</v>
      </c>
      <c r="R505">
        <f t="shared" ca="1" si="47"/>
        <v>0</v>
      </c>
      <c r="S505" t="s">
        <v>22</v>
      </c>
      <c r="T505">
        <v>4</v>
      </c>
      <c r="U505" t="s">
        <v>1396</v>
      </c>
      <c r="V505" t="s">
        <v>1394</v>
      </c>
      <c r="W505" t="s">
        <v>1394</v>
      </c>
      <c r="X505" s="3">
        <v>3</v>
      </c>
      <c r="Y505" t="s">
        <v>1398</v>
      </c>
      <c r="Z505">
        <v>21844</v>
      </c>
      <c r="AA505">
        <v>0.1</v>
      </c>
      <c r="AB505">
        <v>24028.400000000001</v>
      </c>
    </row>
    <row r="506" spans="1:28" x14ac:dyDescent="0.35">
      <c r="A506" t="str">
        <f t="shared" si="42"/>
        <v>EMP0505</v>
      </c>
      <c r="B506" t="str" cm="1">
        <f t="array" ref="B506">_xlfn.IFS(
ROW()&lt;=421,"NA",
ROW()&lt;=781,"LATAM",
ROW()&lt;=1021,"EMEA",
TRUE,"APAC"
)</f>
        <v>LATAM</v>
      </c>
      <c r="C506" t="str">
        <f t="shared" si="43"/>
        <v>Mexico</v>
      </c>
      <c r="D506" t="s">
        <v>35</v>
      </c>
      <c r="E506" t="s">
        <v>380</v>
      </c>
      <c r="F506" t="s">
        <v>557</v>
      </c>
      <c r="G506" t="s">
        <v>28</v>
      </c>
      <c r="H506" s="2">
        <v>44571</v>
      </c>
      <c r="I506" t="s">
        <v>29</v>
      </c>
      <c r="J506" t="s">
        <v>36</v>
      </c>
      <c r="K506" t="str">
        <f t="shared" ca="1" si="46"/>
        <v>OK</v>
      </c>
      <c r="L506" t="s">
        <v>558</v>
      </c>
      <c r="M506">
        <v>5</v>
      </c>
      <c r="N506" s="2">
        <v>46029</v>
      </c>
      <c r="O506" s="2" t="s">
        <v>22</v>
      </c>
      <c r="P506" s="4">
        <f t="shared" ca="1" si="44"/>
        <v>4</v>
      </c>
      <c r="Q506" s="4" t="str">
        <f t="shared" ca="1" si="45"/>
        <v>3-5 Years</v>
      </c>
      <c r="R506">
        <f t="shared" ca="1" si="47"/>
        <v>0</v>
      </c>
      <c r="S506" t="s">
        <v>22</v>
      </c>
      <c r="T506">
        <v>4</v>
      </c>
      <c r="U506" t="s">
        <v>1394</v>
      </c>
      <c r="V506" t="s">
        <v>1394</v>
      </c>
      <c r="W506" t="s">
        <v>1394</v>
      </c>
      <c r="X506" s="3">
        <v>4</v>
      </c>
      <c r="Y506" t="s">
        <v>1395</v>
      </c>
      <c r="Z506">
        <v>43263</v>
      </c>
      <c r="AA506">
        <v>0.1</v>
      </c>
      <c r="AB506">
        <v>47589.3</v>
      </c>
    </row>
    <row r="507" spans="1:28" x14ac:dyDescent="0.35">
      <c r="A507" t="str">
        <f t="shared" si="42"/>
        <v>EMP0506</v>
      </c>
      <c r="B507" t="str" cm="1">
        <f t="array" ref="B507">_xlfn.IFS(
ROW()&lt;=421,"NA",
ROW()&lt;=781,"LATAM",
ROW()&lt;=1021,"EMEA",
TRUE,"APAC"
)</f>
        <v>LATAM</v>
      </c>
      <c r="C507" t="str">
        <f t="shared" si="43"/>
        <v>Mexico</v>
      </c>
      <c r="D507" t="s">
        <v>35</v>
      </c>
      <c r="E507" t="s">
        <v>380</v>
      </c>
      <c r="F507" t="s">
        <v>543</v>
      </c>
      <c r="G507" t="s">
        <v>28</v>
      </c>
      <c r="H507" s="2">
        <v>44570</v>
      </c>
      <c r="I507" t="s">
        <v>29</v>
      </c>
      <c r="J507" t="s">
        <v>36</v>
      </c>
      <c r="K507" t="str">
        <f t="shared" ca="1" si="46"/>
        <v>OK</v>
      </c>
      <c r="L507" t="s">
        <v>480</v>
      </c>
      <c r="M507">
        <v>5</v>
      </c>
      <c r="N507" s="2">
        <v>45996</v>
      </c>
      <c r="O507" s="2" t="s">
        <v>22</v>
      </c>
      <c r="P507" s="4">
        <f t="shared" ca="1" si="44"/>
        <v>4</v>
      </c>
      <c r="Q507" s="4" t="str">
        <f t="shared" ca="1" si="45"/>
        <v>3-5 Years</v>
      </c>
      <c r="R507">
        <f t="shared" ca="1" si="47"/>
        <v>0</v>
      </c>
      <c r="S507" t="s">
        <v>22</v>
      </c>
      <c r="T507">
        <v>4</v>
      </c>
      <c r="U507" t="s">
        <v>1394</v>
      </c>
      <c r="V507" t="s">
        <v>1394</v>
      </c>
      <c r="W507" t="s">
        <v>1394</v>
      </c>
      <c r="X507" s="3">
        <v>3</v>
      </c>
      <c r="Y507" t="s">
        <v>1398</v>
      </c>
      <c r="Z507">
        <v>39267</v>
      </c>
      <c r="AA507">
        <v>0.1</v>
      </c>
      <c r="AB507">
        <v>43193.700000000004</v>
      </c>
    </row>
    <row r="508" spans="1:28" x14ac:dyDescent="0.35">
      <c r="A508" t="str">
        <f t="shared" si="42"/>
        <v>EMP0507</v>
      </c>
      <c r="B508" t="str" cm="1">
        <f t="array" ref="B508">_xlfn.IFS(
ROW()&lt;=421,"NA",
ROW()&lt;=781,"LATAM",
ROW()&lt;=1021,"EMEA",
TRUE,"APAC"
)</f>
        <v>LATAM</v>
      </c>
      <c r="C508" t="str">
        <f t="shared" si="43"/>
        <v>Mexico</v>
      </c>
      <c r="D508" t="s">
        <v>32</v>
      </c>
      <c r="E508" t="s">
        <v>380</v>
      </c>
      <c r="F508" t="s">
        <v>418</v>
      </c>
      <c r="G508" t="s">
        <v>28</v>
      </c>
      <c r="H508" s="2">
        <v>44566</v>
      </c>
      <c r="I508" t="s">
        <v>29</v>
      </c>
      <c r="J508" t="s">
        <v>33</v>
      </c>
      <c r="K508" t="str">
        <f t="shared" ca="1" si="46"/>
        <v>OK</v>
      </c>
      <c r="L508" t="s">
        <v>556</v>
      </c>
      <c r="M508">
        <v>5</v>
      </c>
      <c r="N508" s="2">
        <v>46061</v>
      </c>
      <c r="O508" s="2" t="s">
        <v>22</v>
      </c>
      <c r="P508" s="4">
        <f t="shared" ca="1" si="44"/>
        <v>4</v>
      </c>
      <c r="Q508" s="4" t="str">
        <f t="shared" ca="1" si="45"/>
        <v>3-5 Years</v>
      </c>
      <c r="R508">
        <f t="shared" ca="1" si="47"/>
        <v>0</v>
      </c>
      <c r="S508" t="s">
        <v>22</v>
      </c>
      <c r="T508">
        <v>4</v>
      </c>
      <c r="U508" t="s">
        <v>1394</v>
      </c>
      <c r="V508" t="s">
        <v>1394</v>
      </c>
      <c r="W508" t="s">
        <v>1394</v>
      </c>
      <c r="X508" s="3">
        <v>3</v>
      </c>
      <c r="Y508" t="s">
        <v>1398</v>
      </c>
      <c r="Z508">
        <v>23894</v>
      </c>
      <c r="AA508">
        <v>0.1</v>
      </c>
      <c r="AB508">
        <v>26283.4</v>
      </c>
    </row>
    <row r="509" spans="1:28" x14ac:dyDescent="0.35">
      <c r="A509" t="str">
        <f t="shared" si="42"/>
        <v>EMP0508</v>
      </c>
      <c r="B509" t="str" cm="1">
        <f t="array" ref="B509">_xlfn.IFS(
ROW()&lt;=421,"NA",
ROW()&lt;=781,"LATAM",
ROW()&lt;=1021,"EMEA",
TRUE,"APAC"
)</f>
        <v>LATAM</v>
      </c>
      <c r="C509" t="str">
        <f t="shared" si="43"/>
        <v>Mexico</v>
      </c>
      <c r="D509" t="s">
        <v>32</v>
      </c>
      <c r="E509" t="s">
        <v>380</v>
      </c>
      <c r="F509" t="s">
        <v>468</v>
      </c>
      <c r="G509" t="s">
        <v>28</v>
      </c>
      <c r="H509" s="2">
        <v>44564</v>
      </c>
      <c r="I509" t="s">
        <v>29</v>
      </c>
      <c r="J509" t="s">
        <v>33</v>
      </c>
      <c r="K509" t="str">
        <f t="shared" ca="1" si="46"/>
        <v>OK</v>
      </c>
      <c r="L509" t="s">
        <v>1101</v>
      </c>
      <c r="M509">
        <v>5</v>
      </c>
      <c r="N509" s="2">
        <v>45995</v>
      </c>
      <c r="O509" s="2" t="s">
        <v>22</v>
      </c>
      <c r="P509" s="4">
        <f t="shared" ca="1" si="44"/>
        <v>4</v>
      </c>
      <c r="Q509" s="4" t="str">
        <f t="shared" ca="1" si="45"/>
        <v>3-5 Years</v>
      </c>
      <c r="R509">
        <f t="shared" ca="1" si="47"/>
        <v>0</v>
      </c>
      <c r="S509" t="s">
        <v>22</v>
      </c>
      <c r="T509">
        <v>4</v>
      </c>
      <c r="U509" t="s">
        <v>1394</v>
      </c>
      <c r="V509" t="s">
        <v>1394</v>
      </c>
      <c r="W509" t="s">
        <v>1394</v>
      </c>
      <c r="X509" s="3">
        <v>2</v>
      </c>
      <c r="Y509" t="s">
        <v>1397</v>
      </c>
      <c r="Z509">
        <v>37573</v>
      </c>
      <c r="AA509">
        <v>0.1</v>
      </c>
      <c r="AB509">
        <v>41330.300000000003</v>
      </c>
    </row>
    <row r="510" spans="1:28" x14ac:dyDescent="0.35">
      <c r="A510" t="str">
        <f t="shared" si="42"/>
        <v>EMP0509</v>
      </c>
      <c r="B510" t="str" cm="1">
        <f t="array" ref="B510">_xlfn.IFS(
ROW()&lt;=421,"NA",
ROW()&lt;=781,"LATAM",
ROW()&lt;=1021,"EMEA",
TRUE,"APAC"
)</f>
        <v>LATAM</v>
      </c>
      <c r="C510" t="str">
        <f t="shared" si="43"/>
        <v>Mexico</v>
      </c>
      <c r="D510" t="s">
        <v>32</v>
      </c>
      <c r="E510" t="s">
        <v>380</v>
      </c>
      <c r="F510" t="s">
        <v>395</v>
      </c>
      <c r="G510" t="s">
        <v>28</v>
      </c>
      <c r="H510" s="2">
        <v>44563</v>
      </c>
      <c r="I510" t="s">
        <v>29</v>
      </c>
      <c r="J510" t="s">
        <v>33</v>
      </c>
      <c r="K510" t="str">
        <f t="shared" ca="1" si="46"/>
        <v>OK</v>
      </c>
      <c r="L510" t="s">
        <v>660</v>
      </c>
      <c r="M510">
        <v>5</v>
      </c>
      <c r="N510" s="2">
        <v>46043</v>
      </c>
      <c r="O510" s="2" t="s">
        <v>22</v>
      </c>
      <c r="P510" s="4">
        <f t="shared" ca="1" si="44"/>
        <v>4</v>
      </c>
      <c r="Q510" s="4" t="str">
        <f t="shared" ca="1" si="45"/>
        <v>3-5 Years</v>
      </c>
      <c r="R510">
        <f t="shared" ca="1" si="47"/>
        <v>0</v>
      </c>
      <c r="S510" t="s">
        <v>22</v>
      </c>
      <c r="T510">
        <v>3</v>
      </c>
      <c r="U510" t="s">
        <v>1394</v>
      </c>
      <c r="V510" t="s">
        <v>1394</v>
      </c>
      <c r="W510" t="s">
        <v>1394</v>
      </c>
      <c r="X510" s="3">
        <v>3</v>
      </c>
      <c r="Y510" t="s">
        <v>1398</v>
      </c>
      <c r="Z510">
        <v>47734</v>
      </c>
      <c r="AA510">
        <v>0.1</v>
      </c>
      <c r="AB510">
        <v>52507.4</v>
      </c>
    </row>
    <row r="511" spans="1:28" x14ac:dyDescent="0.35">
      <c r="A511" t="str">
        <f t="shared" si="42"/>
        <v>EMP0510</v>
      </c>
      <c r="B511" t="str" cm="1">
        <f t="array" ref="B511">_xlfn.IFS(
ROW()&lt;=421,"NA",
ROW()&lt;=781,"LATAM",
ROW()&lt;=1021,"EMEA",
TRUE,"APAC"
)</f>
        <v>LATAM</v>
      </c>
      <c r="C511" t="str">
        <f t="shared" si="43"/>
        <v>Mexico</v>
      </c>
      <c r="D511" t="s">
        <v>44</v>
      </c>
      <c r="E511" t="s">
        <v>380</v>
      </c>
      <c r="F511" t="s">
        <v>650</v>
      </c>
      <c r="G511" t="s">
        <v>28</v>
      </c>
      <c r="H511" s="2">
        <v>44562</v>
      </c>
      <c r="I511" t="s">
        <v>29</v>
      </c>
      <c r="J511" t="s">
        <v>47</v>
      </c>
      <c r="K511" t="str">
        <f t="shared" ca="1" si="46"/>
        <v>OK</v>
      </c>
      <c r="L511" t="s">
        <v>651</v>
      </c>
      <c r="M511">
        <v>5</v>
      </c>
      <c r="N511" s="2">
        <v>46018</v>
      </c>
      <c r="O511" s="2" t="s">
        <v>22</v>
      </c>
      <c r="P511" s="4">
        <f t="shared" ca="1" si="44"/>
        <v>4</v>
      </c>
      <c r="Q511" s="4" t="str">
        <f t="shared" ca="1" si="45"/>
        <v>3-5 Years</v>
      </c>
      <c r="R511">
        <f t="shared" ca="1" si="47"/>
        <v>0</v>
      </c>
      <c r="S511" t="s">
        <v>22</v>
      </c>
      <c r="T511">
        <v>5</v>
      </c>
      <c r="U511" t="s">
        <v>1394</v>
      </c>
      <c r="V511" t="s">
        <v>1396</v>
      </c>
      <c r="W511" t="s">
        <v>1394</v>
      </c>
      <c r="X511" s="3">
        <v>1</v>
      </c>
      <c r="Y511" t="s">
        <v>1397</v>
      </c>
      <c r="Z511">
        <v>34638</v>
      </c>
      <c r="AA511">
        <v>0.1</v>
      </c>
      <c r="AB511">
        <v>38101.800000000003</v>
      </c>
    </row>
    <row r="512" spans="1:28" x14ac:dyDescent="0.35">
      <c r="A512" t="str">
        <f t="shared" si="42"/>
        <v>EMP0511</v>
      </c>
      <c r="B512" t="str" cm="1">
        <f t="array" ref="B512">_xlfn.IFS(
ROW()&lt;=421,"NA",
ROW()&lt;=781,"LATAM",
ROW()&lt;=1021,"EMEA",
TRUE,"APAC"
)</f>
        <v>LATAM</v>
      </c>
      <c r="C512" t="str">
        <f t="shared" si="43"/>
        <v>Mexico</v>
      </c>
      <c r="D512" t="s">
        <v>38</v>
      </c>
      <c r="E512" t="s">
        <v>380</v>
      </c>
      <c r="F512" t="s">
        <v>573</v>
      </c>
      <c r="G512" t="s">
        <v>53</v>
      </c>
      <c r="H512" s="2">
        <v>44562</v>
      </c>
      <c r="I512" t="s">
        <v>29</v>
      </c>
      <c r="J512" t="s">
        <v>39</v>
      </c>
      <c r="K512" t="str">
        <f t="shared" ca="1" si="46"/>
        <v>OK</v>
      </c>
      <c r="L512" t="s">
        <v>1169</v>
      </c>
      <c r="M512">
        <v>5</v>
      </c>
      <c r="N512" s="2">
        <v>46078</v>
      </c>
      <c r="O512" s="2" t="s">
        <v>22</v>
      </c>
      <c r="P512" s="4">
        <f t="shared" ca="1" si="44"/>
        <v>4</v>
      </c>
      <c r="Q512" s="4" t="str">
        <f t="shared" ca="1" si="45"/>
        <v>3-5 Years</v>
      </c>
      <c r="R512">
        <f t="shared" ca="1" si="47"/>
        <v>0</v>
      </c>
      <c r="S512" t="s">
        <v>22</v>
      </c>
      <c r="T512">
        <v>5</v>
      </c>
      <c r="U512" t="s">
        <v>1394</v>
      </c>
      <c r="V512" t="s">
        <v>1394</v>
      </c>
      <c r="W512" t="s">
        <v>1394</v>
      </c>
      <c r="X512" s="3">
        <v>1</v>
      </c>
      <c r="Y512" t="s">
        <v>1397</v>
      </c>
      <c r="Z512">
        <v>23023</v>
      </c>
      <c r="AA512">
        <v>0.1</v>
      </c>
      <c r="AB512">
        <v>25325.300000000003</v>
      </c>
    </row>
    <row r="513" spans="1:28" x14ac:dyDescent="0.35">
      <c r="A513" t="str">
        <f t="shared" si="42"/>
        <v>EMP0512</v>
      </c>
      <c r="B513" t="str" cm="1">
        <f t="array" ref="B513">_xlfn.IFS(
ROW()&lt;=421,"NA",
ROW()&lt;=781,"LATAM",
ROW()&lt;=1021,"EMEA",
TRUE,"APAC"
)</f>
        <v>LATAM</v>
      </c>
      <c r="C513" t="str">
        <f t="shared" si="43"/>
        <v>Mexico</v>
      </c>
      <c r="D513" t="s">
        <v>44</v>
      </c>
      <c r="E513" t="s">
        <v>145</v>
      </c>
      <c r="F513" t="s">
        <v>296</v>
      </c>
      <c r="G513" t="s">
        <v>28</v>
      </c>
      <c r="H513" s="2">
        <v>44547</v>
      </c>
      <c r="I513" t="s">
        <v>29</v>
      </c>
      <c r="J513" t="s">
        <v>47</v>
      </c>
      <c r="K513" t="str">
        <f t="shared" ca="1" si="46"/>
        <v>OK</v>
      </c>
      <c r="L513" t="s">
        <v>153</v>
      </c>
      <c r="M513">
        <v>4</v>
      </c>
      <c r="N513" s="2">
        <v>46066</v>
      </c>
      <c r="O513" s="2" t="s">
        <v>22</v>
      </c>
      <c r="P513" s="4">
        <f t="shared" ca="1" si="44"/>
        <v>4</v>
      </c>
      <c r="Q513" s="4" t="str">
        <f t="shared" ca="1" si="45"/>
        <v>3-5 Years</v>
      </c>
      <c r="R513">
        <f t="shared" ca="1" si="47"/>
        <v>0</v>
      </c>
      <c r="S513" t="s">
        <v>22</v>
      </c>
      <c r="T513">
        <v>4</v>
      </c>
      <c r="U513" t="s">
        <v>1396</v>
      </c>
      <c r="V513" t="s">
        <v>1396</v>
      </c>
      <c r="W513" t="s">
        <v>1394</v>
      </c>
      <c r="X513" s="3">
        <v>5</v>
      </c>
      <c r="Y513" t="s">
        <v>1395</v>
      </c>
      <c r="Z513">
        <v>80592</v>
      </c>
      <c r="AA513">
        <v>0.15</v>
      </c>
      <c r="AB513">
        <v>92680.799999999988</v>
      </c>
    </row>
    <row r="514" spans="1:28" x14ac:dyDescent="0.35">
      <c r="A514" t="str">
        <f t="shared" ref="A514:A577" si="48">"EMP"&amp;TEXT(ROW()-1,"0000")</f>
        <v>EMP0513</v>
      </c>
      <c r="B514" t="str" cm="1">
        <f t="array" ref="B514">_xlfn.IFS(
ROW()&lt;=421,"NA",
ROW()&lt;=781,"LATAM",
ROW()&lt;=1021,"EMEA",
TRUE,"APAC"
)</f>
        <v>LATAM</v>
      </c>
      <c r="C514" t="str">
        <f t="shared" ref="C514:C577" si="49">IF(B514="NA","USA",
IF(B514="LATAM","Mexico",
IF(B514="EMEA","Germany","Singapore")))</f>
        <v>Mexico</v>
      </c>
      <c r="D514" t="s">
        <v>26</v>
      </c>
      <c r="E514" t="s">
        <v>145</v>
      </c>
      <c r="F514" t="s">
        <v>154</v>
      </c>
      <c r="G514" t="s">
        <v>28</v>
      </c>
      <c r="H514" s="2">
        <v>44537</v>
      </c>
      <c r="I514" t="s">
        <v>57</v>
      </c>
      <c r="J514" t="s">
        <v>30</v>
      </c>
      <c r="K514" t="str">
        <f t="shared" ca="1" si="46"/>
        <v>OK</v>
      </c>
      <c r="L514" t="s">
        <v>239</v>
      </c>
      <c r="M514">
        <v>4</v>
      </c>
      <c r="N514" s="2">
        <v>46034</v>
      </c>
      <c r="O514" s="2">
        <v>46071</v>
      </c>
      <c r="P514" s="4">
        <f t="shared" ref="P514:P577" ca="1" si="50">IF(H514&gt;TODAY(),
"",
IF(I514="Active",
DATEDIF(H514,TODAY(),"Y"),
DATEDIF(H514,O514,"Y")
))</f>
        <v>4</v>
      </c>
      <c r="Q514" s="4" t="str">
        <f t="shared" ref="Q514:Q577" ca="1" si="51">IF(P514&lt;=2,"0-2 Years",
IF(P514&lt;=5,"3-5 Years",
IF(P514&lt;=10,"6-10 Years","10+ Years")))</f>
        <v>3-5 Years</v>
      </c>
      <c r="R514">
        <f t="shared" ca="1" si="47"/>
        <v>0</v>
      </c>
      <c r="S514" t="s">
        <v>23</v>
      </c>
      <c r="T514">
        <v>3</v>
      </c>
      <c r="U514" t="s">
        <v>1394</v>
      </c>
      <c r="V514" t="s">
        <v>1394</v>
      </c>
      <c r="W514" t="s">
        <v>1394</v>
      </c>
      <c r="X514" s="3">
        <v>2</v>
      </c>
      <c r="Y514" t="s">
        <v>1397</v>
      </c>
      <c r="Z514">
        <v>87405</v>
      </c>
      <c r="AA514">
        <v>0.15</v>
      </c>
      <c r="AB514">
        <v>100515.74999999999</v>
      </c>
    </row>
    <row r="515" spans="1:28" x14ac:dyDescent="0.35">
      <c r="A515" t="str">
        <f t="shared" si="48"/>
        <v>EMP0514</v>
      </c>
      <c r="B515" t="str" cm="1">
        <f t="array" ref="B515">_xlfn.IFS(
ROW()&lt;=421,"NA",
ROW()&lt;=781,"LATAM",
ROW()&lt;=1021,"EMEA",
TRUE,"APAC"
)</f>
        <v>LATAM</v>
      </c>
      <c r="C515" t="str">
        <f t="shared" si="49"/>
        <v>Mexico</v>
      </c>
      <c r="D515" t="s">
        <v>35</v>
      </c>
      <c r="E515" t="s">
        <v>380</v>
      </c>
      <c r="F515" t="s">
        <v>456</v>
      </c>
      <c r="G515" t="s">
        <v>53</v>
      </c>
      <c r="H515" s="2">
        <v>44536</v>
      </c>
      <c r="I515" t="s">
        <v>29</v>
      </c>
      <c r="J515" t="s">
        <v>36</v>
      </c>
      <c r="K515" t="str">
        <f t="shared" ref="K515:K578" ca="1" si="52">IF(
OR(
H515="",
I515="",
AND(I515="Inactive",O515=""),
H515&gt;TODAY(),
Z515="",
F515="",
D515="",
X515&lt;1
),
"⚠ Review",
"OK"
)</f>
        <v>OK</v>
      </c>
      <c r="L515" t="s">
        <v>1215</v>
      </c>
      <c r="M515">
        <v>5</v>
      </c>
      <c r="N515" s="2">
        <v>46014</v>
      </c>
      <c r="O515" s="2" t="s">
        <v>22</v>
      </c>
      <c r="P515" s="4">
        <f t="shared" ca="1" si="50"/>
        <v>4</v>
      </c>
      <c r="Q515" s="4" t="str">
        <f t="shared" ca="1" si="51"/>
        <v>3-5 Years</v>
      </c>
      <c r="R515">
        <f t="shared" ref="R515:R578" ca="1" si="53">IF(P515&lt;=2,1,0)</f>
        <v>0</v>
      </c>
      <c r="S515" t="s">
        <v>22</v>
      </c>
      <c r="T515">
        <v>2</v>
      </c>
      <c r="U515" t="s">
        <v>1396</v>
      </c>
      <c r="V515" t="s">
        <v>1394</v>
      </c>
      <c r="W515" t="s">
        <v>1394</v>
      </c>
      <c r="X515" s="3">
        <v>5</v>
      </c>
      <c r="Y515" t="s">
        <v>1395</v>
      </c>
      <c r="Z515">
        <v>40552</v>
      </c>
      <c r="AA515">
        <v>0.1</v>
      </c>
      <c r="AB515">
        <v>44607.200000000004</v>
      </c>
    </row>
    <row r="516" spans="1:28" x14ac:dyDescent="0.35">
      <c r="A516" t="str">
        <f t="shared" si="48"/>
        <v>EMP0515</v>
      </c>
      <c r="B516" t="str" cm="1">
        <f t="array" ref="B516">_xlfn.IFS(
ROW()&lt;=421,"NA",
ROW()&lt;=781,"LATAM",
ROW()&lt;=1021,"EMEA",
TRUE,"APAC"
)</f>
        <v>LATAM</v>
      </c>
      <c r="C516" t="str">
        <f t="shared" si="49"/>
        <v>Mexico</v>
      </c>
      <c r="D516" t="s">
        <v>26</v>
      </c>
      <c r="E516" t="s">
        <v>145</v>
      </c>
      <c r="F516" t="s">
        <v>148</v>
      </c>
      <c r="G516" t="s">
        <v>28</v>
      </c>
      <c r="H516" s="2">
        <v>44532</v>
      </c>
      <c r="I516" t="s">
        <v>29</v>
      </c>
      <c r="J516" t="s">
        <v>30</v>
      </c>
      <c r="K516" t="str">
        <f t="shared" ca="1" si="52"/>
        <v>OK</v>
      </c>
      <c r="L516" t="s">
        <v>165</v>
      </c>
      <c r="M516">
        <v>4</v>
      </c>
      <c r="N516" s="2">
        <v>46008</v>
      </c>
      <c r="O516" s="2" t="s">
        <v>22</v>
      </c>
      <c r="P516" s="4">
        <f t="shared" ca="1" si="50"/>
        <v>4</v>
      </c>
      <c r="Q516" s="4" t="str">
        <f t="shared" ca="1" si="51"/>
        <v>3-5 Years</v>
      </c>
      <c r="R516">
        <f t="shared" ca="1" si="53"/>
        <v>0</v>
      </c>
      <c r="S516" t="s">
        <v>22</v>
      </c>
      <c r="T516">
        <v>3</v>
      </c>
      <c r="U516" t="s">
        <v>1394</v>
      </c>
      <c r="V516" t="s">
        <v>1394</v>
      </c>
      <c r="W516" t="s">
        <v>1394</v>
      </c>
      <c r="X516" s="3">
        <v>4</v>
      </c>
      <c r="Y516" t="s">
        <v>1395</v>
      </c>
      <c r="Z516">
        <v>64650</v>
      </c>
      <c r="AA516">
        <v>0.15</v>
      </c>
      <c r="AB516">
        <v>74347.5</v>
      </c>
    </row>
    <row r="517" spans="1:28" x14ac:dyDescent="0.35">
      <c r="A517" t="str">
        <f t="shared" si="48"/>
        <v>EMP0516</v>
      </c>
      <c r="B517" t="str" cm="1">
        <f t="array" ref="B517">_xlfn.IFS(
ROW()&lt;=421,"NA",
ROW()&lt;=781,"LATAM",
ROW()&lt;=1021,"EMEA",
TRUE,"APAC"
)</f>
        <v>LATAM</v>
      </c>
      <c r="C517" t="str">
        <f t="shared" si="49"/>
        <v>Mexico</v>
      </c>
      <c r="D517" t="s">
        <v>44</v>
      </c>
      <c r="E517" t="s">
        <v>145</v>
      </c>
      <c r="F517" t="s">
        <v>178</v>
      </c>
      <c r="G517" t="s">
        <v>28</v>
      </c>
      <c r="H517" s="2">
        <v>44519</v>
      </c>
      <c r="I517" t="s">
        <v>29</v>
      </c>
      <c r="J517" t="s">
        <v>47</v>
      </c>
      <c r="K517" t="str">
        <f t="shared" ca="1" si="52"/>
        <v>OK</v>
      </c>
      <c r="L517" t="s">
        <v>260</v>
      </c>
      <c r="M517">
        <v>4</v>
      </c>
      <c r="N517" s="2">
        <v>46043</v>
      </c>
      <c r="O517" s="2" t="s">
        <v>22</v>
      </c>
      <c r="P517" s="4">
        <f t="shared" ca="1" si="50"/>
        <v>4</v>
      </c>
      <c r="Q517" s="4" t="str">
        <f t="shared" ca="1" si="51"/>
        <v>3-5 Years</v>
      </c>
      <c r="R517">
        <f t="shared" ca="1" si="53"/>
        <v>0</v>
      </c>
      <c r="S517" t="s">
        <v>22</v>
      </c>
      <c r="T517">
        <v>4</v>
      </c>
      <c r="U517" t="s">
        <v>1396</v>
      </c>
      <c r="V517" t="s">
        <v>1394</v>
      </c>
      <c r="W517" t="s">
        <v>1394</v>
      </c>
      <c r="X517" s="3">
        <v>4</v>
      </c>
      <c r="Y517" t="s">
        <v>1395</v>
      </c>
      <c r="Z517">
        <v>53372</v>
      </c>
      <c r="AA517">
        <v>0.15</v>
      </c>
      <c r="AB517">
        <v>61377.799999999996</v>
      </c>
    </row>
    <row r="518" spans="1:28" x14ac:dyDescent="0.35">
      <c r="A518" t="str">
        <f t="shared" si="48"/>
        <v>EMP0517</v>
      </c>
      <c r="B518" t="str" cm="1">
        <f t="array" ref="B518">_xlfn.IFS(
ROW()&lt;=421,"NA",
ROW()&lt;=781,"LATAM",
ROW()&lt;=1021,"EMEA",
TRUE,"APAC"
)</f>
        <v>LATAM</v>
      </c>
      <c r="C518" t="str">
        <f t="shared" si="49"/>
        <v>Mexico</v>
      </c>
      <c r="D518" t="s">
        <v>35</v>
      </c>
      <c r="E518" t="s">
        <v>380</v>
      </c>
      <c r="F518" t="s">
        <v>719</v>
      </c>
      <c r="G518" t="s">
        <v>28</v>
      </c>
      <c r="H518" s="2">
        <v>44518</v>
      </c>
      <c r="I518" t="s">
        <v>29</v>
      </c>
      <c r="J518" t="s">
        <v>36</v>
      </c>
      <c r="K518" t="str">
        <f t="shared" ca="1" si="52"/>
        <v>OK</v>
      </c>
      <c r="L518" t="s">
        <v>720</v>
      </c>
      <c r="M518">
        <v>5</v>
      </c>
      <c r="N518" s="2">
        <v>46037</v>
      </c>
      <c r="O518" s="2" t="s">
        <v>22</v>
      </c>
      <c r="P518" s="4">
        <f t="shared" ca="1" si="50"/>
        <v>4</v>
      </c>
      <c r="Q518" s="4" t="str">
        <f t="shared" ca="1" si="51"/>
        <v>3-5 Years</v>
      </c>
      <c r="R518">
        <f t="shared" ca="1" si="53"/>
        <v>0</v>
      </c>
      <c r="S518" t="s">
        <v>22</v>
      </c>
      <c r="T518">
        <v>5</v>
      </c>
      <c r="U518" t="s">
        <v>1394</v>
      </c>
      <c r="V518" t="s">
        <v>1394</v>
      </c>
      <c r="W518" t="s">
        <v>1394</v>
      </c>
      <c r="X518" s="3">
        <v>5</v>
      </c>
      <c r="Y518" t="s">
        <v>1395</v>
      </c>
      <c r="Z518">
        <v>44744</v>
      </c>
      <c r="AA518">
        <v>0.1</v>
      </c>
      <c r="AB518">
        <v>49218.400000000001</v>
      </c>
    </row>
    <row r="519" spans="1:28" x14ac:dyDescent="0.35">
      <c r="A519" t="str">
        <f t="shared" si="48"/>
        <v>EMP0518</v>
      </c>
      <c r="B519" t="str" cm="1">
        <f t="array" ref="B519">_xlfn.IFS(
ROW()&lt;=421,"NA",
ROW()&lt;=781,"LATAM",
ROW()&lt;=1021,"EMEA",
TRUE,"APAC"
)</f>
        <v>LATAM</v>
      </c>
      <c r="C519" t="str">
        <f t="shared" si="49"/>
        <v>Mexico</v>
      </c>
      <c r="D519" t="s">
        <v>32</v>
      </c>
      <c r="E519" t="s">
        <v>380</v>
      </c>
      <c r="F519" t="s">
        <v>488</v>
      </c>
      <c r="G519" t="s">
        <v>28</v>
      </c>
      <c r="H519" s="2">
        <v>44517</v>
      </c>
      <c r="I519" t="s">
        <v>29</v>
      </c>
      <c r="J519" t="s">
        <v>33</v>
      </c>
      <c r="K519" t="str">
        <f t="shared" ca="1" si="52"/>
        <v>OK</v>
      </c>
      <c r="L519" t="s">
        <v>489</v>
      </c>
      <c r="M519">
        <v>5</v>
      </c>
      <c r="N519" s="2">
        <v>46075</v>
      </c>
      <c r="O519" s="2" t="s">
        <v>22</v>
      </c>
      <c r="P519" s="4">
        <f t="shared" ca="1" si="50"/>
        <v>4</v>
      </c>
      <c r="Q519" s="4" t="str">
        <f t="shared" ca="1" si="51"/>
        <v>3-5 Years</v>
      </c>
      <c r="R519">
        <f t="shared" ca="1" si="53"/>
        <v>0</v>
      </c>
      <c r="S519" t="s">
        <v>22</v>
      </c>
      <c r="T519">
        <v>4</v>
      </c>
      <c r="U519" t="s">
        <v>1394</v>
      </c>
      <c r="V519" t="s">
        <v>1394</v>
      </c>
      <c r="W519" t="s">
        <v>1394</v>
      </c>
      <c r="X519" s="3">
        <v>1</v>
      </c>
      <c r="Y519" t="s">
        <v>1397</v>
      </c>
      <c r="Z519">
        <v>39446</v>
      </c>
      <c r="AA519">
        <v>0.1</v>
      </c>
      <c r="AB519">
        <v>43390.600000000006</v>
      </c>
    </row>
    <row r="520" spans="1:28" x14ac:dyDescent="0.35">
      <c r="A520" t="str">
        <f t="shared" si="48"/>
        <v>EMP0519</v>
      </c>
      <c r="B520" t="str" cm="1">
        <f t="array" ref="B520">_xlfn.IFS(
ROW()&lt;=421,"NA",
ROW()&lt;=781,"LATAM",
ROW()&lt;=1021,"EMEA",
TRUE,"APAC"
)</f>
        <v>LATAM</v>
      </c>
      <c r="C520" t="str">
        <f t="shared" si="49"/>
        <v>Mexico</v>
      </c>
      <c r="D520" t="s">
        <v>41</v>
      </c>
      <c r="E520" t="s">
        <v>380</v>
      </c>
      <c r="F520" t="s">
        <v>442</v>
      </c>
      <c r="G520" t="s">
        <v>28</v>
      </c>
      <c r="H520" s="2">
        <v>46078</v>
      </c>
      <c r="I520" t="s">
        <v>29</v>
      </c>
      <c r="J520" t="s">
        <v>42</v>
      </c>
      <c r="K520" t="str">
        <f t="shared" ca="1" si="52"/>
        <v>OK</v>
      </c>
      <c r="L520" t="s">
        <v>443</v>
      </c>
      <c r="M520">
        <v>5</v>
      </c>
      <c r="N520" s="2">
        <v>46012</v>
      </c>
      <c r="O520" s="2" t="s">
        <v>22</v>
      </c>
      <c r="P520" s="4">
        <f t="shared" ca="1" si="50"/>
        <v>0</v>
      </c>
      <c r="Q520" s="4" t="str">
        <f t="shared" ca="1" si="51"/>
        <v>0-2 Years</v>
      </c>
      <c r="R520">
        <f t="shared" ca="1" si="53"/>
        <v>1</v>
      </c>
      <c r="S520" t="s">
        <v>22</v>
      </c>
      <c r="T520">
        <v>3</v>
      </c>
      <c r="U520" t="s">
        <v>1396</v>
      </c>
      <c r="V520" t="s">
        <v>1394</v>
      </c>
      <c r="W520" t="s">
        <v>1394</v>
      </c>
      <c r="X520" s="3">
        <v>1</v>
      </c>
      <c r="Y520" t="s">
        <v>1397</v>
      </c>
      <c r="Z520">
        <v>48761</v>
      </c>
      <c r="AA520">
        <v>0.1</v>
      </c>
      <c r="AB520">
        <v>53637.100000000006</v>
      </c>
    </row>
    <row r="521" spans="1:28" x14ac:dyDescent="0.35">
      <c r="A521" t="str">
        <f t="shared" si="48"/>
        <v>EMP0520</v>
      </c>
      <c r="B521" t="str" cm="1">
        <f t="array" ref="B521">_xlfn.IFS(
ROW()&lt;=421,"NA",
ROW()&lt;=781,"LATAM",
ROW()&lt;=1021,"EMEA",
TRUE,"APAC"
)</f>
        <v>LATAM</v>
      </c>
      <c r="C521" t="str">
        <f t="shared" si="49"/>
        <v>Mexico</v>
      </c>
      <c r="D521" t="s">
        <v>32</v>
      </c>
      <c r="E521" t="s">
        <v>145</v>
      </c>
      <c r="F521" t="s">
        <v>156</v>
      </c>
      <c r="G521" t="s">
        <v>28</v>
      </c>
      <c r="H521" s="2">
        <v>44510</v>
      </c>
      <c r="I521" t="s">
        <v>57</v>
      </c>
      <c r="J521" t="s">
        <v>33</v>
      </c>
      <c r="K521" t="str">
        <f t="shared" ca="1" si="52"/>
        <v>OK</v>
      </c>
      <c r="L521" t="s">
        <v>360</v>
      </c>
      <c r="M521">
        <v>4</v>
      </c>
      <c r="N521" s="2">
        <v>46030</v>
      </c>
      <c r="O521" s="2">
        <v>46071</v>
      </c>
      <c r="P521" s="4">
        <f t="shared" ca="1" si="50"/>
        <v>4</v>
      </c>
      <c r="Q521" s="4" t="str">
        <f t="shared" ca="1" si="51"/>
        <v>3-5 Years</v>
      </c>
      <c r="R521">
        <f t="shared" ca="1" si="53"/>
        <v>0</v>
      </c>
      <c r="S521" t="s">
        <v>23</v>
      </c>
      <c r="T521">
        <v>3</v>
      </c>
      <c r="U521" t="s">
        <v>1394</v>
      </c>
      <c r="V521" t="s">
        <v>1394</v>
      </c>
      <c r="W521" t="s">
        <v>1394</v>
      </c>
      <c r="X521" s="3">
        <v>1</v>
      </c>
      <c r="Y521" t="s">
        <v>1397</v>
      </c>
      <c r="Z521">
        <v>61276</v>
      </c>
      <c r="AA521">
        <v>0.15</v>
      </c>
      <c r="AB521">
        <v>70467.399999999994</v>
      </c>
    </row>
    <row r="522" spans="1:28" x14ac:dyDescent="0.35">
      <c r="A522" t="str">
        <f t="shared" si="48"/>
        <v>EMP0521</v>
      </c>
      <c r="B522" t="str" cm="1">
        <f t="array" ref="B522">_xlfn.IFS(
ROW()&lt;=421,"NA",
ROW()&lt;=781,"LATAM",
ROW()&lt;=1021,"EMEA",
TRUE,"APAC"
)</f>
        <v>LATAM</v>
      </c>
      <c r="C522" t="str">
        <f t="shared" si="49"/>
        <v>Mexico</v>
      </c>
      <c r="D522" t="s">
        <v>32</v>
      </c>
      <c r="E522" t="s">
        <v>380</v>
      </c>
      <c r="F522" t="s">
        <v>854</v>
      </c>
      <c r="G522" t="s">
        <v>28</v>
      </c>
      <c r="H522" s="2">
        <v>44507</v>
      </c>
      <c r="I522" t="s">
        <v>29</v>
      </c>
      <c r="J522" t="s">
        <v>33</v>
      </c>
      <c r="K522" t="str">
        <f t="shared" ca="1" si="52"/>
        <v>OK</v>
      </c>
      <c r="L522" t="s">
        <v>1280</v>
      </c>
      <c r="M522">
        <v>5</v>
      </c>
      <c r="N522" s="2">
        <v>46020</v>
      </c>
      <c r="O522" s="2" t="s">
        <v>22</v>
      </c>
      <c r="P522" s="4">
        <f t="shared" ca="1" si="50"/>
        <v>4</v>
      </c>
      <c r="Q522" s="4" t="str">
        <f t="shared" ca="1" si="51"/>
        <v>3-5 Years</v>
      </c>
      <c r="R522">
        <f t="shared" ca="1" si="53"/>
        <v>0</v>
      </c>
      <c r="S522" t="s">
        <v>22</v>
      </c>
      <c r="T522">
        <v>3</v>
      </c>
      <c r="U522" t="s">
        <v>1396</v>
      </c>
      <c r="V522" t="s">
        <v>1394</v>
      </c>
      <c r="W522" t="s">
        <v>1394</v>
      </c>
      <c r="X522" s="3">
        <v>4</v>
      </c>
      <c r="Y522" t="s">
        <v>1395</v>
      </c>
      <c r="Z522">
        <v>21100</v>
      </c>
      <c r="AA522">
        <v>0.1</v>
      </c>
      <c r="AB522">
        <v>23210.000000000004</v>
      </c>
    </row>
    <row r="523" spans="1:28" x14ac:dyDescent="0.35">
      <c r="A523" t="str">
        <f t="shared" si="48"/>
        <v>EMP0522</v>
      </c>
      <c r="B523" t="str" cm="1">
        <f t="array" ref="B523">_xlfn.IFS(
ROW()&lt;=421,"NA",
ROW()&lt;=781,"LATAM",
ROW()&lt;=1021,"EMEA",
TRUE,"APAC"
)</f>
        <v>LATAM</v>
      </c>
      <c r="C523" t="str">
        <f t="shared" si="49"/>
        <v>Mexico</v>
      </c>
      <c r="D523" t="s">
        <v>44</v>
      </c>
      <c r="E523" t="s">
        <v>380</v>
      </c>
      <c r="F523" t="s">
        <v>458</v>
      </c>
      <c r="G523" t="s">
        <v>28</v>
      </c>
      <c r="H523" s="2">
        <v>44506</v>
      </c>
      <c r="I523" t="s">
        <v>29</v>
      </c>
      <c r="J523" t="s">
        <v>47</v>
      </c>
      <c r="K523" t="str">
        <f t="shared" ca="1" si="52"/>
        <v>OK</v>
      </c>
      <c r="L523" t="s">
        <v>1060</v>
      </c>
      <c r="M523">
        <v>5</v>
      </c>
      <c r="N523" s="2">
        <v>46068</v>
      </c>
      <c r="O523" s="2" t="s">
        <v>22</v>
      </c>
      <c r="P523" s="4">
        <f t="shared" ca="1" si="50"/>
        <v>4</v>
      </c>
      <c r="Q523" s="4" t="str">
        <f t="shared" ca="1" si="51"/>
        <v>3-5 Years</v>
      </c>
      <c r="R523">
        <f t="shared" ca="1" si="53"/>
        <v>0</v>
      </c>
      <c r="S523" t="s">
        <v>22</v>
      </c>
      <c r="T523">
        <v>3</v>
      </c>
      <c r="U523" t="s">
        <v>1396</v>
      </c>
      <c r="V523" t="s">
        <v>1394</v>
      </c>
      <c r="W523" t="s">
        <v>1394</v>
      </c>
      <c r="X523" s="3">
        <v>5</v>
      </c>
      <c r="Y523" t="s">
        <v>1395</v>
      </c>
      <c r="Z523">
        <v>37631</v>
      </c>
      <c r="AA523">
        <v>0.1</v>
      </c>
      <c r="AB523">
        <v>41394.100000000006</v>
      </c>
    </row>
    <row r="524" spans="1:28" x14ac:dyDescent="0.35">
      <c r="A524" t="str">
        <f t="shared" si="48"/>
        <v>EMP0523</v>
      </c>
      <c r="B524" t="str" cm="1">
        <f t="array" ref="B524">_xlfn.IFS(
ROW()&lt;=421,"NA",
ROW()&lt;=781,"LATAM",
ROW()&lt;=1021,"EMEA",
TRUE,"APAC"
)</f>
        <v>LATAM</v>
      </c>
      <c r="C524" t="str">
        <f t="shared" si="49"/>
        <v>Mexico</v>
      </c>
      <c r="D524" t="s">
        <v>35</v>
      </c>
      <c r="E524" t="s">
        <v>380</v>
      </c>
      <c r="F524" t="s">
        <v>460</v>
      </c>
      <c r="G524" t="s">
        <v>28</v>
      </c>
      <c r="H524" s="2">
        <v>44503</v>
      </c>
      <c r="I524" t="s">
        <v>29</v>
      </c>
      <c r="J524" t="s">
        <v>36</v>
      </c>
      <c r="K524" t="str">
        <f t="shared" ca="1" si="52"/>
        <v>OK</v>
      </c>
      <c r="L524" t="s">
        <v>461</v>
      </c>
      <c r="M524">
        <v>5</v>
      </c>
      <c r="N524" s="2">
        <v>46065</v>
      </c>
      <c r="O524" s="2" t="s">
        <v>22</v>
      </c>
      <c r="P524" s="4">
        <f t="shared" ca="1" si="50"/>
        <v>4</v>
      </c>
      <c r="Q524" s="4" t="str">
        <f t="shared" ca="1" si="51"/>
        <v>3-5 Years</v>
      </c>
      <c r="R524">
        <f t="shared" ca="1" si="53"/>
        <v>0</v>
      </c>
      <c r="S524" t="s">
        <v>22</v>
      </c>
      <c r="T524">
        <v>3</v>
      </c>
      <c r="U524" t="s">
        <v>1394</v>
      </c>
      <c r="V524" t="s">
        <v>1394</v>
      </c>
      <c r="W524" t="s">
        <v>1394</v>
      </c>
      <c r="X524" s="3">
        <v>3</v>
      </c>
      <c r="Y524" t="s">
        <v>1398</v>
      </c>
      <c r="Z524">
        <v>26874</v>
      </c>
      <c r="AA524">
        <v>0.1</v>
      </c>
      <c r="AB524">
        <v>29561.4</v>
      </c>
    </row>
    <row r="525" spans="1:28" x14ac:dyDescent="0.35">
      <c r="A525" t="str">
        <f t="shared" si="48"/>
        <v>EMP0524</v>
      </c>
      <c r="B525" t="str" cm="1">
        <f t="array" ref="B525">_xlfn.IFS(
ROW()&lt;=421,"NA",
ROW()&lt;=781,"LATAM",
ROW()&lt;=1021,"EMEA",
TRUE,"APAC"
)</f>
        <v>LATAM</v>
      </c>
      <c r="C525" t="str">
        <f t="shared" si="49"/>
        <v>Mexico</v>
      </c>
      <c r="D525" t="s">
        <v>44</v>
      </c>
      <c r="E525" t="s">
        <v>69</v>
      </c>
      <c r="F525" t="s">
        <v>101</v>
      </c>
      <c r="G525" t="s">
        <v>28</v>
      </c>
      <c r="H525" s="2">
        <v>44496</v>
      </c>
      <c r="I525" t="s">
        <v>29</v>
      </c>
      <c r="J525" t="s">
        <v>47</v>
      </c>
      <c r="K525" t="str">
        <f t="shared" ca="1" si="52"/>
        <v>OK</v>
      </c>
      <c r="L525" t="s">
        <v>116</v>
      </c>
      <c r="M525">
        <v>3</v>
      </c>
      <c r="N525" s="2">
        <v>46022</v>
      </c>
      <c r="O525" s="2" t="s">
        <v>22</v>
      </c>
      <c r="P525" s="4">
        <f t="shared" ca="1" si="50"/>
        <v>4</v>
      </c>
      <c r="Q525" s="4" t="str">
        <f t="shared" ca="1" si="51"/>
        <v>3-5 Years</v>
      </c>
      <c r="R525">
        <f t="shared" ca="1" si="53"/>
        <v>0</v>
      </c>
      <c r="S525" t="s">
        <v>22</v>
      </c>
      <c r="T525">
        <v>4</v>
      </c>
      <c r="U525" t="s">
        <v>1396</v>
      </c>
      <c r="V525" t="s">
        <v>1394</v>
      </c>
      <c r="W525" t="s">
        <v>1394</v>
      </c>
      <c r="X525" s="3">
        <v>3</v>
      </c>
      <c r="Y525" t="s">
        <v>1398</v>
      </c>
      <c r="Z525">
        <v>118458</v>
      </c>
      <c r="AA525">
        <v>0.2</v>
      </c>
      <c r="AB525">
        <v>142149.6</v>
      </c>
    </row>
    <row r="526" spans="1:28" x14ac:dyDescent="0.35">
      <c r="A526" t="str">
        <f t="shared" si="48"/>
        <v>EMP0525</v>
      </c>
      <c r="B526" t="str" cm="1">
        <f t="array" ref="B526">_xlfn.IFS(
ROW()&lt;=421,"NA",
ROW()&lt;=781,"LATAM",
ROW()&lt;=1021,"EMEA",
TRUE,"APAC"
)</f>
        <v>LATAM</v>
      </c>
      <c r="C526" t="str">
        <f t="shared" si="49"/>
        <v>Mexico</v>
      </c>
      <c r="D526" t="s">
        <v>38</v>
      </c>
      <c r="E526" t="s">
        <v>145</v>
      </c>
      <c r="F526" t="s">
        <v>158</v>
      </c>
      <c r="G526" t="s">
        <v>28</v>
      </c>
      <c r="H526" s="2">
        <v>44488</v>
      </c>
      <c r="I526" t="s">
        <v>29</v>
      </c>
      <c r="J526" t="s">
        <v>39</v>
      </c>
      <c r="K526" t="str">
        <f t="shared" ca="1" si="52"/>
        <v>OK</v>
      </c>
      <c r="L526" t="s">
        <v>369</v>
      </c>
      <c r="M526">
        <v>4</v>
      </c>
      <c r="N526" s="2">
        <v>46026</v>
      </c>
      <c r="O526" s="2" t="s">
        <v>22</v>
      </c>
      <c r="P526" s="4">
        <f t="shared" ca="1" si="50"/>
        <v>4</v>
      </c>
      <c r="Q526" s="4" t="str">
        <f t="shared" ca="1" si="51"/>
        <v>3-5 Years</v>
      </c>
      <c r="R526">
        <f t="shared" ca="1" si="53"/>
        <v>0</v>
      </c>
      <c r="S526" t="s">
        <v>22</v>
      </c>
      <c r="T526">
        <v>3</v>
      </c>
      <c r="U526" t="s">
        <v>1394</v>
      </c>
      <c r="V526" t="s">
        <v>1394</v>
      </c>
      <c r="W526" t="s">
        <v>1394</v>
      </c>
      <c r="X526" s="3">
        <v>1</v>
      </c>
      <c r="Y526" t="s">
        <v>1397</v>
      </c>
      <c r="Z526">
        <v>84159</v>
      </c>
      <c r="AA526">
        <v>0.15</v>
      </c>
      <c r="AB526">
        <v>96782.849999999991</v>
      </c>
    </row>
    <row r="527" spans="1:28" x14ac:dyDescent="0.35">
      <c r="A527" t="str">
        <f t="shared" si="48"/>
        <v>EMP0526</v>
      </c>
      <c r="B527" t="str" cm="1">
        <f t="array" ref="B527">_xlfn.IFS(
ROW()&lt;=421,"NA",
ROW()&lt;=781,"LATAM",
ROW()&lt;=1021,"EMEA",
TRUE,"APAC"
)</f>
        <v>LATAM</v>
      </c>
      <c r="C527" t="str">
        <f t="shared" si="49"/>
        <v>Mexico</v>
      </c>
      <c r="D527" t="s">
        <v>32</v>
      </c>
      <c r="E527" t="s">
        <v>380</v>
      </c>
      <c r="F527" t="s">
        <v>512</v>
      </c>
      <c r="G527" t="s">
        <v>28</v>
      </c>
      <c r="H527" s="2">
        <v>44486</v>
      </c>
      <c r="I527" t="s">
        <v>57</v>
      </c>
      <c r="J527" t="s">
        <v>33</v>
      </c>
      <c r="K527" t="str">
        <f t="shared" ca="1" si="52"/>
        <v>OK</v>
      </c>
      <c r="L527" t="s">
        <v>635</v>
      </c>
      <c r="M527">
        <v>5</v>
      </c>
      <c r="N527" s="2">
        <v>46073</v>
      </c>
      <c r="O527" s="2">
        <v>46071</v>
      </c>
      <c r="P527" s="4">
        <f t="shared" ca="1" si="50"/>
        <v>4</v>
      </c>
      <c r="Q527" s="4" t="str">
        <f t="shared" ca="1" si="51"/>
        <v>3-5 Years</v>
      </c>
      <c r="R527">
        <f t="shared" ca="1" si="53"/>
        <v>0</v>
      </c>
      <c r="S527" t="s">
        <v>23</v>
      </c>
      <c r="T527">
        <v>4</v>
      </c>
      <c r="U527" t="s">
        <v>1394</v>
      </c>
      <c r="V527" t="s">
        <v>1396</v>
      </c>
      <c r="W527" t="s">
        <v>1394</v>
      </c>
      <c r="X527" s="3">
        <v>5</v>
      </c>
      <c r="Y527" t="s">
        <v>1395</v>
      </c>
      <c r="Z527">
        <v>48603</v>
      </c>
      <c r="AA527">
        <v>0.1</v>
      </c>
      <c r="AB527">
        <v>53463.3</v>
      </c>
    </row>
    <row r="528" spans="1:28" x14ac:dyDescent="0.35">
      <c r="A528" t="str">
        <f t="shared" si="48"/>
        <v>EMP0527</v>
      </c>
      <c r="B528" t="str" cm="1">
        <f t="array" ref="B528">_xlfn.IFS(
ROW()&lt;=421,"NA",
ROW()&lt;=781,"LATAM",
ROW()&lt;=1021,"EMEA",
TRUE,"APAC"
)</f>
        <v>LATAM</v>
      </c>
      <c r="C528" t="str">
        <f t="shared" si="49"/>
        <v>Mexico</v>
      </c>
      <c r="D528" t="s">
        <v>26</v>
      </c>
      <c r="E528" t="s">
        <v>145</v>
      </c>
      <c r="F528" t="s">
        <v>156</v>
      </c>
      <c r="G528" t="s">
        <v>53</v>
      </c>
      <c r="H528" s="2">
        <v>44471</v>
      </c>
      <c r="I528" t="s">
        <v>29</v>
      </c>
      <c r="J528" t="s">
        <v>30</v>
      </c>
      <c r="K528" t="str">
        <f t="shared" ca="1" si="52"/>
        <v>OK</v>
      </c>
      <c r="L528" t="s">
        <v>359</v>
      </c>
      <c r="M528">
        <v>4</v>
      </c>
      <c r="N528" s="2">
        <v>46049</v>
      </c>
      <c r="O528" s="2" t="s">
        <v>22</v>
      </c>
      <c r="P528" s="4">
        <f t="shared" ca="1" si="50"/>
        <v>4</v>
      </c>
      <c r="Q528" s="4" t="str">
        <f t="shared" ca="1" si="51"/>
        <v>3-5 Years</v>
      </c>
      <c r="R528">
        <f t="shared" ca="1" si="53"/>
        <v>0</v>
      </c>
      <c r="S528" t="s">
        <v>22</v>
      </c>
      <c r="T528">
        <v>4</v>
      </c>
      <c r="U528" t="s">
        <v>1396</v>
      </c>
      <c r="V528" t="s">
        <v>1394</v>
      </c>
      <c r="W528" t="s">
        <v>1394</v>
      </c>
      <c r="X528" s="3">
        <v>4</v>
      </c>
      <c r="Y528" t="s">
        <v>1395</v>
      </c>
      <c r="Z528">
        <v>71862</v>
      </c>
      <c r="AA528">
        <v>0.15</v>
      </c>
      <c r="AB528">
        <v>82641.299999999988</v>
      </c>
    </row>
    <row r="529" spans="1:28" x14ac:dyDescent="0.35">
      <c r="A529" t="str">
        <f t="shared" si="48"/>
        <v>EMP0528</v>
      </c>
      <c r="B529" t="str" cm="1">
        <f t="array" ref="B529">_xlfn.IFS(
ROW()&lt;=421,"NA",
ROW()&lt;=781,"LATAM",
ROW()&lt;=1021,"EMEA",
TRUE,"APAC"
)</f>
        <v>LATAM</v>
      </c>
      <c r="C529" t="str">
        <f t="shared" si="49"/>
        <v>Mexico</v>
      </c>
      <c r="D529" t="s">
        <v>35</v>
      </c>
      <c r="E529" t="s">
        <v>69</v>
      </c>
      <c r="F529" t="s">
        <v>70</v>
      </c>
      <c r="G529" t="s">
        <v>28</v>
      </c>
      <c r="H529" s="2">
        <v>44470</v>
      </c>
      <c r="I529" t="s">
        <v>29</v>
      </c>
      <c r="J529" t="s">
        <v>36</v>
      </c>
      <c r="K529" t="str">
        <f t="shared" ca="1" si="52"/>
        <v>OK</v>
      </c>
      <c r="L529" t="s">
        <v>71</v>
      </c>
      <c r="M529">
        <v>3</v>
      </c>
      <c r="N529" s="2">
        <v>46009</v>
      </c>
      <c r="O529" s="2" t="s">
        <v>22</v>
      </c>
      <c r="P529" s="4">
        <f t="shared" ca="1" si="50"/>
        <v>4</v>
      </c>
      <c r="Q529" s="4" t="str">
        <f t="shared" ca="1" si="51"/>
        <v>3-5 Years</v>
      </c>
      <c r="R529">
        <f t="shared" ca="1" si="53"/>
        <v>0</v>
      </c>
      <c r="S529" t="s">
        <v>22</v>
      </c>
      <c r="T529">
        <v>3</v>
      </c>
      <c r="U529" t="s">
        <v>1394</v>
      </c>
      <c r="V529" t="s">
        <v>1394</v>
      </c>
      <c r="W529" t="s">
        <v>1394</v>
      </c>
      <c r="X529" s="3">
        <v>3</v>
      </c>
      <c r="Y529" t="s">
        <v>1398</v>
      </c>
      <c r="Z529">
        <v>103507</v>
      </c>
      <c r="AA529">
        <v>0.2</v>
      </c>
      <c r="AB529">
        <v>124208.4</v>
      </c>
    </row>
    <row r="530" spans="1:28" x14ac:dyDescent="0.35">
      <c r="A530" t="str">
        <f t="shared" si="48"/>
        <v>EMP0529</v>
      </c>
      <c r="B530" t="str" cm="1">
        <f t="array" ref="B530">_xlfn.IFS(
ROW()&lt;=421,"NA",
ROW()&lt;=781,"LATAM",
ROW()&lt;=1021,"EMEA",
TRUE,"APAC"
)</f>
        <v>LATAM</v>
      </c>
      <c r="C530" t="str">
        <f t="shared" si="49"/>
        <v>Mexico</v>
      </c>
      <c r="D530" t="s">
        <v>41</v>
      </c>
      <c r="E530" t="s">
        <v>380</v>
      </c>
      <c r="F530" t="s">
        <v>514</v>
      </c>
      <c r="G530" t="s">
        <v>28</v>
      </c>
      <c r="H530" s="2">
        <v>46059</v>
      </c>
      <c r="I530" t="s">
        <v>29</v>
      </c>
      <c r="J530" t="s">
        <v>42</v>
      </c>
      <c r="K530" t="str">
        <f t="shared" ca="1" si="52"/>
        <v>OK</v>
      </c>
      <c r="L530" t="s">
        <v>742</v>
      </c>
      <c r="M530">
        <v>5</v>
      </c>
      <c r="N530" s="2">
        <v>46043</v>
      </c>
      <c r="O530" s="2" t="s">
        <v>22</v>
      </c>
      <c r="P530" s="4">
        <f t="shared" ca="1" si="50"/>
        <v>0</v>
      </c>
      <c r="Q530" s="4" t="str">
        <f t="shared" ca="1" si="51"/>
        <v>0-2 Years</v>
      </c>
      <c r="R530">
        <f t="shared" ca="1" si="53"/>
        <v>1</v>
      </c>
      <c r="S530" t="s">
        <v>22</v>
      </c>
      <c r="T530">
        <v>4</v>
      </c>
      <c r="U530" t="s">
        <v>1394</v>
      </c>
      <c r="V530" t="s">
        <v>1394</v>
      </c>
      <c r="W530" t="s">
        <v>1394</v>
      </c>
      <c r="X530" s="3">
        <v>1</v>
      </c>
      <c r="Y530" t="s">
        <v>1397</v>
      </c>
      <c r="Z530">
        <v>43091</v>
      </c>
      <c r="AA530">
        <v>0.1</v>
      </c>
      <c r="AB530">
        <v>47400.100000000006</v>
      </c>
    </row>
    <row r="531" spans="1:28" x14ac:dyDescent="0.35">
      <c r="A531" t="str">
        <f t="shared" si="48"/>
        <v>EMP0530</v>
      </c>
      <c r="B531" t="str" cm="1">
        <f t="array" ref="B531">_xlfn.IFS(
ROW()&lt;=421,"NA",
ROW()&lt;=781,"LATAM",
ROW()&lt;=1021,"EMEA",
TRUE,"APAC"
)</f>
        <v>LATAM</v>
      </c>
      <c r="C531" t="str">
        <f t="shared" si="49"/>
        <v>Mexico</v>
      </c>
      <c r="D531" t="s">
        <v>35</v>
      </c>
      <c r="E531" t="s">
        <v>380</v>
      </c>
      <c r="F531" t="s">
        <v>518</v>
      </c>
      <c r="G531" t="s">
        <v>28</v>
      </c>
      <c r="H531" s="2">
        <v>44465</v>
      </c>
      <c r="I531" t="s">
        <v>29</v>
      </c>
      <c r="J531" t="s">
        <v>36</v>
      </c>
      <c r="K531" t="str">
        <f t="shared" ca="1" si="52"/>
        <v>OK</v>
      </c>
      <c r="L531" t="s">
        <v>542</v>
      </c>
      <c r="M531">
        <v>5</v>
      </c>
      <c r="N531" s="2">
        <v>46074</v>
      </c>
      <c r="O531" s="2" t="s">
        <v>22</v>
      </c>
      <c r="P531" s="4">
        <f t="shared" ca="1" si="50"/>
        <v>4</v>
      </c>
      <c r="Q531" s="4" t="str">
        <f t="shared" ca="1" si="51"/>
        <v>3-5 Years</v>
      </c>
      <c r="R531">
        <f t="shared" ca="1" si="53"/>
        <v>0</v>
      </c>
      <c r="S531" t="s">
        <v>22</v>
      </c>
      <c r="T531">
        <v>3</v>
      </c>
      <c r="U531" t="s">
        <v>1394</v>
      </c>
      <c r="V531" t="s">
        <v>1394</v>
      </c>
      <c r="W531" t="s">
        <v>1394</v>
      </c>
      <c r="X531" s="3">
        <v>3</v>
      </c>
      <c r="Y531" t="s">
        <v>1398</v>
      </c>
      <c r="Z531">
        <v>34955</v>
      </c>
      <c r="AA531">
        <v>0.1</v>
      </c>
      <c r="AB531">
        <v>38450.5</v>
      </c>
    </row>
    <row r="532" spans="1:28" x14ac:dyDescent="0.35">
      <c r="A532" t="str">
        <f t="shared" si="48"/>
        <v>EMP0531</v>
      </c>
      <c r="B532" t="str" cm="1">
        <f t="array" ref="B532">_xlfn.IFS(
ROW()&lt;=421,"NA",
ROW()&lt;=781,"LATAM",
ROW()&lt;=1021,"EMEA",
TRUE,"APAC"
)</f>
        <v>LATAM</v>
      </c>
      <c r="C532" t="str">
        <f t="shared" si="49"/>
        <v>Mexico</v>
      </c>
      <c r="D532" t="s">
        <v>38</v>
      </c>
      <c r="E532" t="s">
        <v>380</v>
      </c>
      <c r="F532" t="s">
        <v>429</v>
      </c>
      <c r="G532" t="s">
        <v>53</v>
      </c>
      <c r="H532" s="2">
        <v>44465</v>
      </c>
      <c r="I532" t="s">
        <v>29</v>
      </c>
      <c r="J532" t="s">
        <v>39</v>
      </c>
      <c r="K532" t="str">
        <f t="shared" ca="1" si="52"/>
        <v>OK</v>
      </c>
      <c r="L532" t="s">
        <v>1189</v>
      </c>
      <c r="M532">
        <v>5</v>
      </c>
      <c r="N532" s="2">
        <v>46018</v>
      </c>
      <c r="O532" s="2" t="s">
        <v>22</v>
      </c>
      <c r="P532" s="4">
        <f t="shared" ca="1" si="50"/>
        <v>4</v>
      </c>
      <c r="Q532" s="4" t="str">
        <f t="shared" ca="1" si="51"/>
        <v>3-5 Years</v>
      </c>
      <c r="R532">
        <f t="shared" ca="1" si="53"/>
        <v>0</v>
      </c>
      <c r="S532" t="s">
        <v>22</v>
      </c>
      <c r="T532">
        <v>3</v>
      </c>
      <c r="U532" t="s">
        <v>1394</v>
      </c>
      <c r="V532" t="s">
        <v>1394</v>
      </c>
      <c r="W532" t="s">
        <v>1394</v>
      </c>
      <c r="X532" s="3">
        <v>5</v>
      </c>
      <c r="Y532" t="s">
        <v>1395</v>
      </c>
      <c r="Z532">
        <v>45105</v>
      </c>
      <c r="AA532">
        <v>0.1</v>
      </c>
      <c r="AB532">
        <v>49615.500000000007</v>
      </c>
    </row>
    <row r="533" spans="1:28" x14ac:dyDescent="0.35">
      <c r="A533" t="str">
        <f t="shared" si="48"/>
        <v>EMP0532</v>
      </c>
      <c r="B533" t="str" cm="1">
        <f t="array" ref="B533">_xlfn.IFS(
ROW()&lt;=421,"NA",
ROW()&lt;=781,"LATAM",
ROW()&lt;=1021,"EMEA",
TRUE,"APAC"
)</f>
        <v>LATAM</v>
      </c>
      <c r="C533" t="str">
        <f t="shared" si="49"/>
        <v>Mexico</v>
      </c>
      <c r="D533" t="s">
        <v>26</v>
      </c>
      <c r="E533" t="s">
        <v>380</v>
      </c>
      <c r="F533" t="s">
        <v>611</v>
      </c>
      <c r="G533" t="s">
        <v>28</v>
      </c>
      <c r="H533" s="2">
        <v>44463</v>
      </c>
      <c r="I533" t="s">
        <v>29</v>
      </c>
      <c r="J533" t="s">
        <v>30</v>
      </c>
      <c r="K533" t="str">
        <f t="shared" ca="1" si="52"/>
        <v>OK</v>
      </c>
      <c r="L533" t="s">
        <v>1009</v>
      </c>
      <c r="M533">
        <v>5</v>
      </c>
      <c r="N533" s="2">
        <v>45997</v>
      </c>
      <c r="O533" s="2" t="s">
        <v>22</v>
      </c>
      <c r="P533" s="4">
        <f t="shared" ca="1" si="50"/>
        <v>4</v>
      </c>
      <c r="Q533" s="4" t="str">
        <f t="shared" ca="1" si="51"/>
        <v>3-5 Years</v>
      </c>
      <c r="R533">
        <f t="shared" ca="1" si="53"/>
        <v>0</v>
      </c>
      <c r="S533" t="s">
        <v>22</v>
      </c>
      <c r="T533">
        <v>2</v>
      </c>
      <c r="U533" t="s">
        <v>1394</v>
      </c>
      <c r="V533" t="s">
        <v>1394</v>
      </c>
      <c r="W533" t="s">
        <v>1394</v>
      </c>
      <c r="X533" s="3">
        <v>5</v>
      </c>
      <c r="Y533" t="s">
        <v>1395</v>
      </c>
      <c r="Z533">
        <v>41006</v>
      </c>
      <c r="AA533">
        <v>0.1</v>
      </c>
      <c r="AB533">
        <v>45106.600000000006</v>
      </c>
    </row>
    <row r="534" spans="1:28" x14ac:dyDescent="0.35">
      <c r="A534" t="str">
        <f t="shared" si="48"/>
        <v>EMP0533</v>
      </c>
      <c r="B534" t="str" cm="1">
        <f t="array" ref="B534">_xlfn.IFS(
ROW()&lt;=421,"NA",
ROW()&lt;=781,"LATAM",
ROW()&lt;=1021,"EMEA",
TRUE,"APAC"
)</f>
        <v>LATAM</v>
      </c>
      <c r="C534" t="str">
        <f t="shared" si="49"/>
        <v>Mexico</v>
      </c>
      <c r="D534" t="s">
        <v>38</v>
      </c>
      <c r="E534" t="s">
        <v>45</v>
      </c>
      <c r="F534" t="s">
        <v>49</v>
      </c>
      <c r="G534" t="s">
        <v>28</v>
      </c>
      <c r="H534" s="2">
        <v>44462</v>
      </c>
      <c r="I534" t="s">
        <v>29</v>
      </c>
      <c r="J534" t="s">
        <v>39</v>
      </c>
      <c r="K534" t="str">
        <f t="shared" ca="1" si="52"/>
        <v>OK</v>
      </c>
      <c r="L534" t="s">
        <v>64</v>
      </c>
      <c r="M534">
        <v>2</v>
      </c>
      <c r="N534" s="2">
        <v>46013</v>
      </c>
      <c r="O534" s="2" t="s">
        <v>22</v>
      </c>
      <c r="P534" s="4">
        <f t="shared" ca="1" si="50"/>
        <v>4</v>
      </c>
      <c r="Q534" s="4" t="str">
        <f t="shared" ca="1" si="51"/>
        <v>3-5 Years</v>
      </c>
      <c r="R534">
        <f t="shared" ca="1" si="53"/>
        <v>0</v>
      </c>
      <c r="S534" t="s">
        <v>22</v>
      </c>
      <c r="T534">
        <v>2</v>
      </c>
      <c r="U534" t="s">
        <v>1394</v>
      </c>
      <c r="V534" t="s">
        <v>1394</v>
      </c>
      <c r="W534" t="s">
        <v>1394</v>
      </c>
      <c r="X534" s="3">
        <v>1</v>
      </c>
      <c r="Y534" t="s">
        <v>1397</v>
      </c>
      <c r="Z534">
        <v>192882</v>
      </c>
      <c r="AA534">
        <v>0.25</v>
      </c>
      <c r="AB534">
        <v>241102.5</v>
      </c>
    </row>
    <row r="535" spans="1:28" x14ac:dyDescent="0.35">
      <c r="A535" t="str">
        <f t="shared" si="48"/>
        <v>EMP0534</v>
      </c>
      <c r="B535" t="str" cm="1">
        <f t="array" ref="B535">_xlfn.IFS(
ROW()&lt;=421,"NA",
ROW()&lt;=781,"LATAM",
ROW()&lt;=1021,"EMEA",
TRUE,"APAC"
)</f>
        <v>LATAM</v>
      </c>
      <c r="C535" t="str">
        <f t="shared" si="49"/>
        <v>Mexico</v>
      </c>
      <c r="D535" t="s">
        <v>26</v>
      </c>
      <c r="E535" t="s">
        <v>145</v>
      </c>
      <c r="F535" t="s">
        <v>196</v>
      </c>
      <c r="G535" t="s">
        <v>28</v>
      </c>
      <c r="H535" s="2">
        <v>44452</v>
      </c>
      <c r="I535" t="s">
        <v>29</v>
      </c>
      <c r="J535" t="s">
        <v>30</v>
      </c>
      <c r="K535" t="str">
        <f t="shared" ca="1" si="52"/>
        <v>OK</v>
      </c>
      <c r="L535" t="s">
        <v>197</v>
      </c>
      <c r="M535">
        <v>4</v>
      </c>
      <c r="N535" s="2">
        <v>45990</v>
      </c>
      <c r="O535" s="2" t="s">
        <v>22</v>
      </c>
      <c r="P535" s="4">
        <f t="shared" ca="1" si="50"/>
        <v>4</v>
      </c>
      <c r="Q535" s="4" t="str">
        <f t="shared" ca="1" si="51"/>
        <v>3-5 Years</v>
      </c>
      <c r="R535">
        <f t="shared" ca="1" si="53"/>
        <v>0</v>
      </c>
      <c r="S535" t="s">
        <v>22</v>
      </c>
      <c r="T535">
        <v>4</v>
      </c>
      <c r="U535" t="s">
        <v>1394</v>
      </c>
      <c r="V535" t="s">
        <v>1394</v>
      </c>
      <c r="W535" t="s">
        <v>1394</v>
      </c>
      <c r="X535" s="3">
        <v>1</v>
      </c>
      <c r="Y535" t="s">
        <v>1397</v>
      </c>
      <c r="Z535">
        <v>83368</v>
      </c>
      <c r="AA535">
        <v>0.15</v>
      </c>
      <c r="AB535">
        <v>95873.2</v>
      </c>
    </row>
    <row r="536" spans="1:28" x14ac:dyDescent="0.35">
      <c r="A536" t="str">
        <f t="shared" si="48"/>
        <v>EMP0535</v>
      </c>
      <c r="B536" t="str" cm="1">
        <f t="array" ref="B536">_xlfn.IFS(
ROW()&lt;=421,"NA",
ROW()&lt;=781,"LATAM",
ROW()&lt;=1021,"EMEA",
TRUE,"APAC"
)</f>
        <v>LATAM</v>
      </c>
      <c r="C536" t="str">
        <f t="shared" si="49"/>
        <v>Mexico</v>
      </c>
      <c r="D536" t="s">
        <v>38</v>
      </c>
      <c r="E536" t="s">
        <v>380</v>
      </c>
      <c r="F536" t="s">
        <v>393</v>
      </c>
      <c r="G536" t="s">
        <v>28</v>
      </c>
      <c r="H536" s="2">
        <v>44451</v>
      </c>
      <c r="I536" t="s">
        <v>29</v>
      </c>
      <c r="J536" t="s">
        <v>39</v>
      </c>
      <c r="K536" t="str">
        <f t="shared" ca="1" si="52"/>
        <v>OK</v>
      </c>
      <c r="L536" t="s">
        <v>1306</v>
      </c>
      <c r="M536">
        <v>5</v>
      </c>
      <c r="N536" s="2">
        <v>46062</v>
      </c>
      <c r="O536" s="2" t="s">
        <v>22</v>
      </c>
      <c r="P536" s="4">
        <f t="shared" ca="1" si="50"/>
        <v>4</v>
      </c>
      <c r="Q536" s="4" t="str">
        <f t="shared" ca="1" si="51"/>
        <v>3-5 Years</v>
      </c>
      <c r="R536">
        <f t="shared" ca="1" si="53"/>
        <v>0</v>
      </c>
      <c r="S536" t="s">
        <v>22</v>
      </c>
      <c r="T536">
        <v>3</v>
      </c>
      <c r="U536" t="s">
        <v>1394</v>
      </c>
      <c r="V536" t="s">
        <v>1394</v>
      </c>
      <c r="W536" t="s">
        <v>1394</v>
      </c>
      <c r="X536" s="3">
        <v>5</v>
      </c>
      <c r="Y536" t="s">
        <v>1395</v>
      </c>
      <c r="Z536">
        <v>40652</v>
      </c>
      <c r="AA536">
        <v>0.1</v>
      </c>
      <c r="AB536">
        <v>44717.200000000004</v>
      </c>
    </row>
    <row r="537" spans="1:28" x14ac:dyDescent="0.35">
      <c r="A537" t="str">
        <f t="shared" si="48"/>
        <v>EMP0536</v>
      </c>
      <c r="B537" t="str" cm="1">
        <f t="array" ref="B537">_xlfn.IFS(
ROW()&lt;=421,"NA",
ROW()&lt;=781,"LATAM",
ROW()&lt;=1021,"EMEA",
TRUE,"APAC"
)</f>
        <v>LATAM</v>
      </c>
      <c r="C537" t="str">
        <f t="shared" si="49"/>
        <v>Mexico</v>
      </c>
      <c r="D537" t="s">
        <v>38</v>
      </c>
      <c r="E537" t="s">
        <v>145</v>
      </c>
      <c r="F537" t="s">
        <v>188</v>
      </c>
      <c r="G537" t="s">
        <v>28</v>
      </c>
      <c r="H537" s="2">
        <v>44445</v>
      </c>
      <c r="I537" t="s">
        <v>57</v>
      </c>
      <c r="J537" t="s">
        <v>39</v>
      </c>
      <c r="K537" t="str">
        <f t="shared" ca="1" si="52"/>
        <v>OK</v>
      </c>
      <c r="L537" t="s">
        <v>376</v>
      </c>
      <c r="M537">
        <v>4</v>
      </c>
      <c r="N537" s="2">
        <v>46014</v>
      </c>
      <c r="O537" s="2">
        <v>46071</v>
      </c>
      <c r="P537" s="4">
        <f t="shared" ca="1" si="50"/>
        <v>4</v>
      </c>
      <c r="Q537" s="4" t="str">
        <f t="shared" ca="1" si="51"/>
        <v>3-5 Years</v>
      </c>
      <c r="R537">
        <f t="shared" ca="1" si="53"/>
        <v>0</v>
      </c>
      <c r="S537" t="s">
        <v>23</v>
      </c>
      <c r="T537">
        <v>3</v>
      </c>
      <c r="U537" t="s">
        <v>1394</v>
      </c>
      <c r="V537" t="s">
        <v>1394</v>
      </c>
      <c r="W537" t="s">
        <v>1394</v>
      </c>
      <c r="X537" s="3">
        <v>2</v>
      </c>
      <c r="Y537" t="s">
        <v>1397</v>
      </c>
      <c r="Z537">
        <v>75374</v>
      </c>
      <c r="AA537">
        <v>0.15</v>
      </c>
      <c r="AB537">
        <v>86680.099999999991</v>
      </c>
    </row>
    <row r="538" spans="1:28" x14ac:dyDescent="0.35">
      <c r="A538" t="str">
        <f t="shared" si="48"/>
        <v>EMP0537</v>
      </c>
      <c r="B538" t="str" cm="1">
        <f t="array" ref="B538">_xlfn.IFS(
ROW()&lt;=421,"NA",
ROW()&lt;=781,"LATAM",
ROW()&lt;=1021,"EMEA",
TRUE,"APAC"
)</f>
        <v>LATAM</v>
      </c>
      <c r="C538" t="str">
        <f t="shared" si="49"/>
        <v>Mexico</v>
      </c>
      <c r="D538" t="s">
        <v>26</v>
      </c>
      <c r="E538" t="s">
        <v>145</v>
      </c>
      <c r="F538" t="s">
        <v>306</v>
      </c>
      <c r="G538" t="s">
        <v>28</v>
      </c>
      <c r="H538" s="2">
        <v>44436</v>
      </c>
      <c r="I538" t="s">
        <v>29</v>
      </c>
      <c r="J538" t="s">
        <v>30</v>
      </c>
      <c r="K538" t="str">
        <f t="shared" ca="1" si="52"/>
        <v>OK</v>
      </c>
      <c r="L538" t="s">
        <v>328</v>
      </c>
      <c r="M538">
        <v>4</v>
      </c>
      <c r="N538" s="2">
        <v>46065</v>
      </c>
      <c r="O538" s="2" t="s">
        <v>22</v>
      </c>
      <c r="P538" s="4">
        <f t="shared" ca="1" si="50"/>
        <v>4</v>
      </c>
      <c r="Q538" s="4" t="str">
        <f t="shared" ca="1" si="51"/>
        <v>3-5 Years</v>
      </c>
      <c r="R538">
        <f t="shared" ca="1" si="53"/>
        <v>0</v>
      </c>
      <c r="S538" t="s">
        <v>22</v>
      </c>
      <c r="T538">
        <v>4</v>
      </c>
      <c r="U538" t="s">
        <v>1394</v>
      </c>
      <c r="V538" t="s">
        <v>1396</v>
      </c>
      <c r="W538" t="s">
        <v>1394</v>
      </c>
      <c r="X538" s="3">
        <v>4</v>
      </c>
      <c r="Y538" t="s">
        <v>1395</v>
      </c>
      <c r="Z538">
        <v>54054</v>
      </c>
      <c r="AA538">
        <v>0.15</v>
      </c>
      <c r="AB538">
        <v>62162.1</v>
      </c>
    </row>
    <row r="539" spans="1:28" x14ac:dyDescent="0.35">
      <c r="A539" t="str">
        <f t="shared" si="48"/>
        <v>EMP0538</v>
      </c>
      <c r="B539" t="str" cm="1">
        <f t="array" ref="B539">_xlfn.IFS(
ROW()&lt;=421,"NA",
ROW()&lt;=781,"LATAM",
ROW()&lt;=1021,"EMEA",
TRUE,"APAC"
)</f>
        <v>LATAM</v>
      </c>
      <c r="C539" t="str">
        <f t="shared" si="49"/>
        <v>Mexico</v>
      </c>
      <c r="D539" t="s">
        <v>32</v>
      </c>
      <c r="E539" t="s">
        <v>69</v>
      </c>
      <c r="F539" t="s">
        <v>101</v>
      </c>
      <c r="G539" t="s">
        <v>28</v>
      </c>
      <c r="H539" s="2">
        <v>44435</v>
      </c>
      <c r="I539" t="s">
        <v>29</v>
      </c>
      <c r="J539" t="s">
        <v>33</v>
      </c>
      <c r="K539" t="str">
        <f t="shared" ca="1" si="52"/>
        <v>OK</v>
      </c>
      <c r="L539" t="s">
        <v>138</v>
      </c>
      <c r="M539">
        <v>3</v>
      </c>
      <c r="N539" s="2">
        <v>46045</v>
      </c>
      <c r="O539" s="2" t="s">
        <v>22</v>
      </c>
      <c r="P539" s="4">
        <f t="shared" ca="1" si="50"/>
        <v>4</v>
      </c>
      <c r="Q539" s="4" t="str">
        <f t="shared" ca="1" si="51"/>
        <v>3-5 Years</v>
      </c>
      <c r="R539">
        <f t="shared" ca="1" si="53"/>
        <v>0</v>
      </c>
      <c r="S539" t="s">
        <v>22</v>
      </c>
      <c r="T539">
        <v>5</v>
      </c>
      <c r="U539" t="s">
        <v>1394</v>
      </c>
      <c r="V539" t="s">
        <v>1394</v>
      </c>
      <c r="W539" t="s">
        <v>1394</v>
      </c>
      <c r="X539" s="3">
        <v>5</v>
      </c>
      <c r="Y539" t="s">
        <v>1395</v>
      </c>
      <c r="Z539">
        <v>117173</v>
      </c>
      <c r="AA539">
        <v>0.2</v>
      </c>
      <c r="AB539">
        <v>140607.6</v>
      </c>
    </row>
    <row r="540" spans="1:28" x14ac:dyDescent="0.35">
      <c r="A540" t="str">
        <f t="shared" si="48"/>
        <v>EMP0539</v>
      </c>
      <c r="B540" t="str" cm="1">
        <f t="array" ref="B540">_xlfn.IFS(
ROW()&lt;=421,"NA",
ROW()&lt;=781,"LATAM",
ROW()&lt;=1021,"EMEA",
TRUE,"APAC"
)</f>
        <v>LATAM</v>
      </c>
      <c r="C540" t="str">
        <f t="shared" si="49"/>
        <v>Mexico</v>
      </c>
      <c r="D540" t="s">
        <v>38</v>
      </c>
      <c r="E540" t="s">
        <v>380</v>
      </c>
      <c r="F540" t="s">
        <v>508</v>
      </c>
      <c r="G540" t="s">
        <v>28</v>
      </c>
      <c r="H540" s="2">
        <v>44434</v>
      </c>
      <c r="I540" t="s">
        <v>29</v>
      </c>
      <c r="J540" t="s">
        <v>39</v>
      </c>
      <c r="K540" t="str">
        <f t="shared" ca="1" si="52"/>
        <v>OK</v>
      </c>
      <c r="L540" t="s">
        <v>878</v>
      </c>
      <c r="M540">
        <v>5</v>
      </c>
      <c r="N540" s="2">
        <v>45990</v>
      </c>
      <c r="O540" s="2" t="s">
        <v>22</v>
      </c>
      <c r="P540" s="4">
        <f t="shared" ca="1" si="50"/>
        <v>4</v>
      </c>
      <c r="Q540" s="4" t="str">
        <f t="shared" ca="1" si="51"/>
        <v>3-5 Years</v>
      </c>
      <c r="R540">
        <f t="shared" ca="1" si="53"/>
        <v>0</v>
      </c>
      <c r="S540" t="s">
        <v>22</v>
      </c>
      <c r="T540">
        <v>4</v>
      </c>
      <c r="U540" t="s">
        <v>1396</v>
      </c>
      <c r="V540" t="s">
        <v>1394</v>
      </c>
      <c r="W540" t="s">
        <v>1394</v>
      </c>
      <c r="X540" s="3">
        <v>5</v>
      </c>
      <c r="Y540" t="s">
        <v>1395</v>
      </c>
      <c r="Z540">
        <v>49275</v>
      </c>
      <c r="AA540">
        <v>0.1</v>
      </c>
      <c r="AB540">
        <v>54202.500000000007</v>
      </c>
    </row>
    <row r="541" spans="1:28" x14ac:dyDescent="0.35">
      <c r="A541" t="str">
        <f t="shared" si="48"/>
        <v>EMP0540</v>
      </c>
      <c r="B541" t="str" cm="1">
        <f t="array" ref="B541">_xlfn.IFS(
ROW()&lt;=421,"NA",
ROW()&lt;=781,"LATAM",
ROW()&lt;=1021,"EMEA",
TRUE,"APAC"
)</f>
        <v>LATAM</v>
      </c>
      <c r="C541" t="str">
        <f t="shared" si="49"/>
        <v>Mexico</v>
      </c>
      <c r="D541" t="s">
        <v>41</v>
      </c>
      <c r="E541" t="s">
        <v>145</v>
      </c>
      <c r="F541" t="s">
        <v>170</v>
      </c>
      <c r="G541" t="s">
        <v>28</v>
      </c>
      <c r="H541" s="2">
        <v>46072</v>
      </c>
      <c r="I541" t="s">
        <v>29</v>
      </c>
      <c r="J541" t="s">
        <v>42</v>
      </c>
      <c r="K541" t="str">
        <f t="shared" ca="1" si="52"/>
        <v>OK</v>
      </c>
      <c r="L541" t="s">
        <v>266</v>
      </c>
      <c r="M541">
        <v>4</v>
      </c>
      <c r="N541" s="2">
        <v>46067</v>
      </c>
      <c r="O541" s="2" t="s">
        <v>22</v>
      </c>
      <c r="P541" s="4">
        <f t="shared" ca="1" si="50"/>
        <v>0</v>
      </c>
      <c r="Q541" s="4" t="str">
        <f t="shared" ca="1" si="51"/>
        <v>0-2 Years</v>
      </c>
      <c r="R541">
        <f t="shared" ca="1" si="53"/>
        <v>1</v>
      </c>
      <c r="S541" t="s">
        <v>22</v>
      </c>
      <c r="T541">
        <v>5</v>
      </c>
      <c r="U541" t="s">
        <v>1394</v>
      </c>
      <c r="V541" t="s">
        <v>1394</v>
      </c>
      <c r="W541" t="s">
        <v>1394</v>
      </c>
      <c r="X541" s="3">
        <v>4</v>
      </c>
      <c r="Y541" t="s">
        <v>1395</v>
      </c>
      <c r="Z541">
        <v>77901</v>
      </c>
      <c r="AA541">
        <v>0.15</v>
      </c>
      <c r="AB541">
        <v>89586.15</v>
      </c>
    </row>
    <row r="542" spans="1:28" x14ac:dyDescent="0.35">
      <c r="A542" t="str">
        <f t="shared" si="48"/>
        <v>EMP0541</v>
      </c>
      <c r="B542" t="str" cm="1">
        <f t="array" ref="B542">_xlfn.IFS(
ROW()&lt;=421,"NA",
ROW()&lt;=781,"LATAM",
ROW()&lt;=1021,"EMEA",
TRUE,"APAC"
)</f>
        <v>LATAM</v>
      </c>
      <c r="C542" t="str">
        <f t="shared" si="49"/>
        <v>Mexico</v>
      </c>
      <c r="D542" t="s">
        <v>32</v>
      </c>
      <c r="E542" t="s">
        <v>380</v>
      </c>
      <c r="F542" t="s">
        <v>452</v>
      </c>
      <c r="G542" t="s">
        <v>28</v>
      </c>
      <c r="H542" s="2">
        <v>44426</v>
      </c>
      <c r="I542" t="s">
        <v>29</v>
      </c>
      <c r="J542" t="s">
        <v>33</v>
      </c>
      <c r="K542" t="str">
        <f t="shared" ca="1" si="52"/>
        <v>OK</v>
      </c>
      <c r="L542" t="s">
        <v>1079</v>
      </c>
      <c r="M542">
        <v>5</v>
      </c>
      <c r="N542" s="2">
        <v>46011</v>
      </c>
      <c r="O542" s="2" t="s">
        <v>22</v>
      </c>
      <c r="P542" s="4">
        <f t="shared" ca="1" si="50"/>
        <v>4</v>
      </c>
      <c r="Q542" s="4" t="str">
        <f t="shared" ca="1" si="51"/>
        <v>3-5 Years</v>
      </c>
      <c r="R542">
        <f t="shared" ca="1" si="53"/>
        <v>0</v>
      </c>
      <c r="S542" t="s">
        <v>22</v>
      </c>
      <c r="T542">
        <v>4</v>
      </c>
      <c r="U542" t="s">
        <v>1394</v>
      </c>
      <c r="V542" t="s">
        <v>1396</v>
      </c>
      <c r="W542" t="s">
        <v>1394</v>
      </c>
      <c r="X542" s="3">
        <v>1</v>
      </c>
      <c r="Y542" t="s">
        <v>1397</v>
      </c>
      <c r="Z542">
        <v>31294</v>
      </c>
      <c r="AA542">
        <v>0.1</v>
      </c>
      <c r="AB542">
        <v>34423.4</v>
      </c>
    </row>
    <row r="543" spans="1:28" x14ac:dyDescent="0.35">
      <c r="A543" t="str">
        <f t="shared" si="48"/>
        <v>EMP0542</v>
      </c>
      <c r="B543" t="str" cm="1">
        <f t="array" ref="B543">_xlfn.IFS(
ROW()&lt;=421,"NA",
ROW()&lt;=781,"LATAM",
ROW()&lt;=1021,"EMEA",
TRUE,"APAC"
)</f>
        <v>LATAM</v>
      </c>
      <c r="C543" t="str">
        <f t="shared" si="49"/>
        <v>Mexico</v>
      </c>
      <c r="D543" t="s">
        <v>44</v>
      </c>
      <c r="E543" t="s">
        <v>380</v>
      </c>
      <c r="F543" t="s">
        <v>383</v>
      </c>
      <c r="G543" t="s">
        <v>28</v>
      </c>
      <c r="H543" s="2">
        <v>44422</v>
      </c>
      <c r="I543" t="s">
        <v>29</v>
      </c>
      <c r="J543" t="s">
        <v>47</v>
      </c>
      <c r="K543" t="str">
        <f t="shared" ca="1" si="52"/>
        <v>OK</v>
      </c>
      <c r="L543" t="s">
        <v>538</v>
      </c>
      <c r="M543">
        <v>5</v>
      </c>
      <c r="N543" s="2">
        <v>46037</v>
      </c>
      <c r="O543" s="2" t="s">
        <v>22</v>
      </c>
      <c r="P543" s="4">
        <f t="shared" ca="1" si="50"/>
        <v>4</v>
      </c>
      <c r="Q543" s="4" t="str">
        <f t="shared" ca="1" si="51"/>
        <v>3-5 Years</v>
      </c>
      <c r="R543">
        <f t="shared" ca="1" si="53"/>
        <v>0</v>
      </c>
      <c r="S543" t="s">
        <v>22</v>
      </c>
      <c r="T543">
        <v>2</v>
      </c>
      <c r="U543" t="s">
        <v>1394</v>
      </c>
      <c r="V543" t="s">
        <v>1394</v>
      </c>
      <c r="W543" t="s">
        <v>1394</v>
      </c>
      <c r="X543" s="3">
        <v>5</v>
      </c>
      <c r="Y543" t="s">
        <v>1395</v>
      </c>
      <c r="Z543">
        <v>24253</v>
      </c>
      <c r="AA543">
        <v>0.1</v>
      </c>
      <c r="AB543">
        <v>26678.300000000003</v>
      </c>
    </row>
    <row r="544" spans="1:28" x14ac:dyDescent="0.35">
      <c r="A544" t="str">
        <f t="shared" si="48"/>
        <v>EMP0543</v>
      </c>
      <c r="B544" t="str" cm="1">
        <f t="array" ref="B544">_xlfn.IFS(
ROW()&lt;=421,"NA",
ROW()&lt;=781,"LATAM",
ROW()&lt;=1021,"EMEA",
TRUE,"APAC"
)</f>
        <v>LATAM</v>
      </c>
      <c r="C544" t="str">
        <f t="shared" si="49"/>
        <v>Mexico</v>
      </c>
      <c r="D544" t="s">
        <v>32</v>
      </c>
      <c r="E544" t="s">
        <v>380</v>
      </c>
      <c r="F544" t="s">
        <v>508</v>
      </c>
      <c r="G544" t="s">
        <v>28</v>
      </c>
      <c r="H544" s="2">
        <v>44420</v>
      </c>
      <c r="I544" t="s">
        <v>29</v>
      </c>
      <c r="J544" t="s">
        <v>33</v>
      </c>
      <c r="K544" t="str">
        <f t="shared" ca="1" si="52"/>
        <v>OK</v>
      </c>
      <c r="L544" t="s">
        <v>1367</v>
      </c>
      <c r="M544">
        <v>5</v>
      </c>
      <c r="N544" s="2">
        <v>46056</v>
      </c>
      <c r="O544" s="2" t="s">
        <v>22</v>
      </c>
      <c r="P544" s="4">
        <f t="shared" ca="1" si="50"/>
        <v>4</v>
      </c>
      <c r="Q544" s="4" t="str">
        <f t="shared" ca="1" si="51"/>
        <v>3-5 Years</v>
      </c>
      <c r="R544">
        <f t="shared" ca="1" si="53"/>
        <v>0</v>
      </c>
      <c r="S544" t="s">
        <v>22</v>
      </c>
      <c r="T544">
        <v>3</v>
      </c>
      <c r="U544" t="s">
        <v>1394</v>
      </c>
      <c r="V544" t="s">
        <v>1394</v>
      </c>
      <c r="W544" t="s">
        <v>1394</v>
      </c>
      <c r="X544" s="3">
        <v>5</v>
      </c>
      <c r="Y544" t="s">
        <v>1395</v>
      </c>
      <c r="Z544">
        <v>48059</v>
      </c>
      <c r="AA544">
        <v>0.1</v>
      </c>
      <c r="AB544">
        <v>52864.9</v>
      </c>
    </row>
    <row r="545" spans="1:28" x14ac:dyDescent="0.35">
      <c r="A545" t="str">
        <f t="shared" si="48"/>
        <v>EMP0544</v>
      </c>
      <c r="B545" t="str" cm="1">
        <f t="array" ref="B545">_xlfn.IFS(
ROW()&lt;=421,"NA",
ROW()&lt;=781,"LATAM",
ROW()&lt;=1021,"EMEA",
TRUE,"APAC"
)</f>
        <v>LATAM</v>
      </c>
      <c r="C545" t="str">
        <f t="shared" si="49"/>
        <v>Mexico</v>
      </c>
      <c r="D545" t="s">
        <v>38</v>
      </c>
      <c r="E545" t="s">
        <v>380</v>
      </c>
      <c r="F545" t="s">
        <v>851</v>
      </c>
      <c r="G545" t="s">
        <v>28</v>
      </c>
      <c r="H545" s="2">
        <v>44419</v>
      </c>
      <c r="I545" t="s">
        <v>29</v>
      </c>
      <c r="J545" t="s">
        <v>39</v>
      </c>
      <c r="K545" t="str">
        <f t="shared" ca="1" si="52"/>
        <v>OK</v>
      </c>
      <c r="L545" t="s">
        <v>1330</v>
      </c>
      <c r="M545">
        <v>5</v>
      </c>
      <c r="N545" s="2">
        <v>46040</v>
      </c>
      <c r="O545" s="2" t="s">
        <v>22</v>
      </c>
      <c r="P545" s="4">
        <f t="shared" ca="1" si="50"/>
        <v>4</v>
      </c>
      <c r="Q545" s="4" t="str">
        <f t="shared" ca="1" si="51"/>
        <v>3-5 Years</v>
      </c>
      <c r="R545">
        <f t="shared" ca="1" si="53"/>
        <v>0</v>
      </c>
      <c r="S545" t="s">
        <v>22</v>
      </c>
      <c r="T545">
        <v>2</v>
      </c>
      <c r="U545" t="s">
        <v>1396</v>
      </c>
      <c r="V545" t="s">
        <v>1394</v>
      </c>
      <c r="W545" t="s">
        <v>1394</v>
      </c>
      <c r="X545" s="3">
        <v>1</v>
      </c>
      <c r="Y545" t="s">
        <v>1397</v>
      </c>
      <c r="Z545">
        <v>32706</v>
      </c>
      <c r="AA545">
        <v>0.1</v>
      </c>
      <c r="AB545">
        <v>35976.600000000006</v>
      </c>
    </row>
    <row r="546" spans="1:28" x14ac:dyDescent="0.35">
      <c r="A546" t="str">
        <f t="shared" si="48"/>
        <v>EMP0545</v>
      </c>
      <c r="B546" t="str" cm="1">
        <f t="array" ref="B546">_xlfn.IFS(
ROW()&lt;=421,"NA",
ROW()&lt;=781,"LATAM",
ROW()&lt;=1021,"EMEA",
TRUE,"APAC"
)</f>
        <v>LATAM</v>
      </c>
      <c r="C546" t="str">
        <f t="shared" si="49"/>
        <v>Mexico</v>
      </c>
      <c r="D546" t="s">
        <v>38</v>
      </c>
      <c r="E546" t="s">
        <v>380</v>
      </c>
      <c r="F546" t="s">
        <v>535</v>
      </c>
      <c r="G546" t="s">
        <v>28</v>
      </c>
      <c r="H546" s="2">
        <v>44415</v>
      </c>
      <c r="I546" t="s">
        <v>29</v>
      </c>
      <c r="J546" t="s">
        <v>39</v>
      </c>
      <c r="K546" t="str">
        <f t="shared" ca="1" si="52"/>
        <v>OK</v>
      </c>
      <c r="L546" t="s">
        <v>536</v>
      </c>
      <c r="M546">
        <v>5</v>
      </c>
      <c r="N546" s="2">
        <v>46044</v>
      </c>
      <c r="O546" s="2" t="s">
        <v>22</v>
      </c>
      <c r="P546" s="4">
        <f t="shared" ca="1" si="50"/>
        <v>4</v>
      </c>
      <c r="Q546" s="4" t="str">
        <f t="shared" ca="1" si="51"/>
        <v>3-5 Years</v>
      </c>
      <c r="R546">
        <f t="shared" ca="1" si="53"/>
        <v>0</v>
      </c>
      <c r="S546" t="s">
        <v>22</v>
      </c>
      <c r="T546">
        <v>4</v>
      </c>
      <c r="U546" t="s">
        <v>1394</v>
      </c>
      <c r="V546" t="s">
        <v>1394</v>
      </c>
      <c r="W546" t="s">
        <v>1394</v>
      </c>
      <c r="X546" s="3">
        <v>2</v>
      </c>
      <c r="Y546" t="s">
        <v>1397</v>
      </c>
      <c r="Z546">
        <v>31823</v>
      </c>
      <c r="AA546">
        <v>0.1</v>
      </c>
      <c r="AB546">
        <v>35005.300000000003</v>
      </c>
    </row>
    <row r="547" spans="1:28" x14ac:dyDescent="0.35">
      <c r="A547" t="str">
        <f t="shared" si="48"/>
        <v>EMP0546</v>
      </c>
      <c r="B547" t="str" cm="1">
        <f t="array" ref="B547">_xlfn.IFS(
ROW()&lt;=421,"NA",
ROW()&lt;=781,"LATAM",
ROW()&lt;=1021,"EMEA",
TRUE,"APAC"
)</f>
        <v>LATAM</v>
      </c>
      <c r="C547" t="str">
        <f t="shared" si="49"/>
        <v>Mexico</v>
      </c>
      <c r="D547" t="s">
        <v>26</v>
      </c>
      <c r="E547" t="s">
        <v>380</v>
      </c>
      <c r="F547" t="s">
        <v>510</v>
      </c>
      <c r="G547" t="s">
        <v>28</v>
      </c>
      <c r="H547" s="2">
        <v>44411</v>
      </c>
      <c r="I547" t="s">
        <v>29</v>
      </c>
      <c r="J547" t="s">
        <v>30</v>
      </c>
      <c r="K547" t="str">
        <f t="shared" ca="1" si="52"/>
        <v>OK</v>
      </c>
      <c r="L547" t="s">
        <v>738</v>
      </c>
      <c r="M547">
        <v>5</v>
      </c>
      <c r="N547" s="2">
        <v>46073</v>
      </c>
      <c r="O547" s="2" t="s">
        <v>22</v>
      </c>
      <c r="P547" s="4">
        <f t="shared" ca="1" si="50"/>
        <v>4</v>
      </c>
      <c r="Q547" s="4" t="str">
        <f t="shared" ca="1" si="51"/>
        <v>3-5 Years</v>
      </c>
      <c r="R547">
        <f t="shared" ca="1" si="53"/>
        <v>0</v>
      </c>
      <c r="S547" t="s">
        <v>22</v>
      </c>
      <c r="T547">
        <v>4</v>
      </c>
      <c r="U547" t="s">
        <v>1394</v>
      </c>
      <c r="V547" t="s">
        <v>1396</v>
      </c>
      <c r="W547" t="s">
        <v>1394</v>
      </c>
      <c r="X547" s="3">
        <v>3</v>
      </c>
      <c r="Y547" t="s">
        <v>1398</v>
      </c>
      <c r="Z547">
        <v>28835</v>
      </c>
      <c r="AA547">
        <v>0.1</v>
      </c>
      <c r="AB547">
        <v>31718.500000000004</v>
      </c>
    </row>
    <row r="548" spans="1:28" x14ac:dyDescent="0.35">
      <c r="A548" t="str">
        <f t="shared" si="48"/>
        <v>EMP0547</v>
      </c>
      <c r="B548" t="str" cm="1">
        <f t="array" ref="B548">_xlfn.IFS(
ROW()&lt;=421,"NA",
ROW()&lt;=781,"LATAM",
ROW()&lt;=1021,"EMEA",
TRUE,"APAC"
)</f>
        <v>LATAM</v>
      </c>
      <c r="C548" t="str">
        <f t="shared" si="49"/>
        <v>Mexico</v>
      </c>
      <c r="D548" t="s">
        <v>38</v>
      </c>
      <c r="E548" t="s">
        <v>380</v>
      </c>
      <c r="F548" t="s">
        <v>663</v>
      </c>
      <c r="G548" t="s">
        <v>28</v>
      </c>
      <c r="H548" s="2">
        <v>44402</v>
      </c>
      <c r="I548" t="s">
        <v>57</v>
      </c>
      <c r="J548" t="s">
        <v>39</v>
      </c>
      <c r="K548" t="str">
        <f t="shared" ca="1" si="52"/>
        <v>OK</v>
      </c>
      <c r="L548" t="s">
        <v>734</v>
      </c>
      <c r="M548">
        <v>5</v>
      </c>
      <c r="N548" s="2">
        <v>46017</v>
      </c>
      <c r="O548" s="2">
        <v>46071</v>
      </c>
      <c r="P548" s="4">
        <f t="shared" ca="1" si="50"/>
        <v>4</v>
      </c>
      <c r="Q548" s="4" t="str">
        <f t="shared" ca="1" si="51"/>
        <v>3-5 Years</v>
      </c>
      <c r="R548">
        <f t="shared" ca="1" si="53"/>
        <v>0</v>
      </c>
      <c r="S548" t="s">
        <v>23</v>
      </c>
      <c r="T548">
        <v>4</v>
      </c>
      <c r="U548" t="s">
        <v>1394</v>
      </c>
      <c r="V548" t="s">
        <v>1394</v>
      </c>
      <c r="W548" t="s">
        <v>1394</v>
      </c>
      <c r="X548" s="3">
        <v>2</v>
      </c>
      <c r="Y548" t="s">
        <v>1397</v>
      </c>
      <c r="Z548">
        <v>32116</v>
      </c>
      <c r="AA548">
        <v>0.1</v>
      </c>
      <c r="AB548">
        <v>35327.600000000006</v>
      </c>
    </row>
    <row r="549" spans="1:28" x14ac:dyDescent="0.35">
      <c r="A549" t="str">
        <f t="shared" si="48"/>
        <v>EMP0548</v>
      </c>
      <c r="B549" t="str" cm="1">
        <f t="array" ref="B549">_xlfn.IFS(
ROW()&lt;=421,"NA",
ROW()&lt;=781,"LATAM",
ROW()&lt;=1021,"EMEA",
TRUE,"APAC"
)</f>
        <v>LATAM</v>
      </c>
      <c r="C549" t="str">
        <f t="shared" si="49"/>
        <v>Mexico</v>
      </c>
      <c r="D549" t="s">
        <v>38</v>
      </c>
      <c r="E549" t="s">
        <v>380</v>
      </c>
      <c r="F549" t="s">
        <v>650</v>
      </c>
      <c r="G549" t="s">
        <v>53</v>
      </c>
      <c r="H549" s="2">
        <v>44402</v>
      </c>
      <c r="I549" t="s">
        <v>29</v>
      </c>
      <c r="J549" t="s">
        <v>39</v>
      </c>
      <c r="K549" t="str">
        <f t="shared" ca="1" si="52"/>
        <v>OK</v>
      </c>
      <c r="L549" t="s">
        <v>1109</v>
      </c>
      <c r="M549">
        <v>5</v>
      </c>
      <c r="N549" s="2">
        <v>46071</v>
      </c>
      <c r="O549" s="2" t="s">
        <v>22</v>
      </c>
      <c r="P549" s="4">
        <f t="shared" ca="1" si="50"/>
        <v>4</v>
      </c>
      <c r="Q549" s="4" t="str">
        <f t="shared" ca="1" si="51"/>
        <v>3-5 Years</v>
      </c>
      <c r="R549">
        <f t="shared" ca="1" si="53"/>
        <v>0</v>
      </c>
      <c r="S549" t="s">
        <v>22</v>
      </c>
      <c r="T549">
        <v>3</v>
      </c>
      <c r="U549" t="s">
        <v>1394</v>
      </c>
      <c r="V549" t="s">
        <v>1394</v>
      </c>
      <c r="W549" t="s">
        <v>1394</v>
      </c>
      <c r="X549" s="3">
        <v>3</v>
      </c>
      <c r="Y549" t="s">
        <v>1398</v>
      </c>
      <c r="Z549">
        <v>31804</v>
      </c>
      <c r="AA549">
        <v>0.1</v>
      </c>
      <c r="AB549">
        <v>34984.400000000001</v>
      </c>
    </row>
    <row r="550" spans="1:28" x14ac:dyDescent="0.35">
      <c r="A550" t="str">
        <f t="shared" si="48"/>
        <v>EMP0549</v>
      </c>
      <c r="B550" t="str" cm="1">
        <f t="array" ref="B550">_xlfn.IFS(
ROW()&lt;=421,"NA",
ROW()&lt;=781,"LATAM",
ROW()&lt;=1021,"EMEA",
TRUE,"APAC"
)</f>
        <v>LATAM</v>
      </c>
      <c r="C550" t="str">
        <f t="shared" si="49"/>
        <v>Mexico</v>
      </c>
      <c r="D550" t="s">
        <v>32</v>
      </c>
      <c r="E550" t="s">
        <v>69</v>
      </c>
      <c r="F550" t="s">
        <v>98</v>
      </c>
      <c r="G550" t="s">
        <v>28</v>
      </c>
      <c r="H550" s="2">
        <v>44400</v>
      </c>
      <c r="I550" t="s">
        <v>29</v>
      </c>
      <c r="J550" t="s">
        <v>33</v>
      </c>
      <c r="K550" t="str">
        <f t="shared" ca="1" si="52"/>
        <v>OK</v>
      </c>
      <c r="L550" t="s">
        <v>99</v>
      </c>
      <c r="M550">
        <v>3</v>
      </c>
      <c r="N550" s="2">
        <v>46035</v>
      </c>
      <c r="O550" s="2" t="s">
        <v>22</v>
      </c>
      <c r="P550" s="4">
        <f t="shared" ca="1" si="50"/>
        <v>4</v>
      </c>
      <c r="Q550" s="4" t="str">
        <f t="shared" ca="1" si="51"/>
        <v>3-5 Years</v>
      </c>
      <c r="R550">
        <f t="shared" ca="1" si="53"/>
        <v>0</v>
      </c>
      <c r="S550" t="s">
        <v>22</v>
      </c>
      <c r="T550">
        <v>4</v>
      </c>
      <c r="U550" t="s">
        <v>1394</v>
      </c>
      <c r="V550" t="s">
        <v>1394</v>
      </c>
      <c r="W550" t="s">
        <v>1394</v>
      </c>
      <c r="X550" s="3">
        <v>2</v>
      </c>
      <c r="Y550" t="s">
        <v>1397</v>
      </c>
      <c r="Z550">
        <v>136313</v>
      </c>
      <c r="AA550">
        <v>0.2</v>
      </c>
      <c r="AB550">
        <v>163575.6</v>
      </c>
    </row>
    <row r="551" spans="1:28" x14ac:dyDescent="0.35">
      <c r="A551" t="str">
        <f t="shared" si="48"/>
        <v>EMP0550</v>
      </c>
      <c r="B551" t="str" cm="1">
        <f t="array" ref="B551">_xlfn.IFS(
ROW()&lt;=421,"NA",
ROW()&lt;=781,"LATAM",
ROW()&lt;=1021,"EMEA",
TRUE,"APAC"
)</f>
        <v>LATAM</v>
      </c>
      <c r="C551" t="str">
        <f t="shared" si="49"/>
        <v>Mexico</v>
      </c>
      <c r="D551" t="s">
        <v>26</v>
      </c>
      <c r="E551" t="s">
        <v>145</v>
      </c>
      <c r="F551" t="s">
        <v>216</v>
      </c>
      <c r="G551" t="s">
        <v>28</v>
      </c>
      <c r="H551" s="2">
        <v>44398</v>
      </c>
      <c r="I551" t="s">
        <v>29</v>
      </c>
      <c r="J551" t="s">
        <v>30</v>
      </c>
      <c r="K551" t="str">
        <f t="shared" ca="1" si="52"/>
        <v>OK</v>
      </c>
      <c r="L551" t="s">
        <v>246</v>
      </c>
      <c r="M551">
        <v>4</v>
      </c>
      <c r="N551" s="2">
        <v>46006</v>
      </c>
      <c r="O551" s="2" t="s">
        <v>22</v>
      </c>
      <c r="P551" s="4">
        <f t="shared" ca="1" si="50"/>
        <v>4</v>
      </c>
      <c r="Q551" s="4" t="str">
        <f t="shared" ca="1" si="51"/>
        <v>3-5 Years</v>
      </c>
      <c r="R551">
        <f t="shared" ca="1" si="53"/>
        <v>0</v>
      </c>
      <c r="S551" t="s">
        <v>22</v>
      </c>
      <c r="T551">
        <v>3</v>
      </c>
      <c r="U551" t="s">
        <v>1394</v>
      </c>
      <c r="V551" t="s">
        <v>1394</v>
      </c>
      <c r="W551" t="s">
        <v>1394</v>
      </c>
      <c r="X551" s="3">
        <v>4</v>
      </c>
      <c r="Y551" t="s">
        <v>1395</v>
      </c>
      <c r="Z551">
        <v>75324</v>
      </c>
      <c r="AA551">
        <v>0.15</v>
      </c>
      <c r="AB551">
        <v>86622.599999999991</v>
      </c>
    </row>
    <row r="552" spans="1:28" x14ac:dyDescent="0.35">
      <c r="A552" t="str">
        <f t="shared" si="48"/>
        <v>EMP0551</v>
      </c>
      <c r="B552" t="str" cm="1">
        <f t="array" ref="B552">_xlfn.IFS(
ROW()&lt;=421,"NA",
ROW()&lt;=781,"LATAM",
ROW()&lt;=1021,"EMEA",
TRUE,"APAC"
)</f>
        <v>LATAM</v>
      </c>
      <c r="C552" t="str">
        <f t="shared" si="49"/>
        <v>Mexico</v>
      </c>
      <c r="D552" t="s">
        <v>35</v>
      </c>
      <c r="E552" t="s">
        <v>380</v>
      </c>
      <c r="F552" t="s">
        <v>650</v>
      </c>
      <c r="G552" t="s">
        <v>28</v>
      </c>
      <c r="H552" s="2">
        <v>44397</v>
      </c>
      <c r="I552" t="s">
        <v>29</v>
      </c>
      <c r="J552" t="s">
        <v>36</v>
      </c>
      <c r="K552" t="str">
        <f t="shared" ca="1" si="52"/>
        <v>OK</v>
      </c>
      <c r="L552" t="s">
        <v>1372</v>
      </c>
      <c r="M552">
        <v>5</v>
      </c>
      <c r="N552" s="2">
        <v>46023</v>
      </c>
      <c r="O552" s="2" t="s">
        <v>22</v>
      </c>
      <c r="P552" s="4">
        <f t="shared" ca="1" si="50"/>
        <v>4</v>
      </c>
      <c r="Q552" s="4" t="str">
        <f t="shared" ca="1" si="51"/>
        <v>3-5 Years</v>
      </c>
      <c r="R552">
        <f t="shared" ca="1" si="53"/>
        <v>0</v>
      </c>
      <c r="S552" t="s">
        <v>22</v>
      </c>
      <c r="T552">
        <v>5</v>
      </c>
      <c r="U552" t="s">
        <v>1396</v>
      </c>
      <c r="V552" t="s">
        <v>1394</v>
      </c>
      <c r="W552" t="s">
        <v>1394</v>
      </c>
      <c r="X552" s="3">
        <v>1</v>
      </c>
      <c r="Y552" t="s">
        <v>1397</v>
      </c>
      <c r="Z552">
        <v>25880</v>
      </c>
      <c r="AA552">
        <v>0.1</v>
      </c>
      <c r="AB552">
        <v>28468.000000000004</v>
      </c>
    </row>
    <row r="553" spans="1:28" x14ac:dyDescent="0.35">
      <c r="A553" t="str">
        <f t="shared" si="48"/>
        <v>EMP0552</v>
      </c>
      <c r="B553" t="str" cm="1">
        <f t="array" ref="B553">_xlfn.IFS(
ROW()&lt;=421,"NA",
ROW()&lt;=781,"LATAM",
ROW()&lt;=1021,"EMEA",
TRUE,"APAC"
)</f>
        <v>LATAM</v>
      </c>
      <c r="C553" t="str">
        <f t="shared" si="49"/>
        <v>Mexico</v>
      </c>
      <c r="D553" t="s">
        <v>38</v>
      </c>
      <c r="E553" t="s">
        <v>145</v>
      </c>
      <c r="F553" t="s">
        <v>219</v>
      </c>
      <c r="G553" t="s">
        <v>28</v>
      </c>
      <c r="H553" s="2">
        <v>44394</v>
      </c>
      <c r="I553" t="s">
        <v>29</v>
      </c>
      <c r="J553" t="s">
        <v>39</v>
      </c>
      <c r="K553" t="str">
        <f t="shared" ca="1" si="52"/>
        <v>OK</v>
      </c>
      <c r="L553" t="s">
        <v>294</v>
      </c>
      <c r="M553">
        <v>4</v>
      </c>
      <c r="N553" s="2">
        <v>46016</v>
      </c>
      <c r="O553" s="2" t="s">
        <v>22</v>
      </c>
      <c r="P553" s="4">
        <f t="shared" ca="1" si="50"/>
        <v>4</v>
      </c>
      <c r="Q553" s="4" t="str">
        <f t="shared" ca="1" si="51"/>
        <v>3-5 Years</v>
      </c>
      <c r="R553">
        <f t="shared" ca="1" si="53"/>
        <v>0</v>
      </c>
      <c r="S553" t="s">
        <v>22</v>
      </c>
      <c r="T553">
        <v>4</v>
      </c>
      <c r="U553" t="s">
        <v>1394</v>
      </c>
      <c r="V553" t="s">
        <v>1394</v>
      </c>
      <c r="W553" t="s">
        <v>1394</v>
      </c>
      <c r="X553" s="3">
        <v>3</v>
      </c>
      <c r="Y553" t="s">
        <v>1398</v>
      </c>
      <c r="Z553">
        <v>85192</v>
      </c>
      <c r="AA553">
        <v>0.15</v>
      </c>
      <c r="AB553">
        <v>97970.799999999988</v>
      </c>
    </row>
    <row r="554" spans="1:28" x14ac:dyDescent="0.35">
      <c r="A554" t="str">
        <f t="shared" si="48"/>
        <v>EMP0553</v>
      </c>
      <c r="B554" t="str" cm="1">
        <f t="array" ref="B554">_xlfn.IFS(
ROW()&lt;=421,"NA",
ROW()&lt;=781,"LATAM",
ROW()&lt;=1021,"EMEA",
TRUE,"APAC"
)</f>
        <v>LATAM</v>
      </c>
      <c r="C554" t="str">
        <f t="shared" si="49"/>
        <v>Mexico</v>
      </c>
      <c r="D554" t="s">
        <v>35</v>
      </c>
      <c r="E554" t="s">
        <v>380</v>
      </c>
      <c r="F554" t="s">
        <v>661</v>
      </c>
      <c r="G554" t="s">
        <v>28</v>
      </c>
      <c r="H554" s="2">
        <v>44382</v>
      </c>
      <c r="I554" t="s">
        <v>29</v>
      </c>
      <c r="J554" t="s">
        <v>36</v>
      </c>
      <c r="K554" t="str">
        <f t="shared" ca="1" si="52"/>
        <v>OK</v>
      </c>
      <c r="L554" t="s">
        <v>133</v>
      </c>
      <c r="M554">
        <v>5</v>
      </c>
      <c r="N554" s="2">
        <v>46078</v>
      </c>
      <c r="O554" s="2" t="s">
        <v>22</v>
      </c>
      <c r="P554" s="4">
        <f t="shared" ca="1" si="50"/>
        <v>4</v>
      </c>
      <c r="Q554" s="4" t="str">
        <f t="shared" ca="1" si="51"/>
        <v>3-5 Years</v>
      </c>
      <c r="R554">
        <f t="shared" ca="1" si="53"/>
        <v>0</v>
      </c>
      <c r="S554" t="s">
        <v>22</v>
      </c>
      <c r="T554">
        <v>5</v>
      </c>
      <c r="U554" t="s">
        <v>1394</v>
      </c>
      <c r="V554" t="s">
        <v>1396</v>
      </c>
      <c r="W554" t="s">
        <v>1394</v>
      </c>
      <c r="X554" s="3">
        <v>5</v>
      </c>
      <c r="Y554" t="s">
        <v>1395</v>
      </c>
      <c r="Z554">
        <v>44256</v>
      </c>
      <c r="AA554">
        <v>0.1</v>
      </c>
      <c r="AB554">
        <v>48681.600000000006</v>
      </c>
    </row>
    <row r="555" spans="1:28" x14ac:dyDescent="0.35">
      <c r="A555" t="str">
        <f t="shared" si="48"/>
        <v>EMP0554</v>
      </c>
      <c r="B555" t="str" cm="1">
        <f t="array" ref="B555">_xlfn.IFS(
ROW()&lt;=421,"NA",
ROW()&lt;=781,"LATAM",
ROW()&lt;=1021,"EMEA",
TRUE,"APAC"
)</f>
        <v>LATAM</v>
      </c>
      <c r="C555" t="str">
        <f t="shared" si="49"/>
        <v>Mexico</v>
      </c>
      <c r="D555" t="s">
        <v>44</v>
      </c>
      <c r="E555" t="s">
        <v>380</v>
      </c>
      <c r="F555" t="s">
        <v>476</v>
      </c>
      <c r="G555" t="s">
        <v>53</v>
      </c>
      <c r="H555" s="2">
        <v>44382</v>
      </c>
      <c r="I555" t="s">
        <v>29</v>
      </c>
      <c r="J555" t="s">
        <v>47</v>
      </c>
      <c r="K555" t="str">
        <f t="shared" ca="1" si="52"/>
        <v>OK</v>
      </c>
      <c r="L555" t="s">
        <v>779</v>
      </c>
      <c r="M555">
        <v>5</v>
      </c>
      <c r="N555" s="2">
        <v>46046</v>
      </c>
      <c r="O555" s="2" t="s">
        <v>22</v>
      </c>
      <c r="P555" s="4">
        <f t="shared" ca="1" si="50"/>
        <v>4</v>
      </c>
      <c r="Q555" s="4" t="str">
        <f t="shared" ca="1" si="51"/>
        <v>3-5 Years</v>
      </c>
      <c r="R555">
        <f t="shared" ca="1" si="53"/>
        <v>0</v>
      </c>
      <c r="S555" t="s">
        <v>22</v>
      </c>
      <c r="T555">
        <v>2</v>
      </c>
      <c r="U555" t="s">
        <v>1394</v>
      </c>
      <c r="V555" t="s">
        <v>1396</v>
      </c>
      <c r="W555" t="s">
        <v>1394</v>
      </c>
      <c r="X555" s="3">
        <v>5</v>
      </c>
      <c r="Y555" t="s">
        <v>1395</v>
      </c>
      <c r="Z555">
        <v>44713</v>
      </c>
      <c r="AA555">
        <v>0.1</v>
      </c>
      <c r="AB555">
        <v>49184.3</v>
      </c>
    </row>
    <row r="556" spans="1:28" x14ac:dyDescent="0.35">
      <c r="A556" t="str">
        <f t="shared" si="48"/>
        <v>EMP0555</v>
      </c>
      <c r="B556" t="str" cm="1">
        <f t="array" ref="B556">_xlfn.IFS(
ROW()&lt;=421,"NA",
ROW()&lt;=781,"LATAM",
ROW()&lt;=1021,"EMEA",
TRUE,"APAC"
)</f>
        <v>LATAM</v>
      </c>
      <c r="C556" t="str">
        <f t="shared" si="49"/>
        <v>Mexico</v>
      </c>
      <c r="D556" t="s">
        <v>26</v>
      </c>
      <c r="E556" t="s">
        <v>380</v>
      </c>
      <c r="F556" t="s">
        <v>442</v>
      </c>
      <c r="G556" t="s">
        <v>28</v>
      </c>
      <c r="H556" s="2">
        <v>44379</v>
      </c>
      <c r="I556" t="s">
        <v>29</v>
      </c>
      <c r="J556" t="s">
        <v>30</v>
      </c>
      <c r="K556" t="str">
        <f t="shared" ca="1" si="52"/>
        <v>OK</v>
      </c>
      <c r="L556" t="s">
        <v>725</v>
      </c>
      <c r="M556">
        <v>5</v>
      </c>
      <c r="N556" s="2">
        <v>46062</v>
      </c>
      <c r="O556" s="2" t="s">
        <v>22</v>
      </c>
      <c r="P556" s="4">
        <f t="shared" ca="1" si="50"/>
        <v>4</v>
      </c>
      <c r="Q556" s="4" t="str">
        <f t="shared" ca="1" si="51"/>
        <v>3-5 Years</v>
      </c>
      <c r="R556">
        <f t="shared" ca="1" si="53"/>
        <v>0</v>
      </c>
      <c r="S556" t="s">
        <v>22</v>
      </c>
      <c r="T556">
        <v>2</v>
      </c>
      <c r="U556" t="s">
        <v>1394</v>
      </c>
      <c r="V556" t="s">
        <v>1394</v>
      </c>
      <c r="W556" t="s">
        <v>1394</v>
      </c>
      <c r="X556" s="3">
        <v>1</v>
      </c>
      <c r="Y556" t="s">
        <v>1397</v>
      </c>
      <c r="Z556">
        <v>26384</v>
      </c>
      <c r="AA556">
        <v>0.1</v>
      </c>
      <c r="AB556">
        <v>29022.400000000001</v>
      </c>
    </row>
    <row r="557" spans="1:28" x14ac:dyDescent="0.35">
      <c r="A557" t="str">
        <f t="shared" si="48"/>
        <v>EMP0556</v>
      </c>
      <c r="B557" t="str" cm="1">
        <f t="array" ref="B557">_xlfn.IFS(
ROW()&lt;=421,"NA",
ROW()&lt;=781,"LATAM",
ROW()&lt;=1021,"EMEA",
TRUE,"APAC"
)</f>
        <v>LATAM</v>
      </c>
      <c r="C557" t="str">
        <f t="shared" si="49"/>
        <v>Mexico</v>
      </c>
      <c r="D557" t="s">
        <v>32</v>
      </c>
      <c r="E557" t="s">
        <v>380</v>
      </c>
      <c r="F557" t="s">
        <v>424</v>
      </c>
      <c r="G557" t="s">
        <v>28</v>
      </c>
      <c r="H557" s="2">
        <v>44379</v>
      </c>
      <c r="I557" t="s">
        <v>29</v>
      </c>
      <c r="J557" t="s">
        <v>33</v>
      </c>
      <c r="K557" t="str">
        <f t="shared" ca="1" si="52"/>
        <v>OK</v>
      </c>
      <c r="L557" t="s">
        <v>886</v>
      </c>
      <c r="M557">
        <v>5</v>
      </c>
      <c r="N557" s="2">
        <v>46016</v>
      </c>
      <c r="O557" s="2" t="s">
        <v>22</v>
      </c>
      <c r="P557" s="4">
        <f t="shared" ca="1" si="50"/>
        <v>4</v>
      </c>
      <c r="Q557" s="4" t="str">
        <f t="shared" ca="1" si="51"/>
        <v>3-5 Years</v>
      </c>
      <c r="R557">
        <f t="shared" ca="1" si="53"/>
        <v>0</v>
      </c>
      <c r="S557" t="s">
        <v>22</v>
      </c>
      <c r="T557">
        <v>4</v>
      </c>
      <c r="U557" t="s">
        <v>1394</v>
      </c>
      <c r="V557" t="s">
        <v>1394</v>
      </c>
      <c r="W557" t="s">
        <v>1394</v>
      </c>
      <c r="X557" s="3">
        <v>5</v>
      </c>
      <c r="Y557" t="s">
        <v>1395</v>
      </c>
      <c r="Z557">
        <v>46317</v>
      </c>
      <c r="AA557">
        <v>0.1</v>
      </c>
      <c r="AB557">
        <v>50948.700000000004</v>
      </c>
    </row>
    <row r="558" spans="1:28" x14ac:dyDescent="0.35">
      <c r="A558" t="str">
        <f t="shared" si="48"/>
        <v>EMP0557</v>
      </c>
      <c r="B558" t="str" cm="1">
        <f t="array" ref="B558">_xlfn.IFS(
ROW()&lt;=421,"NA",
ROW()&lt;=781,"LATAM",
ROW()&lt;=1021,"EMEA",
TRUE,"APAC"
)</f>
        <v>LATAM</v>
      </c>
      <c r="C558" t="str">
        <f t="shared" si="49"/>
        <v>Mexico</v>
      </c>
      <c r="D558" t="s">
        <v>35</v>
      </c>
      <c r="E558" t="s">
        <v>380</v>
      </c>
      <c r="F558" t="s">
        <v>807</v>
      </c>
      <c r="G558" t="s">
        <v>28</v>
      </c>
      <c r="H558" s="2">
        <v>44365</v>
      </c>
      <c r="I558" t="s">
        <v>29</v>
      </c>
      <c r="J558" t="s">
        <v>36</v>
      </c>
      <c r="K558" t="str">
        <f t="shared" ca="1" si="52"/>
        <v>OK</v>
      </c>
      <c r="L558" t="s">
        <v>1152</v>
      </c>
      <c r="M558">
        <v>5</v>
      </c>
      <c r="N558" s="2">
        <v>46041</v>
      </c>
      <c r="O558" s="2" t="s">
        <v>22</v>
      </c>
      <c r="P558" s="4">
        <f t="shared" ca="1" si="50"/>
        <v>4</v>
      </c>
      <c r="Q558" s="4" t="str">
        <f t="shared" ca="1" si="51"/>
        <v>3-5 Years</v>
      </c>
      <c r="R558">
        <f t="shared" ca="1" si="53"/>
        <v>0</v>
      </c>
      <c r="S558" t="s">
        <v>22</v>
      </c>
      <c r="T558">
        <v>3</v>
      </c>
      <c r="U558" t="s">
        <v>1394</v>
      </c>
      <c r="V558" t="s">
        <v>1394</v>
      </c>
      <c r="W558" t="s">
        <v>1394</v>
      </c>
      <c r="X558" s="3">
        <v>5</v>
      </c>
      <c r="Y558" t="s">
        <v>1395</v>
      </c>
      <c r="Z558">
        <v>26304</v>
      </c>
      <c r="AA558">
        <v>0.1</v>
      </c>
      <c r="AB558">
        <v>28934.400000000001</v>
      </c>
    </row>
    <row r="559" spans="1:28" x14ac:dyDescent="0.35">
      <c r="A559" t="str">
        <f t="shared" si="48"/>
        <v>EMP0558</v>
      </c>
      <c r="B559" t="str" cm="1">
        <f t="array" ref="B559">_xlfn.IFS(
ROW()&lt;=421,"NA",
ROW()&lt;=781,"LATAM",
ROW()&lt;=1021,"EMEA",
TRUE,"APAC"
)</f>
        <v>LATAM</v>
      </c>
      <c r="C559" t="str">
        <f t="shared" si="49"/>
        <v>Mexico</v>
      </c>
      <c r="D559" t="s">
        <v>26</v>
      </c>
      <c r="E559" t="s">
        <v>380</v>
      </c>
      <c r="F559" t="s">
        <v>666</v>
      </c>
      <c r="G559" t="s">
        <v>28</v>
      </c>
      <c r="H559" s="2">
        <v>44362</v>
      </c>
      <c r="I559" t="s">
        <v>29</v>
      </c>
      <c r="J559" t="s">
        <v>30</v>
      </c>
      <c r="K559" t="str">
        <f t="shared" ca="1" si="52"/>
        <v>OK</v>
      </c>
      <c r="L559" t="s">
        <v>1178</v>
      </c>
      <c r="M559">
        <v>5</v>
      </c>
      <c r="N559" s="2">
        <v>46016</v>
      </c>
      <c r="O559" s="2" t="s">
        <v>22</v>
      </c>
      <c r="P559" s="4">
        <f t="shared" ca="1" si="50"/>
        <v>4</v>
      </c>
      <c r="Q559" s="4" t="str">
        <f t="shared" ca="1" si="51"/>
        <v>3-5 Years</v>
      </c>
      <c r="R559">
        <f t="shared" ca="1" si="53"/>
        <v>0</v>
      </c>
      <c r="S559" t="s">
        <v>22</v>
      </c>
      <c r="T559">
        <v>5</v>
      </c>
      <c r="U559" t="s">
        <v>1394</v>
      </c>
      <c r="V559" t="s">
        <v>1394</v>
      </c>
      <c r="W559" t="s">
        <v>1394</v>
      </c>
      <c r="X559" s="3">
        <v>4</v>
      </c>
      <c r="Y559" t="s">
        <v>1395</v>
      </c>
      <c r="Z559">
        <v>30256</v>
      </c>
      <c r="AA559">
        <v>0.1</v>
      </c>
      <c r="AB559">
        <v>33281.600000000006</v>
      </c>
    </row>
    <row r="560" spans="1:28" x14ac:dyDescent="0.35">
      <c r="A560" t="str">
        <f t="shared" si="48"/>
        <v>EMP0559</v>
      </c>
      <c r="B560" t="str" cm="1">
        <f t="array" ref="B560">_xlfn.IFS(
ROW()&lt;=421,"NA",
ROW()&lt;=781,"LATAM",
ROW()&lt;=1021,"EMEA",
TRUE,"APAC"
)</f>
        <v>LATAM</v>
      </c>
      <c r="C560" t="str">
        <f t="shared" si="49"/>
        <v>Mexico</v>
      </c>
      <c r="D560" t="s">
        <v>26</v>
      </c>
      <c r="E560" t="s">
        <v>380</v>
      </c>
      <c r="F560" t="s">
        <v>557</v>
      </c>
      <c r="G560" t="s">
        <v>28</v>
      </c>
      <c r="H560" s="2">
        <v>44361</v>
      </c>
      <c r="I560" t="s">
        <v>57</v>
      </c>
      <c r="J560" t="s">
        <v>30</v>
      </c>
      <c r="K560" t="str">
        <f t="shared" ca="1" si="52"/>
        <v>OK</v>
      </c>
      <c r="L560" t="s">
        <v>875</v>
      </c>
      <c r="M560">
        <v>5</v>
      </c>
      <c r="N560" s="2">
        <v>46072</v>
      </c>
      <c r="O560" s="2">
        <v>46071</v>
      </c>
      <c r="P560" s="4">
        <f t="shared" ca="1" si="50"/>
        <v>4</v>
      </c>
      <c r="Q560" s="4" t="str">
        <f t="shared" ca="1" si="51"/>
        <v>3-5 Years</v>
      </c>
      <c r="R560">
        <f t="shared" ca="1" si="53"/>
        <v>0</v>
      </c>
      <c r="S560" t="s">
        <v>23</v>
      </c>
      <c r="T560">
        <v>5</v>
      </c>
      <c r="U560" t="s">
        <v>1394</v>
      </c>
      <c r="V560" t="s">
        <v>1394</v>
      </c>
      <c r="W560" t="s">
        <v>1394</v>
      </c>
      <c r="X560" s="3">
        <v>1</v>
      </c>
      <c r="Y560" t="s">
        <v>1397</v>
      </c>
      <c r="Z560">
        <v>30568</v>
      </c>
      <c r="AA560">
        <v>0.1</v>
      </c>
      <c r="AB560">
        <v>33624.800000000003</v>
      </c>
    </row>
    <row r="561" spans="1:28" x14ac:dyDescent="0.35">
      <c r="A561" t="str">
        <f t="shared" si="48"/>
        <v>EMP0560</v>
      </c>
      <c r="B561" t="str" cm="1">
        <f t="array" ref="B561">_xlfn.IFS(
ROW()&lt;=421,"NA",
ROW()&lt;=781,"LATAM",
ROW()&lt;=1021,"EMEA",
TRUE,"APAC"
)</f>
        <v>LATAM</v>
      </c>
      <c r="C561" t="str">
        <f t="shared" si="49"/>
        <v>Mexico</v>
      </c>
      <c r="D561" t="s">
        <v>26</v>
      </c>
      <c r="E561" t="s">
        <v>380</v>
      </c>
      <c r="F561" t="s">
        <v>706</v>
      </c>
      <c r="G561" t="s">
        <v>28</v>
      </c>
      <c r="H561" s="2">
        <v>44358</v>
      </c>
      <c r="I561" t="s">
        <v>29</v>
      </c>
      <c r="J561" t="s">
        <v>30</v>
      </c>
      <c r="K561" t="str">
        <f t="shared" ca="1" si="52"/>
        <v>OK</v>
      </c>
      <c r="L561" t="s">
        <v>999</v>
      </c>
      <c r="M561">
        <v>5</v>
      </c>
      <c r="N561" s="2">
        <v>46032</v>
      </c>
      <c r="O561" s="2" t="s">
        <v>22</v>
      </c>
      <c r="P561" s="4">
        <f t="shared" ca="1" si="50"/>
        <v>4</v>
      </c>
      <c r="Q561" s="4" t="str">
        <f t="shared" ca="1" si="51"/>
        <v>3-5 Years</v>
      </c>
      <c r="R561">
        <f t="shared" ca="1" si="53"/>
        <v>0</v>
      </c>
      <c r="S561" t="s">
        <v>22</v>
      </c>
      <c r="T561">
        <v>5</v>
      </c>
      <c r="U561" t="s">
        <v>1394</v>
      </c>
      <c r="V561" t="s">
        <v>1394</v>
      </c>
      <c r="W561" t="s">
        <v>1394</v>
      </c>
      <c r="X561" s="3">
        <v>3</v>
      </c>
      <c r="Y561" t="s">
        <v>1398</v>
      </c>
      <c r="Z561">
        <v>35082</v>
      </c>
      <c r="AA561">
        <v>0.1</v>
      </c>
      <c r="AB561">
        <v>38590.200000000004</v>
      </c>
    </row>
    <row r="562" spans="1:28" x14ac:dyDescent="0.35">
      <c r="A562" t="str">
        <f t="shared" si="48"/>
        <v>EMP0561</v>
      </c>
      <c r="B562" t="str" cm="1">
        <f t="array" ref="B562">_xlfn.IFS(
ROW()&lt;=421,"NA",
ROW()&lt;=781,"LATAM",
ROW()&lt;=1021,"EMEA",
TRUE,"APAC"
)</f>
        <v>LATAM</v>
      </c>
      <c r="C562" t="str">
        <f t="shared" si="49"/>
        <v>Mexico</v>
      </c>
      <c r="D562" t="s">
        <v>26</v>
      </c>
      <c r="E562" t="s">
        <v>380</v>
      </c>
      <c r="F562" t="s">
        <v>383</v>
      </c>
      <c r="G562" t="s">
        <v>53</v>
      </c>
      <c r="H562" s="2">
        <v>44356</v>
      </c>
      <c r="I562" t="s">
        <v>29</v>
      </c>
      <c r="J562" t="s">
        <v>30</v>
      </c>
      <c r="K562" t="str">
        <f t="shared" ca="1" si="52"/>
        <v>OK</v>
      </c>
      <c r="L562" t="s">
        <v>1192</v>
      </c>
      <c r="M562">
        <v>5</v>
      </c>
      <c r="N562" s="2">
        <v>46041</v>
      </c>
      <c r="O562" s="2" t="s">
        <v>22</v>
      </c>
      <c r="P562" s="4">
        <f t="shared" ca="1" si="50"/>
        <v>4</v>
      </c>
      <c r="Q562" s="4" t="str">
        <f t="shared" ca="1" si="51"/>
        <v>3-5 Years</v>
      </c>
      <c r="R562">
        <f t="shared" ca="1" si="53"/>
        <v>0</v>
      </c>
      <c r="S562" t="s">
        <v>22</v>
      </c>
      <c r="T562">
        <v>2</v>
      </c>
      <c r="U562" t="s">
        <v>1394</v>
      </c>
      <c r="V562" t="s">
        <v>1394</v>
      </c>
      <c r="W562" t="s">
        <v>1394</v>
      </c>
      <c r="X562" s="3">
        <v>4</v>
      </c>
      <c r="Y562" t="s">
        <v>1395</v>
      </c>
      <c r="Z562">
        <v>35743</v>
      </c>
      <c r="AA562">
        <v>0.1</v>
      </c>
      <c r="AB562">
        <v>39317.300000000003</v>
      </c>
    </row>
    <row r="563" spans="1:28" x14ac:dyDescent="0.35">
      <c r="A563" t="str">
        <f t="shared" si="48"/>
        <v>EMP0562</v>
      </c>
      <c r="B563" t="str" cm="1">
        <f t="array" ref="B563">_xlfn.IFS(
ROW()&lt;=421,"NA",
ROW()&lt;=781,"LATAM",
ROW()&lt;=1021,"EMEA",
TRUE,"APAC"
)</f>
        <v>LATAM</v>
      </c>
      <c r="C563" t="str">
        <f t="shared" si="49"/>
        <v>Mexico</v>
      </c>
      <c r="D563" t="s">
        <v>41</v>
      </c>
      <c r="E563" t="s">
        <v>380</v>
      </c>
      <c r="F563" t="s">
        <v>397</v>
      </c>
      <c r="G563" t="s">
        <v>28</v>
      </c>
      <c r="H563" s="2">
        <v>45814</v>
      </c>
      <c r="I563" t="s">
        <v>29</v>
      </c>
      <c r="J563" t="s">
        <v>42</v>
      </c>
      <c r="K563" t="str">
        <f t="shared" ca="1" si="52"/>
        <v>OK</v>
      </c>
      <c r="L563" t="s">
        <v>398</v>
      </c>
      <c r="M563">
        <v>5</v>
      </c>
      <c r="N563" s="2">
        <v>46007</v>
      </c>
      <c r="O563" s="2" t="s">
        <v>22</v>
      </c>
      <c r="P563" s="4">
        <f t="shared" ca="1" si="50"/>
        <v>0</v>
      </c>
      <c r="Q563" s="4" t="str">
        <f t="shared" ca="1" si="51"/>
        <v>0-2 Years</v>
      </c>
      <c r="R563">
        <f t="shared" ca="1" si="53"/>
        <v>1</v>
      </c>
      <c r="S563" t="s">
        <v>22</v>
      </c>
      <c r="T563">
        <v>3</v>
      </c>
      <c r="U563" t="s">
        <v>1396</v>
      </c>
      <c r="V563" t="s">
        <v>1394</v>
      </c>
      <c r="W563" t="s">
        <v>1394</v>
      </c>
      <c r="X563" s="3">
        <v>2</v>
      </c>
      <c r="Y563" t="s">
        <v>1397</v>
      </c>
      <c r="Z563">
        <v>43959</v>
      </c>
      <c r="AA563">
        <v>0.1</v>
      </c>
      <c r="AB563">
        <v>48354.9</v>
      </c>
    </row>
    <row r="564" spans="1:28" x14ac:dyDescent="0.35">
      <c r="A564" t="str">
        <f t="shared" si="48"/>
        <v>EMP0563</v>
      </c>
      <c r="B564" t="str" cm="1">
        <f t="array" ref="B564">_xlfn.IFS(
ROW()&lt;=421,"NA",
ROW()&lt;=781,"LATAM",
ROW()&lt;=1021,"EMEA",
TRUE,"APAC"
)</f>
        <v>LATAM</v>
      </c>
      <c r="C564" t="str">
        <f t="shared" si="49"/>
        <v>Mexico</v>
      </c>
      <c r="D564" t="s">
        <v>38</v>
      </c>
      <c r="E564" t="s">
        <v>145</v>
      </c>
      <c r="F564" t="s">
        <v>201</v>
      </c>
      <c r="G564" t="s">
        <v>28</v>
      </c>
      <c r="H564" s="2">
        <v>44351</v>
      </c>
      <c r="I564" t="s">
        <v>29</v>
      </c>
      <c r="J564" t="s">
        <v>39</v>
      </c>
      <c r="K564" t="str">
        <f t="shared" ca="1" si="52"/>
        <v>OK</v>
      </c>
      <c r="L564" t="s">
        <v>202</v>
      </c>
      <c r="M564">
        <v>4</v>
      </c>
      <c r="N564" s="2">
        <v>46030</v>
      </c>
      <c r="O564" s="2" t="s">
        <v>22</v>
      </c>
      <c r="P564" s="4">
        <f t="shared" ca="1" si="50"/>
        <v>4</v>
      </c>
      <c r="Q564" s="4" t="str">
        <f t="shared" ca="1" si="51"/>
        <v>3-5 Years</v>
      </c>
      <c r="R564">
        <f t="shared" ca="1" si="53"/>
        <v>0</v>
      </c>
      <c r="S564" t="s">
        <v>22</v>
      </c>
      <c r="T564">
        <v>3</v>
      </c>
      <c r="U564" t="s">
        <v>1394</v>
      </c>
      <c r="V564" t="s">
        <v>1394</v>
      </c>
      <c r="W564" t="s">
        <v>1394</v>
      </c>
      <c r="X564" s="3">
        <v>4</v>
      </c>
      <c r="Y564" t="s">
        <v>1395</v>
      </c>
      <c r="Z564">
        <v>66081</v>
      </c>
      <c r="AA564">
        <v>0.15</v>
      </c>
      <c r="AB564">
        <v>75993.149999999994</v>
      </c>
    </row>
    <row r="565" spans="1:28" x14ac:dyDescent="0.35">
      <c r="A565" t="str">
        <f t="shared" si="48"/>
        <v>EMP0564</v>
      </c>
      <c r="B565" t="str" cm="1">
        <f t="array" ref="B565">_xlfn.IFS(
ROW()&lt;=421,"NA",
ROW()&lt;=781,"LATAM",
ROW()&lt;=1021,"EMEA",
TRUE,"APAC"
)</f>
        <v>LATAM</v>
      </c>
      <c r="C565" t="str">
        <f t="shared" si="49"/>
        <v>Mexico</v>
      </c>
      <c r="D565" t="s">
        <v>38</v>
      </c>
      <c r="E565" t="s">
        <v>380</v>
      </c>
      <c r="F565" t="s">
        <v>479</v>
      </c>
      <c r="G565" t="s">
        <v>28</v>
      </c>
      <c r="H565" s="2">
        <v>44351</v>
      </c>
      <c r="I565" t="s">
        <v>29</v>
      </c>
      <c r="J565" t="s">
        <v>39</v>
      </c>
      <c r="K565" t="str">
        <f t="shared" ca="1" si="52"/>
        <v>OK</v>
      </c>
      <c r="L565" t="s">
        <v>1301</v>
      </c>
      <c r="M565">
        <v>5</v>
      </c>
      <c r="N565" s="2">
        <v>46069</v>
      </c>
      <c r="O565" s="2" t="s">
        <v>22</v>
      </c>
      <c r="P565" s="4">
        <f t="shared" ca="1" si="50"/>
        <v>4</v>
      </c>
      <c r="Q565" s="4" t="str">
        <f t="shared" ca="1" si="51"/>
        <v>3-5 Years</v>
      </c>
      <c r="R565">
        <f t="shared" ca="1" si="53"/>
        <v>0</v>
      </c>
      <c r="S565" t="s">
        <v>22</v>
      </c>
      <c r="T565">
        <v>3</v>
      </c>
      <c r="U565" t="s">
        <v>1394</v>
      </c>
      <c r="V565" t="s">
        <v>1394</v>
      </c>
      <c r="W565" t="s">
        <v>1394</v>
      </c>
      <c r="X565" s="3">
        <v>2</v>
      </c>
      <c r="Y565" t="s">
        <v>1397</v>
      </c>
      <c r="Z565">
        <v>43745</v>
      </c>
      <c r="AA565">
        <v>0.1</v>
      </c>
      <c r="AB565">
        <v>48119.500000000007</v>
      </c>
    </row>
    <row r="566" spans="1:28" x14ac:dyDescent="0.35">
      <c r="A566" t="str">
        <f t="shared" si="48"/>
        <v>EMP0565</v>
      </c>
      <c r="B566" t="str" cm="1">
        <f t="array" ref="B566">_xlfn.IFS(
ROW()&lt;=421,"NA",
ROW()&lt;=781,"LATAM",
ROW()&lt;=1021,"EMEA",
TRUE,"APAC"
)</f>
        <v>LATAM</v>
      </c>
      <c r="C566" t="str">
        <f t="shared" si="49"/>
        <v>Mexico</v>
      </c>
      <c r="D566" t="s">
        <v>41</v>
      </c>
      <c r="E566" t="s">
        <v>380</v>
      </c>
      <c r="F566" t="s">
        <v>794</v>
      </c>
      <c r="G566" t="s">
        <v>28</v>
      </c>
      <c r="H566" s="2">
        <v>46070</v>
      </c>
      <c r="I566" t="s">
        <v>29</v>
      </c>
      <c r="J566" t="s">
        <v>42</v>
      </c>
      <c r="K566" t="str">
        <f t="shared" ca="1" si="52"/>
        <v>OK</v>
      </c>
      <c r="L566" t="s">
        <v>237</v>
      </c>
      <c r="M566">
        <v>5</v>
      </c>
      <c r="N566" s="2">
        <v>46041</v>
      </c>
      <c r="O566" s="2" t="s">
        <v>22</v>
      </c>
      <c r="P566" s="4">
        <f t="shared" ca="1" si="50"/>
        <v>0</v>
      </c>
      <c r="Q566" s="4" t="str">
        <f t="shared" ca="1" si="51"/>
        <v>0-2 Years</v>
      </c>
      <c r="R566">
        <f t="shared" ca="1" si="53"/>
        <v>1</v>
      </c>
      <c r="S566" t="s">
        <v>22</v>
      </c>
      <c r="T566">
        <v>4</v>
      </c>
      <c r="U566" t="s">
        <v>1394</v>
      </c>
      <c r="V566" t="s">
        <v>1394</v>
      </c>
      <c r="W566" t="s">
        <v>1394</v>
      </c>
      <c r="X566" s="3">
        <v>3</v>
      </c>
      <c r="Y566" t="s">
        <v>1398</v>
      </c>
      <c r="Z566">
        <v>21035</v>
      </c>
      <c r="AA566">
        <v>0.1</v>
      </c>
      <c r="AB566">
        <v>23138.500000000004</v>
      </c>
    </row>
    <row r="567" spans="1:28" x14ac:dyDescent="0.35">
      <c r="A567" t="str">
        <f t="shared" si="48"/>
        <v>EMP0566</v>
      </c>
      <c r="B567" t="str" cm="1">
        <f t="array" ref="B567">_xlfn.IFS(
ROW()&lt;=421,"NA",
ROW()&lt;=781,"LATAM",
ROW()&lt;=1021,"EMEA",
TRUE,"APAC"
)</f>
        <v>LATAM</v>
      </c>
      <c r="C567" t="str">
        <f t="shared" si="49"/>
        <v>Mexico</v>
      </c>
      <c r="D567" t="s">
        <v>41</v>
      </c>
      <c r="E567" t="s">
        <v>380</v>
      </c>
      <c r="F567" t="s">
        <v>464</v>
      </c>
      <c r="G567" t="s">
        <v>28</v>
      </c>
      <c r="H567" s="2">
        <v>44337</v>
      </c>
      <c r="I567" t="s">
        <v>29</v>
      </c>
      <c r="J567" t="s">
        <v>42</v>
      </c>
      <c r="K567" t="str">
        <f t="shared" ca="1" si="52"/>
        <v>OK</v>
      </c>
      <c r="L567" t="s">
        <v>319</v>
      </c>
      <c r="M567">
        <v>5</v>
      </c>
      <c r="N567" s="2">
        <v>46051</v>
      </c>
      <c r="O567" s="2" t="s">
        <v>22</v>
      </c>
      <c r="P567" s="4">
        <f t="shared" ca="1" si="50"/>
        <v>4</v>
      </c>
      <c r="Q567" s="4" t="str">
        <f t="shared" ca="1" si="51"/>
        <v>3-5 Years</v>
      </c>
      <c r="R567">
        <f t="shared" ca="1" si="53"/>
        <v>0</v>
      </c>
      <c r="S567" t="s">
        <v>22</v>
      </c>
      <c r="T567">
        <v>3</v>
      </c>
      <c r="U567" t="s">
        <v>1394</v>
      </c>
      <c r="V567" t="s">
        <v>1394</v>
      </c>
      <c r="W567" t="s">
        <v>1394</v>
      </c>
      <c r="X567" s="3">
        <v>2</v>
      </c>
      <c r="Y567" t="s">
        <v>1397</v>
      </c>
      <c r="Z567">
        <v>40035</v>
      </c>
      <c r="AA567">
        <v>0.1</v>
      </c>
      <c r="AB567">
        <v>44038.5</v>
      </c>
    </row>
    <row r="568" spans="1:28" x14ac:dyDescent="0.35">
      <c r="A568" t="str">
        <f t="shared" si="48"/>
        <v>EMP0567</v>
      </c>
      <c r="B568" t="str" cm="1">
        <f t="array" ref="B568">_xlfn.IFS(
ROW()&lt;=421,"NA",
ROW()&lt;=781,"LATAM",
ROW()&lt;=1021,"EMEA",
TRUE,"APAC"
)</f>
        <v>LATAM</v>
      </c>
      <c r="C568" t="str">
        <f t="shared" si="49"/>
        <v>Mexico</v>
      </c>
      <c r="D568" t="s">
        <v>44</v>
      </c>
      <c r="E568" t="s">
        <v>380</v>
      </c>
      <c r="F568" t="s">
        <v>468</v>
      </c>
      <c r="G568" t="s">
        <v>28</v>
      </c>
      <c r="H568" s="2">
        <v>44334</v>
      </c>
      <c r="I568" t="s">
        <v>29</v>
      </c>
      <c r="J568" t="s">
        <v>47</v>
      </c>
      <c r="K568" t="str">
        <f t="shared" ca="1" si="52"/>
        <v>OK</v>
      </c>
      <c r="L568" t="s">
        <v>870</v>
      </c>
      <c r="M568">
        <v>5</v>
      </c>
      <c r="N568" s="2">
        <v>46071</v>
      </c>
      <c r="O568" s="2" t="s">
        <v>22</v>
      </c>
      <c r="P568" s="4">
        <f t="shared" ca="1" si="50"/>
        <v>4</v>
      </c>
      <c r="Q568" s="4" t="str">
        <f t="shared" ca="1" si="51"/>
        <v>3-5 Years</v>
      </c>
      <c r="R568">
        <f t="shared" ca="1" si="53"/>
        <v>0</v>
      </c>
      <c r="S568" t="s">
        <v>22</v>
      </c>
      <c r="T568">
        <v>2</v>
      </c>
      <c r="U568" t="s">
        <v>1394</v>
      </c>
      <c r="V568" t="s">
        <v>1394</v>
      </c>
      <c r="W568" t="s">
        <v>1394</v>
      </c>
      <c r="X568" s="3">
        <v>1</v>
      </c>
      <c r="Y568" t="s">
        <v>1397</v>
      </c>
      <c r="Z568">
        <v>25003</v>
      </c>
      <c r="AA568">
        <v>0.1</v>
      </c>
      <c r="AB568">
        <v>27503.300000000003</v>
      </c>
    </row>
    <row r="569" spans="1:28" x14ac:dyDescent="0.35">
      <c r="A569" t="str">
        <f t="shared" si="48"/>
        <v>EMP0568</v>
      </c>
      <c r="B569" t="str" cm="1">
        <f t="array" ref="B569">_xlfn.IFS(
ROW()&lt;=421,"NA",
ROW()&lt;=781,"LATAM",
ROW()&lt;=1021,"EMEA",
TRUE,"APAC"
)</f>
        <v>LATAM</v>
      </c>
      <c r="C569" t="str">
        <f t="shared" si="49"/>
        <v>Mexico</v>
      </c>
      <c r="D569" t="s">
        <v>41</v>
      </c>
      <c r="E569" t="s">
        <v>145</v>
      </c>
      <c r="F569" t="s">
        <v>212</v>
      </c>
      <c r="G569" t="s">
        <v>28</v>
      </c>
      <c r="H569" s="2">
        <v>44326</v>
      </c>
      <c r="I569" t="s">
        <v>29</v>
      </c>
      <c r="J569" t="s">
        <v>42</v>
      </c>
      <c r="K569" t="str">
        <f t="shared" ca="1" si="52"/>
        <v>OK</v>
      </c>
      <c r="L569" t="s">
        <v>364</v>
      </c>
      <c r="M569">
        <v>4</v>
      </c>
      <c r="N569" s="2">
        <v>46049</v>
      </c>
      <c r="O569" s="2" t="s">
        <v>22</v>
      </c>
      <c r="P569" s="4">
        <f t="shared" ca="1" si="50"/>
        <v>4</v>
      </c>
      <c r="Q569" s="4" t="str">
        <f t="shared" ca="1" si="51"/>
        <v>3-5 Years</v>
      </c>
      <c r="R569">
        <f t="shared" ca="1" si="53"/>
        <v>0</v>
      </c>
      <c r="S569" t="s">
        <v>22</v>
      </c>
      <c r="T569">
        <v>3</v>
      </c>
      <c r="U569" t="s">
        <v>1394</v>
      </c>
      <c r="V569" t="s">
        <v>1394</v>
      </c>
      <c r="W569" t="s">
        <v>1394</v>
      </c>
      <c r="X569" s="3">
        <v>3</v>
      </c>
      <c r="Y569" t="s">
        <v>1398</v>
      </c>
      <c r="Z569">
        <v>86852</v>
      </c>
      <c r="AA569">
        <v>0.15</v>
      </c>
      <c r="AB569">
        <v>99879.799999999988</v>
      </c>
    </row>
    <row r="570" spans="1:28" x14ac:dyDescent="0.35">
      <c r="A570" t="str">
        <f t="shared" si="48"/>
        <v>EMP0569</v>
      </c>
      <c r="B570" t="str" cm="1">
        <f t="array" ref="B570">_xlfn.IFS(
ROW()&lt;=421,"NA",
ROW()&lt;=781,"LATAM",
ROW()&lt;=1021,"EMEA",
TRUE,"APAC"
)</f>
        <v>LATAM</v>
      </c>
      <c r="C570" t="str">
        <f t="shared" si="49"/>
        <v>Mexico</v>
      </c>
      <c r="D570" t="s">
        <v>41</v>
      </c>
      <c r="E570" t="s">
        <v>380</v>
      </c>
      <c r="F570" t="s">
        <v>983</v>
      </c>
      <c r="G570" t="s">
        <v>28</v>
      </c>
      <c r="H570" s="2">
        <v>44324</v>
      </c>
      <c r="I570" t="s">
        <v>29</v>
      </c>
      <c r="J570" t="s">
        <v>42</v>
      </c>
      <c r="K570" t="str">
        <f t="shared" ca="1" si="52"/>
        <v>OK</v>
      </c>
      <c r="L570" t="s">
        <v>1135</v>
      </c>
      <c r="M570">
        <v>5</v>
      </c>
      <c r="N570" s="2">
        <v>46018</v>
      </c>
      <c r="O570" s="2" t="s">
        <v>22</v>
      </c>
      <c r="P570" s="4">
        <f t="shared" ca="1" si="50"/>
        <v>4</v>
      </c>
      <c r="Q570" s="4" t="str">
        <f t="shared" ca="1" si="51"/>
        <v>3-5 Years</v>
      </c>
      <c r="R570">
        <f t="shared" ca="1" si="53"/>
        <v>0</v>
      </c>
      <c r="S570" t="s">
        <v>22</v>
      </c>
      <c r="T570">
        <v>3</v>
      </c>
      <c r="U570" t="s">
        <v>1394</v>
      </c>
      <c r="V570" t="s">
        <v>1394</v>
      </c>
      <c r="W570" t="s">
        <v>1394</v>
      </c>
      <c r="X570" s="3">
        <v>1</v>
      </c>
      <c r="Y570" t="s">
        <v>1397</v>
      </c>
      <c r="Z570">
        <v>31688</v>
      </c>
      <c r="AA570">
        <v>0.1</v>
      </c>
      <c r="AB570">
        <v>34856.800000000003</v>
      </c>
    </row>
    <row r="571" spans="1:28" x14ac:dyDescent="0.35">
      <c r="A571" t="str">
        <f t="shared" si="48"/>
        <v>EMP0570</v>
      </c>
      <c r="B571" t="str" cm="1">
        <f t="array" ref="B571">_xlfn.IFS(
ROW()&lt;=421,"NA",
ROW()&lt;=781,"LATAM",
ROW()&lt;=1021,"EMEA",
TRUE,"APAC"
)</f>
        <v>LATAM</v>
      </c>
      <c r="C571" t="str">
        <f t="shared" si="49"/>
        <v>Mexico</v>
      </c>
      <c r="D571" t="s">
        <v>41</v>
      </c>
      <c r="E571" t="s">
        <v>380</v>
      </c>
      <c r="F571" t="s">
        <v>948</v>
      </c>
      <c r="G571" t="s">
        <v>28</v>
      </c>
      <c r="H571" s="2">
        <v>44323</v>
      </c>
      <c r="I571" t="s">
        <v>29</v>
      </c>
      <c r="J571" t="s">
        <v>42</v>
      </c>
      <c r="K571" t="str">
        <f t="shared" ca="1" si="52"/>
        <v>OK</v>
      </c>
      <c r="L571" t="s">
        <v>1110</v>
      </c>
      <c r="M571">
        <v>5</v>
      </c>
      <c r="N571" s="2">
        <v>46006</v>
      </c>
      <c r="O571" s="2" t="s">
        <v>22</v>
      </c>
      <c r="P571" s="4">
        <f t="shared" ca="1" si="50"/>
        <v>4</v>
      </c>
      <c r="Q571" s="4" t="str">
        <f t="shared" ca="1" si="51"/>
        <v>3-5 Years</v>
      </c>
      <c r="R571">
        <f t="shared" ca="1" si="53"/>
        <v>0</v>
      </c>
      <c r="S571" t="s">
        <v>22</v>
      </c>
      <c r="T571">
        <v>2</v>
      </c>
      <c r="U571" t="s">
        <v>1394</v>
      </c>
      <c r="V571" t="s">
        <v>1394</v>
      </c>
      <c r="W571" t="s">
        <v>1394</v>
      </c>
      <c r="X571" s="3">
        <v>1</v>
      </c>
      <c r="Y571" t="s">
        <v>1397</v>
      </c>
      <c r="Z571">
        <v>49461</v>
      </c>
      <c r="AA571">
        <v>0.1</v>
      </c>
      <c r="AB571">
        <v>54407.100000000006</v>
      </c>
    </row>
    <row r="572" spans="1:28" x14ac:dyDescent="0.35">
      <c r="A572" t="str">
        <f t="shared" si="48"/>
        <v>EMP0571</v>
      </c>
      <c r="B572" t="str" cm="1">
        <f t="array" ref="B572">_xlfn.IFS(
ROW()&lt;=421,"NA",
ROW()&lt;=781,"LATAM",
ROW()&lt;=1021,"EMEA",
TRUE,"APAC"
)</f>
        <v>LATAM</v>
      </c>
      <c r="C572" t="str">
        <f t="shared" si="49"/>
        <v>Mexico</v>
      </c>
      <c r="D572" t="s">
        <v>41</v>
      </c>
      <c r="E572" t="s">
        <v>380</v>
      </c>
      <c r="F572" t="s">
        <v>669</v>
      </c>
      <c r="G572" t="s">
        <v>28</v>
      </c>
      <c r="H572" s="2">
        <v>44323</v>
      </c>
      <c r="I572" t="s">
        <v>29</v>
      </c>
      <c r="J572" t="s">
        <v>42</v>
      </c>
      <c r="K572" t="str">
        <f t="shared" ca="1" si="52"/>
        <v>OK</v>
      </c>
      <c r="L572" t="s">
        <v>1159</v>
      </c>
      <c r="M572">
        <v>5</v>
      </c>
      <c r="N572" s="2">
        <v>46077</v>
      </c>
      <c r="O572" s="2" t="s">
        <v>22</v>
      </c>
      <c r="P572" s="4">
        <f t="shared" ca="1" si="50"/>
        <v>4</v>
      </c>
      <c r="Q572" s="4" t="str">
        <f t="shared" ca="1" si="51"/>
        <v>3-5 Years</v>
      </c>
      <c r="R572">
        <f t="shared" ca="1" si="53"/>
        <v>0</v>
      </c>
      <c r="S572" t="s">
        <v>22</v>
      </c>
      <c r="T572">
        <v>4</v>
      </c>
      <c r="U572" t="s">
        <v>1394</v>
      </c>
      <c r="V572" t="s">
        <v>1394</v>
      </c>
      <c r="W572" t="s">
        <v>1394</v>
      </c>
      <c r="X572" s="3">
        <v>1</v>
      </c>
      <c r="Y572" t="s">
        <v>1397</v>
      </c>
      <c r="Z572">
        <v>30951</v>
      </c>
      <c r="AA572">
        <v>0.1</v>
      </c>
      <c r="AB572">
        <v>34046.100000000006</v>
      </c>
    </row>
    <row r="573" spans="1:28" x14ac:dyDescent="0.35">
      <c r="A573" t="str">
        <f t="shared" si="48"/>
        <v>EMP0572</v>
      </c>
      <c r="B573" t="str" cm="1">
        <f t="array" ref="B573">_xlfn.IFS(
ROW()&lt;=421,"NA",
ROW()&lt;=781,"LATAM",
ROW()&lt;=1021,"EMEA",
TRUE,"APAC"
)</f>
        <v>LATAM</v>
      </c>
      <c r="C573" t="str">
        <f t="shared" si="49"/>
        <v>Mexico</v>
      </c>
      <c r="D573" t="s">
        <v>26</v>
      </c>
      <c r="E573" t="s">
        <v>380</v>
      </c>
      <c r="F573" t="s">
        <v>434</v>
      </c>
      <c r="G573" t="s">
        <v>28</v>
      </c>
      <c r="H573" s="2">
        <v>44321</v>
      </c>
      <c r="I573" t="s">
        <v>57</v>
      </c>
      <c r="J573" t="s">
        <v>30</v>
      </c>
      <c r="K573" t="str">
        <f t="shared" ca="1" si="52"/>
        <v>OK</v>
      </c>
      <c r="L573" t="s">
        <v>825</v>
      </c>
      <c r="M573">
        <v>5</v>
      </c>
      <c r="N573" s="2">
        <v>46038</v>
      </c>
      <c r="O573" s="2">
        <v>44771</v>
      </c>
      <c r="P573" s="4">
        <f t="shared" ca="1" si="50"/>
        <v>1</v>
      </c>
      <c r="Q573" s="4" t="str">
        <f t="shared" ca="1" si="51"/>
        <v>0-2 Years</v>
      </c>
      <c r="R573">
        <f t="shared" ca="1" si="53"/>
        <v>1</v>
      </c>
      <c r="S573" t="s">
        <v>24</v>
      </c>
      <c r="T573">
        <v>3</v>
      </c>
      <c r="U573" t="s">
        <v>1394</v>
      </c>
      <c r="V573" t="s">
        <v>1394</v>
      </c>
      <c r="W573" t="s">
        <v>1394</v>
      </c>
      <c r="X573" s="3">
        <v>4</v>
      </c>
      <c r="Y573" t="s">
        <v>1395</v>
      </c>
      <c r="Z573">
        <v>38631</v>
      </c>
      <c r="AA573">
        <v>0.1</v>
      </c>
      <c r="AB573">
        <v>42494.100000000006</v>
      </c>
    </row>
    <row r="574" spans="1:28" x14ac:dyDescent="0.35">
      <c r="A574" t="str">
        <f t="shared" si="48"/>
        <v>EMP0573</v>
      </c>
      <c r="B574" t="str" cm="1">
        <f t="array" ref="B574">_xlfn.IFS(
ROW()&lt;=421,"NA",
ROW()&lt;=781,"LATAM",
ROW()&lt;=1021,"EMEA",
TRUE,"APAC"
)</f>
        <v>LATAM</v>
      </c>
      <c r="C574" t="str">
        <f t="shared" si="49"/>
        <v>Mexico</v>
      </c>
      <c r="D574" t="s">
        <v>44</v>
      </c>
      <c r="E574" t="s">
        <v>380</v>
      </c>
      <c r="F574" t="s">
        <v>501</v>
      </c>
      <c r="G574" t="s">
        <v>28</v>
      </c>
      <c r="H574" s="2">
        <v>44320</v>
      </c>
      <c r="I574" t="s">
        <v>29</v>
      </c>
      <c r="J574" t="s">
        <v>47</v>
      </c>
      <c r="K574" t="str">
        <f t="shared" ca="1" si="52"/>
        <v>OK</v>
      </c>
      <c r="L574" t="s">
        <v>788</v>
      </c>
      <c r="M574">
        <v>5</v>
      </c>
      <c r="N574" s="2">
        <v>46073</v>
      </c>
      <c r="O574" s="2" t="s">
        <v>22</v>
      </c>
      <c r="P574" s="4">
        <f t="shared" ca="1" si="50"/>
        <v>4</v>
      </c>
      <c r="Q574" s="4" t="str">
        <f t="shared" ca="1" si="51"/>
        <v>3-5 Years</v>
      </c>
      <c r="R574">
        <f t="shared" ca="1" si="53"/>
        <v>0</v>
      </c>
      <c r="S574" t="s">
        <v>22</v>
      </c>
      <c r="T574">
        <v>2</v>
      </c>
      <c r="U574" t="s">
        <v>1394</v>
      </c>
      <c r="V574" t="s">
        <v>1394</v>
      </c>
      <c r="W574" t="s">
        <v>1394</v>
      </c>
      <c r="X574" s="3">
        <v>4</v>
      </c>
      <c r="Y574" t="s">
        <v>1395</v>
      </c>
      <c r="Z574">
        <v>37711</v>
      </c>
      <c r="AA574">
        <v>0.1</v>
      </c>
      <c r="AB574">
        <v>41482.100000000006</v>
      </c>
    </row>
    <row r="575" spans="1:28" x14ac:dyDescent="0.35">
      <c r="A575" t="str">
        <f t="shared" si="48"/>
        <v>EMP0574</v>
      </c>
      <c r="B575" t="str" cm="1">
        <f t="array" ref="B575">_xlfn.IFS(
ROW()&lt;=421,"NA",
ROW()&lt;=781,"LATAM",
ROW()&lt;=1021,"EMEA",
TRUE,"APAC"
)</f>
        <v>LATAM</v>
      </c>
      <c r="C575" t="str">
        <f t="shared" si="49"/>
        <v>Mexico</v>
      </c>
      <c r="D575" t="s">
        <v>26</v>
      </c>
      <c r="E575" t="s">
        <v>380</v>
      </c>
      <c r="F575" t="s">
        <v>486</v>
      </c>
      <c r="G575" t="s">
        <v>28</v>
      </c>
      <c r="H575" s="2">
        <v>44312</v>
      </c>
      <c r="I575" t="s">
        <v>29</v>
      </c>
      <c r="J575" t="s">
        <v>30</v>
      </c>
      <c r="K575" t="str">
        <f t="shared" ca="1" si="52"/>
        <v>OK</v>
      </c>
      <c r="L575" t="s">
        <v>1338</v>
      </c>
      <c r="M575">
        <v>5</v>
      </c>
      <c r="N575" s="2">
        <v>46008</v>
      </c>
      <c r="O575" s="2" t="s">
        <v>22</v>
      </c>
      <c r="P575" s="4">
        <f t="shared" ca="1" si="50"/>
        <v>4</v>
      </c>
      <c r="Q575" s="4" t="str">
        <f t="shared" ca="1" si="51"/>
        <v>3-5 Years</v>
      </c>
      <c r="R575">
        <f t="shared" ca="1" si="53"/>
        <v>0</v>
      </c>
      <c r="S575" t="s">
        <v>22</v>
      </c>
      <c r="T575">
        <v>3</v>
      </c>
      <c r="U575" t="s">
        <v>1394</v>
      </c>
      <c r="V575" t="s">
        <v>1394</v>
      </c>
      <c r="W575" t="s">
        <v>1394</v>
      </c>
      <c r="X575" s="3">
        <v>4</v>
      </c>
      <c r="Y575" t="s">
        <v>1395</v>
      </c>
      <c r="Z575">
        <v>26809</v>
      </c>
      <c r="AA575">
        <v>0.1</v>
      </c>
      <c r="AB575">
        <v>29489.9</v>
      </c>
    </row>
    <row r="576" spans="1:28" x14ac:dyDescent="0.35">
      <c r="A576" t="str">
        <f t="shared" si="48"/>
        <v>EMP0575</v>
      </c>
      <c r="B576" t="str" cm="1">
        <f t="array" ref="B576">_xlfn.IFS(
ROW()&lt;=421,"NA",
ROW()&lt;=781,"LATAM",
ROW()&lt;=1021,"EMEA",
TRUE,"APAC"
)</f>
        <v>LATAM</v>
      </c>
      <c r="C576" t="str">
        <f t="shared" si="49"/>
        <v>Mexico</v>
      </c>
      <c r="D576" t="s">
        <v>26</v>
      </c>
      <c r="E576" t="s">
        <v>380</v>
      </c>
      <c r="F576" t="s">
        <v>591</v>
      </c>
      <c r="G576" t="s">
        <v>28</v>
      </c>
      <c r="H576" s="2">
        <v>44301</v>
      </c>
      <c r="I576" t="s">
        <v>29</v>
      </c>
      <c r="J576" t="s">
        <v>30</v>
      </c>
      <c r="K576" t="str">
        <f t="shared" ca="1" si="52"/>
        <v>OK</v>
      </c>
      <c r="L576" t="s">
        <v>592</v>
      </c>
      <c r="M576">
        <v>5</v>
      </c>
      <c r="N576" s="2">
        <v>46046</v>
      </c>
      <c r="O576" s="2" t="s">
        <v>22</v>
      </c>
      <c r="P576" s="4">
        <f t="shared" ca="1" si="50"/>
        <v>4</v>
      </c>
      <c r="Q576" s="4" t="str">
        <f t="shared" ca="1" si="51"/>
        <v>3-5 Years</v>
      </c>
      <c r="R576">
        <f t="shared" ca="1" si="53"/>
        <v>0</v>
      </c>
      <c r="S576" t="s">
        <v>22</v>
      </c>
      <c r="T576">
        <v>4</v>
      </c>
      <c r="U576" t="s">
        <v>1394</v>
      </c>
      <c r="V576" t="s">
        <v>1394</v>
      </c>
      <c r="W576" t="s">
        <v>1394</v>
      </c>
      <c r="X576" s="3">
        <v>4</v>
      </c>
      <c r="Y576" t="s">
        <v>1395</v>
      </c>
      <c r="Z576">
        <v>47913</v>
      </c>
      <c r="AA576">
        <v>0.1</v>
      </c>
      <c r="AB576">
        <v>52704.3</v>
      </c>
    </row>
    <row r="577" spans="1:28" x14ac:dyDescent="0.35">
      <c r="A577" t="str">
        <f t="shared" si="48"/>
        <v>EMP0576</v>
      </c>
      <c r="B577" t="str" cm="1">
        <f t="array" ref="B577">_xlfn.IFS(
ROW()&lt;=421,"NA",
ROW()&lt;=781,"LATAM",
ROW()&lt;=1021,"EMEA",
TRUE,"APAC"
)</f>
        <v>LATAM</v>
      </c>
      <c r="C577" t="str">
        <f t="shared" si="49"/>
        <v>Mexico</v>
      </c>
      <c r="D577" t="s">
        <v>35</v>
      </c>
      <c r="E577" t="s">
        <v>380</v>
      </c>
      <c r="F577" t="s">
        <v>541</v>
      </c>
      <c r="G577" t="s">
        <v>28</v>
      </c>
      <c r="H577" s="2">
        <v>44300</v>
      </c>
      <c r="I577" t="s">
        <v>29</v>
      </c>
      <c r="J577" t="s">
        <v>36</v>
      </c>
      <c r="K577" t="str">
        <f t="shared" ca="1" si="52"/>
        <v>OK</v>
      </c>
      <c r="L577" t="s">
        <v>542</v>
      </c>
      <c r="M577">
        <v>5</v>
      </c>
      <c r="N577" s="2">
        <v>46035</v>
      </c>
      <c r="O577" s="2" t="s">
        <v>22</v>
      </c>
      <c r="P577" s="4">
        <f t="shared" ca="1" si="50"/>
        <v>4</v>
      </c>
      <c r="Q577" s="4" t="str">
        <f t="shared" ca="1" si="51"/>
        <v>3-5 Years</v>
      </c>
      <c r="R577">
        <f t="shared" ca="1" si="53"/>
        <v>0</v>
      </c>
      <c r="S577" t="s">
        <v>22</v>
      </c>
      <c r="T577">
        <v>3</v>
      </c>
      <c r="U577" t="s">
        <v>1394</v>
      </c>
      <c r="V577" t="s">
        <v>1394</v>
      </c>
      <c r="W577" t="s">
        <v>1394</v>
      </c>
      <c r="X577" s="3">
        <v>5</v>
      </c>
      <c r="Y577" t="s">
        <v>1395</v>
      </c>
      <c r="Z577">
        <v>39622</v>
      </c>
      <c r="AA577">
        <v>0.1</v>
      </c>
      <c r="AB577">
        <v>43584.200000000004</v>
      </c>
    </row>
    <row r="578" spans="1:28" x14ac:dyDescent="0.35">
      <c r="A578" t="str">
        <f t="shared" ref="A578:A641" si="54">"EMP"&amp;TEXT(ROW()-1,"0000")</f>
        <v>EMP0577</v>
      </c>
      <c r="B578" t="str" cm="1">
        <f t="array" ref="B578">_xlfn.IFS(
ROW()&lt;=421,"NA",
ROW()&lt;=781,"LATAM",
ROW()&lt;=1021,"EMEA",
TRUE,"APAC"
)</f>
        <v>LATAM</v>
      </c>
      <c r="C578" t="str">
        <f t="shared" ref="C578:C641" si="55">IF(B578="NA","USA",
IF(B578="LATAM","Mexico",
IF(B578="EMEA","Germany","Singapore")))</f>
        <v>Mexico</v>
      </c>
      <c r="D578" t="s">
        <v>38</v>
      </c>
      <c r="E578" t="s">
        <v>380</v>
      </c>
      <c r="F578" t="s">
        <v>522</v>
      </c>
      <c r="G578" t="s">
        <v>28</v>
      </c>
      <c r="H578" s="2">
        <v>44299</v>
      </c>
      <c r="I578" t="s">
        <v>29</v>
      </c>
      <c r="J578" t="s">
        <v>39</v>
      </c>
      <c r="K578" t="str">
        <f t="shared" ca="1" si="52"/>
        <v>OK</v>
      </c>
      <c r="L578" t="s">
        <v>1129</v>
      </c>
      <c r="M578">
        <v>5</v>
      </c>
      <c r="N578" s="2">
        <v>46014</v>
      </c>
      <c r="O578" s="2" t="s">
        <v>22</v>
      </c>
      <c r="P578" s="4">
        <f t="shared" ref="P578:P641" ca="1" si="56">IF(H578&gt;TODAY(),
"",
IF(I578="Active",
DATEDIF(H578,TODAY(),"Y"),
DATEDIF(H578,O578,"Y")
))</f>
        <v>4</v>
      </c>
      <c r="Q578" s="4" t="str">
        <f t="shared" ref="Q578:Q641" ca="1" si="57">IF(P578&lt;=2,"0-2 Years",
IF(P578&lt;=5,"3-5 Years",
IF(P578&lt;=10,"6-10 Years","10+ Years")))</f>
        <v>3-5 Years</v>
      </c>
      <c r="R578">
        <f t="shared" ca="1" si="53"/>
        <v>0</v>
      </c>
      <c r="S578" t="s">
        <v>22</v>
      </c>
      <c r="T578">
        <v>4</v>
      </c>
      <c r="U578" t="s">
        <v>1394</v>
      </c>
      <c r="V578" t="s">
        <v>1394</v>
      </c>
      <c r="W578" t="s">
        <v>1394</v>
      </c>
      <c r="X578" s="3">
        <v>5</v>
      </c>
      <c r="Y578" t="s">
        <v>1395</v>
      </c>
      <c r="Z578">
        <v>22188</v>
      </c>
      <c r="AA578">
        <v>0.1</v>
      </c>
      <c r="AB578">
        <v>24406.800000000003</v>
      </c>
    </row>
    <row r="579" spans="1:28" x14ac:dyDescent="0.35">
      <c r="A579" t="str">
        <f t="shared" si="54"/>
        <v>EMP0578</v>
      </c>
      <c r="B579" t="str" cm="1">
        <f t="array" ref="B579">_xlfn.IFS(
ROW()&lt;=421,"NA",
ROW()&lt;=781,"LATAM",
ROW()&lt;=1021,"EMEA",
TRUE,"APAC"
)</f>
        <v>LATAM</v>
      </c>
      <c r="C579" t="str">
        <f t="shared" si="55"/>
        <v>Mexico</v>
      </c>
      <c r="D579" t="s">
        <v>38</v>
      </c>
      <c r="E579" t="s">
        <v>380</v>
      </c>
      <c r="F579" t="s">
        <v>684</v>
      </c>
      <c r="G579" t="s">
        <v>28</v>
      </c>
      <c r="H579" s="2">
        <v>44298</v>
      </c>
      <c r="I579" t="s">
        <v>29</v>
      </c>
      <c r="J579" t="s">
        <v>39</v>
      </c>
      <c r="K579" t="str">
        <f t="shared" ref="K579:K642" ca="1" si="58">IF(
OR(
H579="",
I579="",
AND(I579="Inactive",O579=""),
H579&gt;TODAY(),
Z579="",
F579="",
D579="",
X579&lt;1
),
"⚠ Review",
"OK"
)</f>
        <v>OK</v>
      </c>
      <c r="L579" t="s">
        <v>1316</v>
      </c>
      <c r="M579">
        <v>5</v>
      </c>
      <c r="N579" s="2">
        <v>46059</v>
      </c>
      <c r="O579" s="2" t="s">
        <v>22</v>
      </c>
      <c r="P579" s="4">
        <f t="shared" ca="1" si="56"/>
        <v>4</v>
      </c>
      <c r="Q579" s="4" t="str">
        <f t="shared" ca="1" si="57"/>
        <v>3-5 Years</v>
      </c>
      <c r="R579">
        <f t="shared" ref="R579:R642" ca="1" si="59">IF(P579&lt;=2,1,0)</f>
        <v>0</v>
      </c>
      <c r="S579" t="s">
        <v>22</v>
      </c>
      <c r="T579">
        <v>3</v>
      </c>
      <c r="U579" t="s">
        <v>1394</v>
      </c>
      <c r="V579" t="s">
        <v>1394</v>
      </c>
      <c r="W579" t="s">
        <v>1394</v>
      </c>
      <c r="X579" s="3">
        <v>1</v>
      </c>
      <c r="Y579" t="s">
        <v>1397</v>
      </c>
      <c r="Z579">
        <v>39406</v>
      </c>
      <c r="AA579">
        <v>0.1</v>
      </c>
      <c r="AB579">
        <v>43346.600000000006</v>
      </c>
    </row>
    <row r="580" spans="1:28" x14ac:dyDescent="0.35">
      <c r="A580" t="str">
        <f t="shared" si="54"/>
        <v>EMP0579</v>
      </c>
      <c r="B580" t="str" cm="1">
        <f t="array" ref="B580">_xlfn.IFS(
ROW()&lt;=421,"NA",
ROW()&lt;=781,"LATAM",
ROW()&lt;=1021,"EMEA",
TRUE,"APAC"
)</f>
        <v>LATAM</v>
      </c>
      <c r="C580" t="str">
        <f t="shared" si="55"/>
        <v>Mexico</v>
      </c>
      <c r="D580" t="s">
        <v>26</v>
      </c>
      <c r="E580" t="s">
        <v>45</v>
      </c>
      <c r="F580" t="s">
        <v>49</v>
      </c>
      <c r="G580" t="s">
        <v>28</v>
      </c>
      <c r="H580" s="2">
        <v>44297</v>
      </c>
      <c r="I580" t="s">
        <v>29</v>
      </c>
      <c r="J580" t="s">
        <v>30</v>
      </c>
      <c r="K580" t="str">
        <f t="shared" ca="1" si="58"/>
        <v>OK</v>
      </c>
      <c r="L580" t="s">
        <v>50</v>
      </c>
      <c r="M580">
        <v>2</v>
      </c>
      <c r="N580" s="2">
        <v>46045</v>
      </c>
      <c r="O580" s="2" t="s">
        <v>22</v>
      </c>
      <c r="P580" s="4">
        <f t="shared" ca="1" si="56"/>
        <v>4</v>
      </c>
      <c r="Q580" s="4" t="str">
        <f t="shared" ca="1" si="57"/>
        <v>3-5 Years</v>
      </c>
      <c r="R580">
        <f t="shared" ca="1" si="59"/>
        <v>0</v>
      </c>
      <c r="S580" t="s">
        <v>22</v>
      </c>
      <c r="T580">
        <v>3</v>
      </c>
      <c r="U580" t="s">
        <v>1394</v>
      </c>
      <c r="V580" t="s">
        <v>1394</v>
      </c>
      <c r="W580" t="s">
        <v>1394</v>
      </c>
      <c r="X580" s="3">
        <v>1</v>
      </c>
      <c r="Y580" t="s">
        <v>1397</v>
      </c>
      <c r="Z580">
        <v>177970</v>
      </c>
      <c r="AA580">
        <v>0.25</v>
      </c>
      <c r="AB580">
        <v>222462.5</v>
      </c>
    </row>
    <row r="581" spans="1:28" x14ac:dyDescent="0.35">
      <c r="A581" t="str">
        <f t="shared" si="54"/>
        <v>EMP0580</v>
      </c>
      <c r="B581" t="str" cm="1">
        <f t="array" ref="B581">_xlfn.IFS(
ROW()&lt;=421,"NA",
ROW()&lt;=781,"LATAM",
ROW()&lt;=1021,"EMEA",
TRUE,"APAC"
)</f>
        <v>LATAM</v>
      </c>
      <c r="C581" t="str">
        <f t="shared" si="55"/>
        <v>Mexico</v>
      </c>
      <c r="D581" t="s">
        <v>41</v>
      </c>
      <c r="E581" t="s">
        <v>380</v>
      </c>
      <c r="F581" t="s">
        <v>669</v>
      </c>
      <c r="G581" t="s">
        <v>28</v>
      </c>
      <c r="H581" s="2">
        <v>44288</v>
      </c>
      <c r="I581" t="s">
        <v>29</v>
      </c>
      <c r="J581" t="s">
        <v>42</v>
      </c>
      <c r="K581" t="str">
        <f t="shared" ca="1" si="58"/>
        <v>OK</v>
      </c>
      <c r="L581" t="s">
        <v>1336</v>
      </c>
      <c r="M581">
        <v>5</v>
      </c>
      <c r="N581" s="2">
        <v>46072</v>
      </c>
      <c r="O581" s="2" t="s">
        <v>22</v>
      </c>
      <c r="P581" s="4">
        <f t="shared" ca="1" si="56"/>
        <v>4</v>
      </c>
      <c r="Q581" s="4" t="str">
        <f t="shared" ca="1" si="57"/>
        <v>3-5 Years</v>
      </c>
      <c r="R581">
        <f t="shared" ca="1" si="59"/>
        <v>0</v>
      </c>
      <c r="S581" t="s">
        <v>22</v>
      </c>
      <c r="T581">
        <v>3</v>
      </c>
      <c r="U581" t="s">
        <v>1394</v>
      </c>
      <c r="V581" t="s">
        <v>1394</v>
      </c>
      <c r="W581" t="s">
        <v>1394</v>
      </c>
      <c r="X581" s="3">
        <v>2</v>
      </c>
      <c r="Y581" t="s">
        <v>1397</v>
      </c>
      <c r="Z581">
        <v>38726</v>
      </c>
      <c r="AA581">
        <v>0.1</v>
      </c>
      <c r="AB581">
        <v>42598.600000000006</v>
      </c>
    </row>
    <row r="582" spans="1:28" x14ac:dyDescent="0.35">
      <c r="A582" t="str">
        <f t="shared" si="54"/>
        <v>EMP0581</v>
      </c>
      <c r="B582" t="str" cm="1">
        <f t="array" ref="B582">_xlfn.IFS(
ROW()&lt;=421,"NA",
ROW()&lt;=781,"LATAM",
ROW()&lt;=1021,"EMEA",
TRUE,"APAC"
)</f>
        <v>LATAM</v>
      </c>
      <c r="C582" t="str">
        <f t="shared" si="55"/>
        <v>Mexico</v>
      </c>
      <c r="D582" t="s">
        <v>41</v>
      </c>
      <c r="E582" t="s">
        <v>380</v>
      </c>
      <c r="F582" t="s">
        <v>823</v>
      </c>
      <c r="G582" t="s">
        <v>28</v>
      </c>
      <c r="H582" s="2">
        <v>44283</v>
      </c>
      <c r="I582" t="s">
        <v>29</v>
      </c>
      <c r="J582" t="s">
        <v>42</v>
      </c>
      <c r="K582" t="str">
        <f t="shared" ca="1" si="58"/>
        <v>OK</v>
      </c>
      <c r="L582" t="s">
        <v>1104</v>
      </c>
      <c r="M582">
        <v>5</v>
      </c>
      <c r="N582" s="2">
        <v>46013</v>
      </c>
      <c r="O582" s="2" t="s">
        <v>22</v>
      </c>
      <c r="P582" s="4">
        <f t="shared" ca="1" si="56"/>
        <v>4</v>
      </c>
      <c r="Q582" s="4" t="str">
        <f t="shared" ca="1" si="57"/>
        <v>3-5 Years</v>
      </c>
      <c r="R582">
        <f t="shared" ca="1" si="59"/>
        <v>0</v>
      </c>
      <c r="S582" t="s">
        <v>22</v>
      </c>
      <c r="T582">
        <v>4</v>
      </c>
      <c r="U582" t="s">
        <v>1394</v>
      </c>
      <c r="V582" t="s">
        <v>1394</v>
      </c>
      <c r="W582" t="s">
        <v>1394</v>
      </c>
      <c r="X582" s="3">
        <v>1</v>
      </c>
      <c r="Y582" t="s">
        <v>1397</v>
      </c>
      <c r="Z582">
        <v>39208</v>
      </c>
      <c r="AA582">
        <v>0.1</v>
      </c>
      <c r="AB582">
        <v>43128.800000000003</v>
      </c>
    </row>
    <row r="583" spans="1:28" x14ac:dyDescent="0.35">
      <c r="A583" t="str">
        <f t="shared" si="54"/>
        <v>EMP0582</v>
      </c>
      <c r="B583" t="str" cm="1">
        <f t="array" ref="B583">_xlfn.IFS(
ROW()&lt;=421,"NA",
ROW()&lt;=781,"LATAM",
ROW()&lt;=1021,"EMEA",
TRUE,"APAC"
)</f>
        <v>LATAM</v>
      </c>
      <c r="C583" t="str">
        <f t="shared" si="55"/>
        <v>Mexico</v>
      </c>
      <c r="D583" t="s">
        <v>44</v>
      </c>
      <c r="E583" t="s">
        <v>145</v>
      </c>
      <c r="F583" t="s">
        <v>244</v>
      </c>
      <c r="G583" t="s">
        <v>53</v>
      </c>
      <c r="H583" s="2">
        <v>44275</v>
      </c>
      <c r="I583" t="s">
        <v>29</v>
      </c>
      <c r="J583" t="s">
        <v>47</v>
      </c>
      <c r="K583" t="str">
        <f t="shared" ca="1" si="58"/>
        <v>OK</v>
      </c>
      <c r="L583" t="s">
        <v>245</v>
      </c>
      <c r="M583">
        <v>4</v>
      </c>
      <c r="N583" s="2">
        <v>46048</v>
      </c>
      <c r="O583" s="2" t="s">
        <v>22</v>
      </c>
      <c r="P583" s="4">
        <f t="shared" ca="1" si="56"/>
        <v>4</v>
      </c>
      <c r="Q583" s="4" t="str">
        <f t="shared" ca="1" si="57"/>
        <v>3-5 Years</v>
      </c>
      <c r="R583">
        <f t="shared" ca="1" si="59"/>
        <v>0</v>
      </c>
      <c r="S583" t="s">
        <v>22</v>
      </c>
      <c r="T583">
        <v>3</v>
      </c>
      <c r="U583" t="s">
        <v>1394</v>
      </c>
      <c r="V583" t="s">
        <v>1394</v>
      </c>
      <c r="W583" t="s">
        <v>1394</v>
      </c>
      <c r="X583" s="3">
        <v>1</v>
      </c>
      <c r="Y583" t="s">
        <v>1397</v>
      </c>
      <c r="Z583">
        <v>80065</v>
      </c>
      <c r="AA583">
        <v>0.15</v>
      </c>
      <c r="AB583">
        <v>92074.75</v>
      </c>
    </row>
    <row r="584" spans="1:28" x14ac:dyDescent="0.35">
      <c r="A584" t="str">
        <f t="shared" si="54"/>
        <v>EMP0583</v>
      </c>
      <c r="B584" t="str" cm="1">
        <f t="array" ref="B584">_xlfn.IFS(
ROW()&lt;=421,"NA",
ROW()&lt;=781,"LATAM",
ROW()&lt;=1021,"EMEA",
TRUE,"APAC"
)</f>
        <v>LATAM</v>
      </c>
      <c r="C584" t="str">
        <f t="shared" si="55"/>
        <v>Mexico</v>
      </c>
      <c r="D584" t="s">
        <v>32</v>
      </c>
      <c r="E584" t="s">
        <v>145</v>
      </c>
      <c r="F584" t="s">
        <v>166</v>
      </c>
      <c r="G584" t="s">
        <v>28</v>
      </c>
      <c r="H584" s="2">
        <v>44269</v>
      </c>
      <c r="I584" t="s">
        <v>29</v>
      </c>
      <c r="J584" t="s">
        <v>33</v>
      </c>
      <c r="K584" t="str">
        <f t="shared" ca="1" si="58"/>
        <v>OK</v>
      </c>
      <c r="L584" t="s">
        <v>167</v>
      </c>
      <c r="M584">
        <v>4</v>
      </c>
      <c r="N584" s="2">
        <v>46012</v>
      </c>
      <c r="O584" s="2" t="s">
        <v>22</v>
      </c>
      <c r="P584" s="4">
        <f t="shared" ca="1" si="56"/>
        <v>4</v>
      </c>
      <c r="Q584" s="4" t="str">
        <f t="shared" ca="1" si="57"/>
        <v>3-5 Years</v>
      </c>
      <c r="R584">
        <f t="shared" ca="1" si="59"/>
        <v>0</v>
      </c>
      <c r="S584" t="s">
        <v>22</v>
      </c>
      <c r="T584">
        <v>4</v>
      </c>
      <c r="U584" t="s">
        <v>1394</v>
      </c>
      <c r="V584" t="s">
        <v>1396</v>
      </c>
      <c r="W584" t="s">
        <v>1396</v>
      </c>
      <c r="X584" s="3">
        <v>4</v>
      </c>
      <c r="Y584" t="s">
        <v>1395</v>
      </c>
      <c r="Z584">
        <v>58220</v>
      </c>
      <c r="AA584">
        <v>0.15</v>
      </c>
      <c r="AB584">
        <v>66953</v>
      </c>
    </row>
    <row r="585" spans="1:28" x14ac:dyDescent="0.35">
      <c r="A585" t="str">
        <f t="shared" si="54"/>
        <v>EMP0584</v>
      </c>
      <c r="B585" t="str" cm="1">
        <f t="array" ref="B585">_xlfn.IFS(
ROW()&lt;=421,"NA",
ROW()&lt;=781,"LATAM",
ROW()&lt;=1021,"EMEA",
TRUE,"APAC"
)</f>
        <v>LATAM</v>
      </c>
      <c r="C585" t="str">
        <f t="shared" si="55"/>
        <v>Mexico</v>
      </c>
      <c r="D585" t="s">
        <v>41</v>
      </c>
      <c r="E585" t="s">
        <v>380</v>
      </c>
      <c r="F585" t="s">
        <v>399</v>
      </c>
      <c r="G585" t="s">
        <v>28</v>
      </c>
      <c r="H585" s="2">
        <v>44267</v>
      </c>
      <c r="I585" t="s">
        <v>29</v>
      </c>
      <c r="J585" t="s">
        <v>42</v>
      </c>
      <c r="K585" t="str">
        <f t="shared" ca="1" si="58"/>
        <v>OK</v>
      </c>
      <c r="L585" t="s">
        <v>926</v>
      </c>
      <c r="M585">
        <v>5</v>
      </c>
      <c r="N585" s="2">
        <v>46056</v>
      </c>
      <c r="O585" s="2" t="s">
        <v>22</v>
      </c>
      <c r="P585" s="4">
        <f t="shared" ca="1" si="56"/>
        <v>4</v>
      </c>
      <c r="Q585" s="4" t="str">
        <f t="shared" ca="1" si="57"/>
        <v>3-5 Years</v>
      </c>
      <c r="R585">
        <f t="shared" ca="1" si="59"/>
        <v>0</v>
      </c>
      <c r="S585" t="s">
        <v>22</v>
      </c>
      <c r="T585">
        <v>4</v>
      </c>
      <c r="U585" t="s">
        <v>1394</v>
      </c>
      <c r="V585" t="s">
        <v>1394</v>
      </c>
      <c r="W585" t="s">
        <v>1394</v>
      </c>
      <c r="X585" s="3">
        <v>1</v>
      </c>
      <c r="Y585" t="s">
        <v>1397</v>
      </c>
      <c r="Z585">
        <v>45377</v>
      </c>
      <c r="AA585">
        <v>0.1</v>
      </c>
      <c r="AB585">
        <v>49914.700000000004</v>
      </c>
    </row>
    <row r="586" spans="1:28" x14ac:dyDescent="0.35">
      <c r="A586" t="str">
        <f t="shared" si="54"/>
        <v>EMP0585</v>
      </c>
      <c r="B586" t="str" cm="1">
        <f t="array" ref="B586">_xlfn.IFS(
ROW()&lt;=421,"NA",
ROW()&lt;=781,"LATAM",
ROW()&lt;=1021,"EMEA",
TRUE,"APAC"
)</f>
        <v>LATAM</v>
      </c>
      <c r="C586" t="str">
        <f t="shared" si="55"/>
        <v>Mexico</v>
      </c>
      <c r="D586" t="s">
        <v>26</v>
      </c>
      <c r="E586" t="s">
        <v>380</v>
      </c>
      <c r="F586" t="s">
        <v>458</v>
      </c>
      <c r="G586" t="s">
        <v>28</v>
      </c>
      <c r="H586" s="2">
        <v>44266</v>
      </c>
      <c r="I586" t="s">
        <v>29</v>
      </c>
      <c r="J586" t="s">
        <v>30</v>
      </c>
      <c r="K586" t="str">
        <f t="shared" ca="1" si="58"/>
        <v>OK</v>
      </c>
      <c r="L586" t="s">
        <v>780</v>
      </c>
      <c r="M586">
        <v>5</v>
      </c>
      <c r="N586" s="2">
        <v>46001</v>
      </c>
      <c r="O586" s="2" t="s">
        <v>22</v>
      </c>
      <c r="P586" s="4">
        <f t="shared" ca="1" si="56"/>
        <v>4</v>
      </c>
      <c r="Q586" s="4" t="str">
        <f t="shared" ca="1" si="57"/>
        <v>3-5 Years</v>
      </c>
      <c r="R586">
        <f t="shared" ca="1" si="59"/>
        <v>0</v>
      </c>
      <c r="S586" t="s">
        <v>22</v>
      </c>
      <c r="T586">
        <v>2</v>
      </c>
      <c r="U586" t="s">
        <v>1394</v>
      </c>
      <c r="V586" t="s">
        <v>1394</v>
      </c>
      <c r="W586" t="s">
        <v>1394</v>
      </c>
      <c r="X586" s="3">
        <v>3</v>
      </c>
      <c r="Y586" t="s">
        <v>1398</v>
      </c>
      <c r="Z586">
        <v>26537</v>
      </c>
      <c r="AA586">
        <v>0.1</v>
      </c>
      <c r="AB586">
        <v>29190.7</v>
      </c>
    </row>
    <row r="587" spans="1:28" x14ac:dyDescent="0.35">
      <c r="A587" t="str">
        <f t="shared" si="54"/>
        <v>EMP0586</v>
      </c>
      <c r="B587" t="str" cm="1">
        <f t="array" ref="B587">_xlfn.IFS(
ROW()&lt;=421,"NA",
ROW()&lt;=781,"LATAM",
ROW()&lt;=1021,"EMEA",
TRUE,"APAC"
)</f>
        <v>LATAM</v>
      </c>
      <c r="C587" t="str">
        <f t="shared" si="55"/>
        <v>Mexico</v>
      </c>
      <c r="D587" t="s">
        <v>41</v>
      </c>
      <c r="E587" t="s">
        <v>380</v>
      </c>
      <c r="F587" t="s">
        <v>663</v>
      </c>
      <c r="G587" t="s">
        <v>28</v>
      </c>
      <c r="H587" s="2">
        <v>44261</v>
      </c>
      <c r="I587" t="s">
        <v>29</v>
      </c>
      <c r="J587" t="s">
        <v>42</v>
      </c>
      <c r="K587" t="str">
        <f t="shared" ca="1" si="58"/>
        <v>OK</v>
      </c>
      <c r="L587" t="s">
        <v>664</v>
      </c>
      <c r="M587">
        <v>5</v>
      </c>
      <c r="N587" s="2">
        <v>46014</v>
      </c>
      <c r="O587" s="2" t="s">
        <v>22</v>
      </c>
      <c r="P587" s="4">
        <f t="shared" ca="1" si="56"/>
        <v>4</v>
      </c>
      <c r="Q587" s="4" t="str">
        <f t="shared" ca="1" si="57"/>
        <v>3-5 Years</v>
      </c>
      <c r="R587">
        <f t="shared" ca="1" si="59"/>
        <v>0</v>
      </c>
      <c r="S587" t="s">
        <v>22</v>
      </c>
      <c r="T587">
        <v>3</v>
      </c>
      <c r="U587" t="s">
        <v>1396</v>
      </c>
      <c r="V587" t="s">
        <v>1394</v>
      </c>
      <c r="W587" t="s">
        <v>1394</v>
      </c>
      <c r="X587" s="3">
        <v>2</v>
      </c>
      <c r="Y587" t="s">
        <v>1397</v>
      </c>
      <c r="Z587">
        <v>29624</v>
      </c>
      <c r="AA587">
        <v>0.1</v>
      </c>
      <c r="AB587">
        <v>32586.400000000001</v>
      </c>
    </row>
    <row r="588" spans="1:28" x14ac:dyDescent="0.35">
      <c r="A588" t="str">
        <f t="shared" si="54"/>
        <v>EMP0587</v>
      </c>
      <c r="B588" t="str" cm="1">
        <f t="array" ref="B588">_xlfn.IFS(
ROW()&lt;=421,"NA",
ROW()&lt;=781,"LATAM",
ROW()&lt;=1021,"EMEA",
TRUE,"APAC"
)</f>
        <v>LATAM</v>
      </c>
      <c r="C588" t="str">
        <f t="shared" si="55"/>
        <v>Mexico</v>
      </c>
      <c r="D588" t="s">
        <v>41</v>
      </c>
      <c r="E588" t="s">
        <v>380</v>
      </c>
      <c r="F588" t="s">
        <v>990</v>
      </c>
      <c r="G588" t="s">
        <v>28</v>
      </c>
      <c r="H588" s="2">
        <v>44257</v>
      </c>
      <c r="I588" t="s">
        <v>57</v>
      </c>
      <c r="J588" t="s">
        <v>42</v>
      </c>
      <c r="K588" t="str">
        <f t="shared" ca="1" si="58"/>
        <v>OK</v>
      </c>
      <c r="L588" t="s">
        <v>991</v>
      </c>
      <c r="M588">
        <v>5</v>
      </c>
      <c r="N588" s="2">
        <v>45993</v>
      </c>
      <c r="O588" s="2">
        <v>44973</v>
      </c>
      <c r="P588" s="4">
        <f t="shared" ca="1" si="56"/>
        <v>1</v>
      </c>
      <c r="Q588" s="4" t="str">
        <f t="shared" ca="1" si="57"/>
        <v>0-2 Years</v>
      </c>
      <c r="R588">
        <f t="shared" ca="1" si="59"/>
        <v>1</v>
      </c>
      <c r="S588" t="s">
        <v>24</v>
      </c>
      <c r="T588">
        <v>3</v>
      </c>
      <c r="U588" t="s">
        <v>1394</v>
      </c>
      <c r="V588" t="s">
        <v>1394</v>
      </c>
      <c r="W588" t="s">
        <v>1394</v>
      </c>
      <c r="X588" s="3">
        <v>1</v>
      </c>
      <c r="Y588" t="s">
        <v>1397</v>
      </c>
      <c r="Z588">
        <v>49178</v>
      </c>
      <c r="AA588">
        <v>0.1</v>
      </c>
      <c r="AB588">
        <v>54095.8</v>
      </c>
    </row>
    <row r="589" spans="1:28" x14ac:dyDescent="0.35">
      <c r="A589" t="str">
        <f t="shared" si="54"/>
        <v>EMP0588</v>
      </c>
      <c r="B589" t="str" cm="1">
        <f t="array" ref="B589">_xlfn.IFS(
ROW()&lt;=421,"NA",
ROW()&lt;=781,"LATAM",
ROW()&lt;=1021,"EMEA",
TRUE,"APAC"
)</f>
        <v>LATAM</v>
      </c>
      <c r="C589" t="str">
        <f t="shared" si="55"/>
        <v>Mexico</v>
      </c>
      <c r="D589" t="s">
        <v>38</v>
      </c>
      <c r="E589" t="s">
        <v>380</v>
      </c>
      <c r="F589" t="s">
        <v>931</v>
      </c>
      <c r="G589" t="s">
        <v>28</v>
      </c>
      <c r="H589" s="2">
        <v>44247</v>
      </c>
      <c r="I589" t="s">
        <v>29</v>
      </c>
      <c r="J589" t="s">
        <v>39</v>
      </c>
      <c r="K589" t="str">
        <f t="shared" ca="1" si="58"/>
        <v>OK</v>
      </c>
      <c r="L589" t="s">
        <v>932</v>
      </c>
      <c r="M589">
        <v>5</v>
      </c>
      <c r="N589" s="2">
        <v>46071</v>
      </c>
      <c r="O589" s="2" t="s">
        <v>22</v>
      </c>
      <c r="P589" s="4">
        <f t="shared" ca="1" si="56"/>
        <v>5</v>
      </c>
      <c r="Q589" s="4" t="str">
        <f t="shared" ca="1" si="57"/>
        <v>3-5 Years</v>
      </c>
      <c r="R589">
        <f t="shared" ca="1" si="59"/>
        <v>0</v>
      </c>
      <c r="S589" t="s">
        <v>22</v>
      </c>
      <c r="T589">
        <v>4</v>
      </c>
      <c r="U589" t="s">
        <v>1394</v>
      </c>
      <c r="V589" t="s">
        <v>1394</v>
      </c>
      <c r="W589" t="s">
        <v>1394</v>
      </c>
      <c r="X589" s="3">
        <v>1</v>
      </c>
      <c r="Y589" t="s">
        <v>1397</v>
      </c>
      <c r="Z589">
        <v>27954</v>
      </c>
      <c r="AA589">
        <v>0.1</v>
      </c>
      <c r="AB589">
        <v>30749.4</v>
      </c>
    </row>
    <row r="590" spans="1:28" x14ac:dyDescent="0.35">
      <c r="A590" t="str">
        <f t="shared" si="54"/>
        <v>EMP0589</v>
      </c>
      <c r="B590" t="str" cm="1">
        <f t="array" ref="B590">_xlfn.IFS(
ROW()&lt;=421,"NA",
ROW()&lt;=781,"LATAM",
ROW()&lt;=1021,"EMEA",
TRUE,"APAC"
)</f>
        <v>LATAM</v>
      </c>
      <c r="C590" t="str">
        <f t="shared" si="55"/>
        <v>Mexico</v>
      </c>
      <c r="D590" t="s">
        <v>38</v>
      </c>
      <c r="E590" t="s">
        <v>380</v>
      </c>
      <c r="F590" t="s">
        <v>958</v>
      </c>
      <c r="G590" t="s">
        <v>28</v>
      </c>
      <c r="H590" s="2">
        <v>44245</v>
      </c>
      <c r="I590" t="s">
        <v>29</v>
      </c>
      <c r="J590" t="s">
        <v>39</v>
      </c>
      <c r="K590" t="str">
        <f t="shared" ca="1" si="58"/>
        <v>OK</v>
      </c>
      <c r="L590" t="s">
        <v>959</v>
      </c>
      <c r="M590">
        <v>5</v>
      </c>
      <c r="N590" s="2">
        <v>46043</v>
      </c>
      <c r="O590" s="2" t="s">
        <v>22</v>
      </c>
      <c r="P590" s="4">
        <f t="shared" ca="1" si="56"/>
        <v>5</v>
      </c>
      <c r="Q590" s="4" t="str">
        <f t="shared" ca="1" si="57"/>
        <v>3-5 Years</v>
      </c>
      <c r="R590">
        <f t="shared" ca="1" si="59"/>
        <v>0</v>
      </c>
      <c r="S590" t="s">
        <v>22</v>
      </c>
      <c r="T590">
        <v>5</v>
      </c>
      <c r="U590" t="s">
        <v>1394</v>
      </c>
      <c r="V590" t="s">
        <v>1394</v>
      </c>
      <c r="W590" t="s">
        <v>1394</v>
      </c>
      <c r="X590" s="3">
        <v>1</v>
      </c>
      <c r="Y590" t="s">
        <v>1397</v>
      </c>
      <c r="Z590">
        <v>45908</v>
      </c>
      <c r="AA590">
        <v>0.1</v>
      </c>
      <c r="AB590">
        <v>50498.8</v>
      </c>
    </row>
    <row r="591" spans="1:28" x14ac:dyDescent="0.35">
      <c r="A591" t="str">
        <f t="shared" si="54"/>
        <v>EMP0590</v>
      </c>
      <c r="B591" t="str" cm="1">
        <f t="array" ref="B591">_xlfn.IFS(
ROW()&lt;=421,"NA",
ROW()&lt;=781,"LATAM",
ROW()&lt;=1021,"EMEA",
TRUE,"APAC"
)</f>
        <v>LATAM</v>
      </c>
      <c r="C591" t="str">
        <f t="shared" si="55"/>
        <v>Mexico</v>
      </c>
      <c r="D591" t="s">
        <v>35</v>
      </c>
      <c r="E591" t="s">
        <v>380</v>
      </c>
      <c r="F591" t="s">
        <v>508</v>
      </c>
      <c r="G591" t="s">
        <v>28</v>
      </c>
      <c r="H591" s="2">
        <v>44244</v>
      </c>
      <c r="I591" t="s">
        <v>29</v>
      </c>
      <c r="J591" t="s">
        <v>36</v>
      </c>
      <c r="K591" t="str">
        <f t="shared" ca="1" si="58"/>
        <v>OK</v>
      </c>
      <c r="L591" t="s">
        <v>1062</v>
      </c>
      <c r="M591">
        <v>5</v>
      </c>
      <c r="N591" s="2">
        <v>46003</v>
      </c>
      <c r="O591" s="2" t="s">
        <v>22</v>
      </c>
      <c r="P591" s="4">
        <f t="shared" ca="1" si="56"/>
        <v>5</v>
      </c>
      <c r="Q591" s="4" t="str">
        <f t="shared" ca="1" si="57"/>
        <v>3-5 Years</v>
      </c>
      <c r="R591">
        <f t="shared" ca="1" si="59"/>
        <v>0</v>
      </c>
      <c r="S591" t="s">
        <v>22</v>
      </c>
      <c r="T591">
        <v>3</v>
      </c>
      <c r="U591" t="s">
        <v>1394</v>
      </c>
      <c r="V591" t="s">
        <v>1394</v>
      </c>
      <c r="W591" t="s">
        <v>1394</v>
      </c>
      <c r="X591" s="3">
        <v>4</v>
      </c>
      <c r="Y591" t="s">
        <v>1395</v>
      </c>
      <c r="Z591">
        <v>20571</v>
      </c>
      <c r="AA591">
        <v>0.1</v>
      </c>
      <c r="AB591">
        <v>22628.100000000002</v>
      </c>
    </row>
    <row r="592" spans="1:28" x14ac:dyDescent="0.35">
      <c r="A592" t="str">
        <f t="shared" si="54"/>
        <v>EMP0591</v>
      </c>
      <c r="B592" t="str" cm="1">
        <f t="array" ref="B592">_xlfn.IFS(
ROW()&lt;=421,"NA",
ROW()&lt;=781,"LATAM",
ROW()&lt;=1021,"EMEA",
TRUE,"APAC"
)</f>
        <v>LATAM</v>
      </c>
      <c r="C592" t="str">
        <f t="shared" si="55"/>
        <v>Mexico</v>
      </c>
      <c r="D592" t="s">
        <v>41</v>
      </c>
      <c r="E592" t="s">
        <v>145</v>
      </c>
      <c r="F592" t="s">
        <v>182</v>
      </c>
      <c r="G592" t="s">
        <v>28</v>
      </c>
      <c r="H592" s="2">
        <v>44242</v>
      </c>
      <c r="I592" t="s">
        <v>57</v>
      </c>
      <c r="J592" t="s">
        <v>42</v>
      </c>
      <c r="K592" t="str">
        <f t="shared" ca="1" si="58"/>
        <v>OK</v>
      </c>
      <c r="L592" t="s">
        <v>183</v>
      </c>
      <c r="M592">
        <v>4</v>
      </c>
      <c r="N592" s="2">
        <v>46062</v>
      </c>
      <c r="O592" s="2">
        <v>46071</v>
      </c>
      <c r="P592" s="4">
        <f t="shared" ca="1" si="56"/>
        <v>5</v>
      </c>
      <c r="Q592" s="4" t="str">
        <f t="shared" ca="1" si="57"/>
        <v>3-5 Years</v>
      </c>
      <c r="R592">
        <f t="shared" ca="1" si="59"/>
        <v>0</v>
      </c>
      <c r="S592" t="s">
        <v>24</v>
      </c>
      <c r="T592">
        <v>4</v>
      </c>
      <c r="U592" t="s">
        <v>1394</v>
      </c>
      <c r="V592" t="s">
        <v>1394</v>
      </c>
      <c r="W592" t="s">
        <v>1394</v>
      </c>
      <c r="X592" s="3">
        <v>1</v>
      </c>
      <c r="Y592" t="s">
        <v>1397</v>
      </c>
      <c r="Z592">
        <v>69559</v>
      </c>
      <c r="AA592">
        <v>0.15</v>
      </c>
      <c r="AB592">
        <v>79992.849999999991</v>
      </c>
    </row>
    <row r="593" spans="1:28" x14ac:dyDescent="0.35">
      <c r="A593" t="str">
        <f t="shared" si="54"/>
        <v>EMP0592</v>
      </c>
      <c r="B593" t="str" cm="1">
        <f t="array" ref="B593">_xlfn.IFS(
ROW()&lt;=421,"NA",
ROW()&lt;=781,"LATAM",
ROW()&lt;=1021,"EMEA",
TRUE,"APAC"
)</f>
        <v>LATAM</v>
      </c>
      <c r="C593" t="str">
        <f t="shared" si="55"/>
        <v>Mexico</v>
      </c>
      <c r="D593" t="s">
        <v>32</v>
      </c>
      <c r="E593" t="s">
        <v>380</v>
      </c>
      <c r="F593" t="s">
        <v>447</v>
      </c>
      <c r="G593" t="s">
        <v>28</v>
      </c>
      <c r="H593" s="2">
        <v>44237</v>
      </c>
      <c r="I593" t="s">
        <v>29</v>
      </c>
      <c r="J593" t="s">
        <v>33</v>
      </c>
      <c r="K593" t="str">
        <f t="shared" ca="1" si="58"/>
        <v>OK</v>
      </c>
      <c r="L593" t="s">
        <v>533</v>
      </c>
      <c r="M593">
        <v>5</v>
      </c>
      <c r="N593" s="2">
        <v>46039</v>
      </c>
      <c r="O593" s="2" t="s">
        <v>22</v>
      </c>
      <c r="P593" s="4">
        <f t="shared" ca="1" si="56"/>
        <v>5</v>
      </c>
      <c r="Q593" s="4" t="str">
        <f t="shared" ca="1" si="57"/>
        <v>3-5 Years</v>
      </c>
      <c r="R593">
        <f t="shared" ca="1" si="59"/>
        <v>0</v>
      </c>
      <c r="S593" t="s">
        <v>22</v>
      </c>
      <c r="T593">
        <v>3</v>
      </c>
      <c r="U593" t="s">
        <v>1394</v>
      </c>
      <c r="V593" t="s">
        <v>1396</v>
      </c>
      <c r="W593" t="s">
        <v>1394</v>
      </c>
      <c r="X593" s="3">
        <v>1</v>
      </c>
      <c r="Y593" t="s">
        <v>1397</v>
      </c>
      <c r="Z593">
        <v>43690</v>
      </c>
      <c r="AA593">
        <v>0.1</v>
      </c>
      <c r="AB593">
        <v>48059.000000000007</v>
      </c>
    </row>
    <row r="594" spans="1:28" x14ac:dyDescent="0.35">
      <c r="A594" t="str">
        <f t="shared" si="54"/>
        <v>EMP0593</v>
      </c>
      <c r="B594" t="str" cm="1">
        <f t="array" ref="B594">_xlfn.IFS(
ROW()&lt;=421,"NA",
ROW()&lt;=781,"LATAM",
ROW()&lt;=1021,"EMEA",
TRUE,"APAC"
)</f>
        <v>LATAM</v>
      </c>
      <c r="C594" t="str">
        <f t="shared" si="55"/>
        <v>Mexico</v>
      </c>
      <c r="D594" t="s">
        <v>26</v>
      </c>
      <c r="E594" t="s">
        <v>380</v>
      </c>
      <c r="F594" t="s">
        <v>391</v>
      </c>
      <c r="G594" t="s">
        <v>53</v>
      </c>
      <c r="H594" s="2">
        <v>44235</v>
      </c>
      <c r="I594" t="s">
        <v>29</v>
      </c>
      <c r="J594" t="s">
        <v>30</v>
      </c>
      <c r="K594" t="str">
        <f t="shared" ca="1" si="58"/>
        <v>OK</v>
      </c>
      <c r="L594" t="s">
        <v>572</v>
      </c>
      <c r="M594">
        <v>5</v>
      </c>
      <c r="N594" s="2">
        <v>45992</v>
      </c>
      <c r="O594" s="2" t="s">
        <v>22</v>
      </c>
      <c r="P594" s="4">
        <f t="shared" ca="1" si="56"/>
        <v>5</v>
      </c>
      <c r="Q594" s="4" t="str">
        <f t="shared" ca="1" si="57"/>
        <v>3-5 Years</v>
      </c>
      <c r="R594">
        <f t="shared" ca="1" si="59"/>
        <v>0</v>
      </c>
      <c r="S594" t="s">
        <v>22</v>
      </c>
      <c r="T594">
        <v>4</v>
      </c>
      <c r="U594" t="s">
        <v>1396</v>
      </c>
      <c r="V594" t="s">
        <v>1394</v>
      </c>
      <c r="W594" t="s">
        <v>1394</v>
      </c>
      <c r="X594" s="3">
        <v>4</v>
      </c>
      <c r="Y594" t="s">
        <v>1395</v>
      </c>
      <c r="Z594">
        <v>41474</v>
      </c>
      <c r="AA594">
        <v>0.1</v>
      </c>
      <c r="AB594">
        <v>45621.4</v>
      </c>
    </row>
    <row r="595" spans="1:28" x14ac:dyDescent="0.35">
      <c r="A595" t="str">
        <f t="shared" si="54"/>
        <v>EMP0594</v>
      </c>
      <c r="B595" t="str" cm="1">
        <f t="array" ref="B595">_xlfn.IFS(
ROW()&lt;=421,"NA",
ROW()&lt;=781,"LATAM",
ROW()&lt;=1021,"EMEA",
TRUE,"APAC"
)</f>
        <v>LATAM</v>
      </c>
      <c r="C595" t="str">
        <f t="shared" si="55"/>
        <v>Mexico</v>
      </c>
      <c r="D595" t="s">
        <v>35</v>
      </c>
      <c r="E595" t="s">
        <v>380</v>
      </c>
      <c r="F595" t="s">
        <v>399</v>
      </c>
      <c r="G595" t="s">
        <v>53</v>
      </c>
      <c r="H595" s="2">
        <v>44235</v>
      </c>
      <c r="I595" t="s">
        <v>29</v>
      </c>
      <c r="J595" t="s">
        <v>36</v>
      </c>
      <c r="K595" t="str">
        <f t="shared" ca="1" si="58"/>
        <v>OK</v>
      </c>
      <c r="L595" t="s">
        <v>1015</v>
      </c>
      <c r="M595">
        <v>5</v>
      </c>
      <c r="N595" s="2">
        <v>46006</v>
      </c>
      <c r="O595" s="2" t="s">
        <v>22</v>
      </c>
      <c r="P595" s="4">
        <f t="shared" ca="1" si="56"/>
        <v>5</v>
      </c>
      <c r="Q595" s="4" t="str">
        <f t="shared" ca="1" si="57"/>
        <v>3-5 Years</v>
      </c>
      <c r="R595">
        <f t="shared" ca="1" si="59"/>
        <v>0</v>
      </c>
      <c r="S595" t="s">
        <v>22</v>
      </c>
      <c r="T595">
        <v>3</v>
      </c>
      <c r="U595" t="s">
        <v>1394</v>
      </c>
      <c r="V595" t="s">
        <v>1394</v>
      </c>
      <c r="W595" t="s">
        <v>1394</v>
      </c>
      <c r="X595" s="3">
        <v>4</v>
      </c>
      <c r="Y595" t="s">
        <v>1395</v>
      </c>
      <c r="Z595">
        <v>28270</v>
      </c>
      <c r="AA595">
        <v>0.1</v>
      </c>
      <c r="AB595">
        <v>31097.000000000004</v>
      </c>
    </row>
    <row r="596" spans="1:28" x14ac:dyDescent="0.35">
      <c r="A596" t="str">
        <f t="shared" si="54"/>
        <v>EMP0595</v>
      </c>
      <c r="B596" t="str" cm="1">
        <f t="array" ref="B596">_xlfn.IFS(
ROW()&lt;=421,"NA",
ROW()&lt;=781,"LATAM",
ROW()&lt;=1021,"EMEA",
TRUE,"APAC"
)</f>
        <v>LATAM</v>
      </c>
      <c r="C596" t="str">
        <f t="shared" si="55"/>
        <v>Mexico</v>
      </c>
      <c r="D596" t="s">
        <v>38</v>
      </c>
      <c r="E596" t="s">
        <v>380</v>
      </c>
      <c r="F596" t="s">
        <v>642</v>
      </c>
      <c r="G596" t="s">
        <v>28</v>
      </c>
      <c r="H596" s="2">
        <v>44232</v>
      </c>
      <c r="I596" t="s">
        <v>29</v>
      </c>
      <c r="J596" t="s">
        <v>39</v>
      </c>
      <c r="K596" t="str">
        <f t="shared" ca="1" si="58"/>
        <v>OK</v>
      </c>
      <c r="L596" t="s">
        <v>356</v>
      </c>
      <c r="M596">
        <v>5</v>
      </c>
      <c r="N596" s="2">
        <v>46037</v>
      </c>
      <c r="O596" s="2" t="s">
        <v>22</v>
      </c>
      <c r="P596" s="4">
        <f t="shared" ca="1" si="56"/>
        <v>5</v>
      </c>
      <c r="Q596" s="4" t="str">
        <f t="shared" ca="1" si="57"/>
        <v>3-5 Years</v>
      </c>
      <c r="R596">
        <f t="shared" ca="1" si="59"/>
        <v>0</v>
      </c>
      <c r="S596" t="s">
        <v>22</v>
      </c>
      <c r="T596">
        <v>5</v>
      </c>
      <c r="U596" t="s">
        <v>1394</v>
      </c>
      <c r="V596" t="s">
        <v>1394</v>
      </c>
      <c r="W596" t="s">
        <v>1394</v>
      </c>
      <c r="X596" s="3">
        <v>5</v>
      </c>
      <c r="Y596" t="s">
        <v>1395</v>
      </c>
      <c r="Z596">
        <v>43801</v>
      </c>
      <c r="AA596">
        <v>0.1</v>
      </c>
      <c r="AB596">
        <v>48181.100000000006</v>
      </c>
    </row>
    <row r="597" spans="1:28" x14ac:dyDescent="0.35">
      <c r="A597" t="str">
        <f t="shared" si="54"/>
        <v>EMP0596</v>
      </c>
      <c r="B597" t="str" cm="1">
        <f t="array" ref="B597">_xlfn.IFS(
ROW()&lt;=421,"NA",
ROW()&lt;=781,"LATAM",
ROW()&lt;=1021,"EMEA",
TRUE,"APAC"
)</f>
        <v>LATAM</v>
      </c>
      <c r="C597" t="str">
        <f t="shared" si="55"/>
        <v>Mexico</v>
      </c>
      <c r="D597" t="s">
        <v>32</v>
      </c>
      <c r="E597" t="s">
        <v>69</v>
      </c>
      <c r="F597" t="s">
        <v>88</v>
      </c>
      <c r="G597" t="s">
        <v>28</v>
      </c>
      <c r="H597" s="2">
        <v>44224</v>
      </c>
      <c r="I597" t="s">
        <v>29</v>
      </c>
      <c r="J597" t="s">
        <v>33</v>
      </c>
      <c r="K597" t="str">
        <f t="shared" ca="1" si="58"/>
        <v>OK</v>
      </c>
      <c r="L597" t="s">
        <v>112</v>
      </c>
      <c r="M597">
        <v>3</v>
      </c>
      <c r="N597" s="2">
        <v>46063</v>
      </c>
      <c r="O597" s="2" t="s">
        <v>22</v>
      </c>
      <c r="P597" s="4">
        <f t="shared" ca="1" si="56"/>
        <v>5</v>
      </c>
      <c r="Q597" s="4" t="str">
        <f t="shared" ca="1" si="57"/>
        <v>3-5 Years</v>
      </c>
      <c r="R597">
        <f t="shared" ca="1" si="59"/>
        <v>0</v>
      </c>
      <c r="S597" t="s">
        <v>22</v>
      </c>
      <c r="T597">
        <v>5</v>
      </c>
      <c r="U597" t="s">
        <v>1394</v>
      </c>
      <c r="V597" t="s">
        <v>1394</v>
      </c>
      <c r="W597" t="s">
        <v>1394</v>
      </c>
      <c r="X597" s="3">
        <v>4</v>
      </c>
      <c r="Y597" t="s">
        <v>1395</v>
      </c>
      <c r="Z597">
        <v>105424</v>
      </c>
      <c r="AA597">
        <v>0.2</v>
      </c>
      <c r="AB597">
        <v>126508.79999999999</v>
      </c>
    </row>
    <row r="598" spans="1:28" x14ac:dyDescent="0.35">
      <c r="A598" t="str">
        <f t="shared" si="54"/>
        <v>EMP0597</v>
      </c>
      <c r="B598" t="str" cm="1">
        <f t="array" ref="B598">_xlfn.IFS(
ROW()&lt;=421,"NA",
ROW()&lt;=781,"LATAM",
ROW()&lt;=1021,"EMEA",
TRUE,"APAC"
)</f>
        <v>LATAM</v>
      </c>
      <c r="C598" t="str">
        <f t="shared" si="55"/>
        <v>Mexico</v>
      </c>
      <c r="D598" t="s">
        <v>32</v>
      </c>
      <c r="E598" t="s">
        <v>27</v>
      </c>
      <c r="F598" t="s">
        <v>22</v>
      </c>
      <c r="G598" t="s">
        <v>28</v>
      </c>
      <c r="H598" s="2">
        <v>44221</v>
      </c>
      <c r="I598" t="s">
        <v>29</v>
      </c>
      <c r="J598" t="s">
        <v>33</v>
      </c>
      <c r="K598" t="str">
        <f t="shared" ca="1" si="58"/>
        <v>⚠ Review</v>
      </c>
      <c r="L598" t="s">
        <v>34</v>
      </c>
      <c r="M598">
        <v>1</v>
      </c>
      <c r="N598" s="2">
        <v>46036</v>
      </c>
      <c r="O598" s="2" t="s">
        <v>22</v>
      </c>
      <c r="P598" s="4">
        <f t="shared" ca="1" si="56"/>
        <v>5</v>
      </c>
      <c r="Q598" s="4" t="str">
        <f t="shared" ca="1" si="57"/>
        <v>3-5 Years</v>
      </c>
      <c r="R598">
        <f t="shared" ca="1" si="59"/>
        <v>0</v>
      </c>
      <c r="S598" t="s">
        <v>22</v>
      </c>
      <c r="T598">
        <v>2</v>
      </c>
      <c r="U598" t="s">
        <v>1394</v>
      </c>
      <c r="V598" t="s">
        <v>1394</v>
      </c>
      <c r="W598" t="s">
        <v>1394</v>
      </c>
      <c r="X598" s="3">
        <v>4</v>
      </c>
      <c r="Y598" t="s">
        <v>1395</v>
      </c>
      <c r="Z598">
        <v>212961</v>
      </c>
      <c r="AA598">
        <v>0.3</v>
      </c>
      <c r="AB598">
        <v>276849.3</v>
      </c>
    </row>
    <row r="599" spans="1:28" x14ac:dyDescent="0.35">
      <c r="A599" t="str">
        <f t="shared" si="54"/>
        <v>EMP0598</v>
      </c>
      <c r="B599" t="str" cm="1">
        <f t="array" ref="B599">_xlfn.IFS(
ROW()&lt;=421,"NA",
ROW()&lt;=781,"LATAM",
ROW()&lt;=1021,"EMEA",
TRUE,"APAC"
)</f>
        <v>LATAM</v>
      </c>
      <c r="C599" t="str">
        <f t="shared" si="55"/>
        <v>Mexico</v>
      </c>
      <c r="D599" t="s">
        <v>44</v>
      </c>
      <c r="E599" t="s">
        <v>380</v>
      </c>
      <c r="F599" t="s">
        <v>1136</v>
      </c>
      <c r="G599" t="s">
        <v>28</v>
      </c>
      <c r="H599" s="2">
        <v>44220</v>
      </c>
      <c r="I599" t="s">
        <v>29</v>
      </c>
      <c r="J599" t="s">
        <v>47</v>
      </c>
      <c r="K599" t="str">
        <f t="shared" ca="1" si="58"/>
        <v>OK</v>
      </c>
      <c r="L599" t="s">
        <v>1137</v>
      </c>
      <c r="M599">
        <v>5</v>
      </c>
      <c r="N599" s="2">
        <v>46015</v>
      </c>
      <c r="O599" s="2" t="s">
        <v>22</v>
      </c>
      <c r="P599" s="4">
        <f t="shared" ca="1" si="56"/>
        <v>5</v>
      </c>
      <c r="Q599" s="4" t="str">
        <f t="shared" ca="1" si="57"/>
        <v>3-5 Years</v>
      </c>
      <c r="R599">
        <f t="shared" ca="1" si="59"/>
        <v>0</v>
      </c>
      <c r="S599" t="s">
        <v>22</v>
      </c>
      <c r="T599">
        <v>3</v>
      </c>
      <c r="U599" t="s">
        <v>1394</v>
      </c>
      <c r="V599" t="s">
        <v>1394</v>
      </c>
      <c r="W599" t="s">
        <v>1394</v>
      </c>
      <c r="X599" s="3">
        <v>4</v>
      </c>
      <c r="Y599" t="s">
        <v>1395</v>
      </c>
      <c r="Z599">
        <v>27696</v>
      </c>
      <c r="AA599">
        <v>0.1</v>
      </c>
      <c r="AB599">
        <v>30465.600000000002</v>
      </c>
    </row>
    <row r="600" spans="1:28" x14ac:dyDescent="0.35">
      <c r="A600" t="str">
        <f t="shared" si="54"/>
        <v>EMP0599</v>
      </c>
      <c r="B600" t="str" cm="1">
        <f t="array" ref="B600">_xlfn.IFS(
ROW()&lt;=421,"NA",
ROW()&lt;=781,"LATAM",
ROW()&lt;=1021,"EMEA",
TRUE,"APAC"
)</f>
        <v>LATAM</v>
      </c>
      <c r="C600" t="str">
        <f t="shared" si="55"/>
        <v>Mexico</v>
      </c>
      <c r="D600" t="s">
        <v>32</v>
      </c>
      <c r="E600" t="s">
        <v>69</v>
      </c>
      <c r="F600" t="s">
        <v>79</v>
      </c>
      <c r="G600" t="s">
        <v>28</v>
      </c>
      <c r="H600" s="2">
        <v>44203</v>
      </c>
      <c r="I600" t="s">
        <v>29</v>
      </c>
      <c r="J600" t="s">
        <v>33</v>
      </c>
      <c r="K600" t="str">
        <f t="shared" ca="1" si="58"/>
        <v>OK</v>
      </c>
      <c r="L600" t="s">
        <v>125</v>
      </c>
      <c r="M600">
        <v>3</v>
      </c>
      <c r="N600" s="2">
        <v>45997</v>
      </c>
      <c r="O600" s="2" t="s">
        <v>22</v>
      </c>
      <c r="P600" s="4">
        <f t="shared" ca="1" si="56"/>
        <v>5</v>
      </c>
      <c r="Q600" s="4" t="str">
        <f t="shared" ca="1" si="57"/>
        <v>3-5 Years</v>
      </c>
      <c r="R600">
        <f t="shared" ca="1" si="59"/>
        <v>0</v>
      </c>
      <c r="S600" t="s">
        <v>22</v>
      </c>
      <c r="T600">
        <v>3</v>
      </c>
      <c r="U600" t="s">
        <v>1396</v>
      </c>
      <c r="V600" t="s">
        <v>1394</v>
      </c>
      <c r="W600" t="s">
        <v>1394</v>
      </c>
      <c r="X600" s="3">
        <v>2</v>
      </c>
      <c r="Y600" t="s">
        <v>1397</v>
      </c>
      <c r="Z600">
        <v>131731</v>
      </c>
      <c r="AA600">
        <v>0.2</v>
      </c>
      <c r="AB600">
        <v>158077.19999999998</v>
      </c>
    </row>
    <row r="601" spans="1:28" x14ac:dyDescent="0.35">
      <c r="A601" t="str">
        <f t="shared" si="54"/>
        <v>EMP0600</v>
      </c>
      <c r="B601" t="str" cm="1">
        <f t="array" ref="B601">_xlfn.IFS(
ROW()&lt;=421,"NA",
ROW()&lt;=781,"LATAM",
ROW()&lt;=1021,"EMEA",
TRUE,"APAC"
)</f>
        <v>LATAM</v>
      </c>
      <c r="C601" t="str">
        <f t="shared" si="55"/>
        <v>Mexico</v>
      </c>
      <c r="D601" t="s">
        <v>26</v>
      </c>
      <c r="E601" t="s">
        <v>380</v>
      </c>
      <c r="F601" t="s">
        <v>917</v>
      </c>
      <c r="G601" t="s">
        <v>28</v>
      </c>
      <c r="H601" s="2">
        <v>44203</v>
      </c>
      <c r="I601" t="s">
        <v>29</v>
      </c>
      <c r="J601" t="s">
        <v>30</v>
      </c>
      <c r="K601" t="str">
        <f t="shared" ca="1" si="58"/>
        <v>OK</v>
      </c>
      <c r="L601" t="s">
        <v>1116</v>
      </c>
      <c r="M601">
        <v>5</v>
      </c>
      <c r="N601" s="2">
        <v>46027</v>
      </c>
      <c r="O601" s="2" t="s">
        <v>22</v>
      </c>
      <c r="P601" s="4">
        <f t="shared" ca="1" si="56"/>
        <v>5</v>
      </c>
      <c r="Q601" s="4" t="str">
        <f t="shared" ca="1" si="57"/>
        <v>3-5 Years</v>
      </c>
      <c r="R601">
        <f t="shared" ca="1" si="59"/>
        <v>0</v>
      </c>
      <c r="S601" t="s">
        <v>22</v>
      </c>
      <c r="T601">
        <v>4</v>
      </c>
      <c r="U601" t="s">
        <v>1396</v>
      </c>
      <c r="V601" t="s">
        <v>1394</v>
      </c>
      <c r="W601" t="s">
        <v>1394</v>
      </c>
      <c r="X601" s="3">
        <v>2</v>
      </c>
      <c r="Y601" t="s">
        <v>1397</v>
      </c>
      <c r="Z601">
        <v>46386</v>
      </c>
      <c r="AA601">
        <v>0.1</v>
      </c>
      <c r="AB601">
        <v>51024.600000000006</v>
      </c>
    </row>
    <row r="602" spans="1:28" x14ac:dyDescent="0.35">
      <c r="A602" t="str">
        <f t="shared" si="54"/>
        <v>EMP0601</v>
      </c>
      <c r="B602" t="str" cm="1">
        <f t="array" ref="B602">_xlfn.IFS(
ROW()&lt;=421,"NA",
ROW()&lt;=781,"LATAM",
ROW()&lt;=1021,"EMEA",
TRUE,"APAC"
)</f>
        <v>LATAM</v>
      </c>
      <c r="C602" t="str">
        <f t="shared" si="55"/>
        <v>Mexico</v>
      </c>
      <c r="D602" t="s">
        <v>35</v>
      </c>
      <c r="E602" t="s">
        <v>145</v>
      </c>
      <c r="F602" t="s">
        <v>158</v>
      </c>
      <c r="G602" t="s">
        <v>28</v>
      </c>
      <c r="H602" s="2">
        <v>44199</v>
      </c>
      <c r="I602" t="s">
        <v>29</v>
      </c>
      <c r="J602" t="s">
        <v>36</v>
      </c>
      <c r="K602" t="str">
        <f t="shared" ca="1" si="58"/>
        <v>OK</v>
      </c>
      <c r="L602" t="s">
        <v>159</v>
      </c>
      <c r="M602">
        <v>4</v>
      </c>
      <c r="N602" s="2">
        <v>46060</v>
      </c>
      <c r="O602" s="2" t="s">
        <v>22</v>
      </c>
      <c r="P602" s="4">
        <f t="shared" ca="1" si="56"/>
        <v>5</v>
      </c>
      <c r="Q602" s="4" t="str">
        <f t="shared" ca="1" si="57"/>
        <v>3-5 Years</v>
      </c>
      <c r="R602">
        <f t="shared" ca="1" si="59"/>
        <v>0</v>
      </c>
      <c r="S602" t="s">
        <v>22</v>
      </c>
      <c r="T602">
        <v>4</v>
      </c>
      <c r="U602" t="s">
        <v>1396</v>
      </c>
      <c r="V602" t="s">
        <v>1396</v>
      </c>
      <c r="W602" t="s">
        <v>1394</v>
      </c>
      <c r="X602" s="3">
        <v>2</v>
      </c>
      <c r="Y602" t="s">
        <v>1397</v>
      </c>
      <c r="Z602">
        <v>73746</v>
      </c>
      <c r="AA602">
        <v>0.15</v>
      </c>
      <c r="AB602">
        <v>84807.9</v>
      </c>
    </row>
    <row r="603" spans="1:28" x14ac:dyDescent="0.35">
      <c r="A603" t="str">
        <f t="shared" si="54"/>
        <v>EMP0602</v>
      </c>
      <c r="B603" t="str" cm="1">
        <f t="array" ref="B603">_xlfn.IFS(
ROW()&lt;=421,"NA",
ROW()&lt;=781,"LATAM",
ROW()&lt;=1021,"EMEA",
TRUE,"APAC"
)</f>
        <v>LATAM</v>
      </c>
      <c r="C603" t="str">
        <f t="shared" si="55"/>
        <v>Mexico</v>
      </c>
      <c r="D603" t="s">
        <v>41</v>
      </c>
      <c r="E603" t="s">
        <v>380</v>
      </c>
      <c r="F603" t="s">
        <v>420</v>
      </c>
      <c r="G603" t="s">
        <v>28</v>
      </c>
      <c r="H603" s="2">
        <v>44193</v>
      </c>
      <c r="I603" t="s">
        <v>29</v>
      </c>
      <c r="J603" t="s">
        <v>42</v>
      </c>
      <c r="K603" t="str">
        <f t="shared" ca="1" si="58"/>
        <v>OK</v>
      </c>
      <c r="L603" t="s">
        <v>421</v>
      </c>
      <c r="M603">
        <v>5</v>
      </c>
      <c r="N603" s="2">
        <v>46029</v>
      </c>
      <c r="O603" s="2" t="s">
        <v>22</v>
      </c>
      <c r="P603" s="4">
        <f t="shared" ca="1" si="56"/>
        <v>5</v>
      </c>
      <c r="Q603" s="4" t="str">
        <f t="shared" ca="1" si="57"/>
        <v>3-5 Years</v>
      </c>
      <c r="R603">
        <f t="shared" ca="1" si="59"/>
        <v>0</v>
      </c>
      <c r="S603" t="s">
        <v>22</v>
      </c>
      <c r="T603">
        <v>5</v>
      </c>
      <c r="U603" t="s">
        <v>1394</v>
      </c>
      <c r="V603" t="s">
        <v>1394</v>
      </c>
      <c r="W603" t="s">
        <v>1394</v>
      </c>
      <c r="X603" s="3">
        <v>2</v>
      </c>
      <c r="Y603" t="s">
        <v>1397</v>
      </c>
      <c r="Z603">
        <v>23555</v>
      </c>
      <c r="AA603">
        <v>0.1</v>
      </c>
      <c r="AB603">
        <v>25910.500000000004</v>
      </c>
    </row>
    <row r="604" spans="1:28" x14ac:dyDescent="0.35">
      <c r="A604" t="str">
        <f t="shared" si="54"/>
        <v>EMP0603</v>
      </c>
      <c r="B604" t="str" cm="1">
        <f t="array" ref="B604">_xlfn.IFS(
ROW()&lt;=421,"NA",
ROW()&lt;=781,"LATAM",
ROW()&lt;=1021,"EMEA",
TRUE,"APAC"
)</f>
        <v>LATAM</v>
      </c>
      <c r="C604" t="str">
        <f t="shared" si="55"/>
        <v>Mexico</v>
      </c>
      <c r="D604" t="s">
        <v>38</v>
      </c>
      <c r="E604" t="s">
        <v>380</v>
      </c>
      <c r="F604" t="s">
        <v>460</v>
      </c>
      <c r="G604" t="s">
        <v>28</v>
      </c>
      <c r="H604" s="2">
        <v>44190</v>
      </c>
      <c r="I604" t="s">
        <v>29</v>
      </c>
      <c r="J604" t="s">
        <v>39</v>
      </c>
      <c r="K604" t="str">
        <f t="shared" ca="1" si="58"/>
        <v>OK</v>
      </c>
      <c r="L604" t="s">
        <v>1058</v>
      </c>
      <c r="M604">
        <v>5</v>
      </c>
      <c r="N604" s="2">
        <v>46075</v>
      </c>
      <c r="O604" s="2" t="s">
        <v>22</v>
      </c>
      <c r="P604" s="4">
        <f t="shared" ca="1" si="56"/>
        <v>5</v>
      </c>
      <c r="Q604" s="4" t="str">
        <f t="shared" ca="1" si="57"/>
        <v>3-5 Years</v>
      </c>
      <c r="R604">
        <f t="shared" ca="1" si="59"/>
        <v>0</v>
      </c>
      <c r="S604" t="s">
        <v>22</v>
      </c>
      <c r="T604">
        <v>3</v>
      </c>
      <c r="U604" t="s">
        <v>1394</v>
      </c>
      <c r="V604" t="s">
        <v>1394</v>
      </c>
      <c r="W604" t="s">
        <v>1394</v>
      </c>
      <c r="X604" s="3">
        <v>5</v>
      </c>
      <c r="Y604" t="s">
        <v>1395</v>
      </c>
      <c r="Z604">
        <v>45866</v>
      </c>
      <c r="AA604">
        <v>0.1</v>
      </c>
      <c r="AB604">
        <v>50452.600000000006</v>
      </c>
    </row>
    <row r="605" spans="1:28" x14ac:dyDescent="0.35">
      <c r="A605" t="str">
        <f t="shared" si="54"/>
        <v>EMP0604</v>
      </c>
      <c r="B605" t="str" cm="1">
        <f t="array" ref="B605">_xlfn.IFS(
ROW()&lt;=421,"NA",
ROW()&lt;=781,"LATAM",
ROW()&lt;=1021,"EMEA",
TRUE,"APAC"
)</f>
        <v>LATAM</v>
      </c>
      <c r="C605" t="str">
        <f t="shared" si="55"/>
        <v>Mexico</v>
      </c>
      <c r="D605" t="s">
        <v>35</v>
      </c>
      <c r="E605" t="s">
        <v>145</v>
      </c>
      <c r="F605" t="s">
        <v>146</v>
      </c>
      <c r="G605" t="s">
        <v>28</v>
      </c>
      <c r="H605" s="2">
        <v>44185</v>
      </c>
      <c r="I605" t="s">
        <v>29</v>
      </c>
      <c r="J605" t="s">
        <v>36</v>
      </c>
      <c r="K605" t="str">
        <f t="shared" ca="1" si="58"/>
        <v>OK</v>
      </c>
      <c r="L605" t="s">
        <v>147</v>
      </c>
      <c r="M605">
        <v>4</v>
      </c>
      <c r="N605" s="2">
        <v>46063</v>
      </c>
      <c r="O605" s="2" t="s">
        <v>22</v>
      </c>
      <c r="P605" s="4">
        <f t="shared" ca="1" si="56"/>
        <v>5</v>
      </c>
      <c r="Q605" s="4" t="str">
        <f t="shared" ca="1" si="57"/>
        <v>3-5 Years</v>
      </c>
      <c r="R605">
        <f t="shared" ca="1" si="59"/>
        <v>0</v>
      </c>
      <c r="S605" t="s">
        <v>22</v>
      </c>
      <c r="T605">
        <v>3</v>
      </c>
      <c r="U605" t="s">
        <v>1396</v>
      </c>
      <c r="V605" t="s">
        <v>1394</v>
      </c>
      <c r="W605" t="s">
        <v>1394</v>
      </c>
      <c r="X605" s="3">
        <v>3</v>
      </c>
      <c r="Y605" t="s">
        <v>1398</v>
      </c>
      <c r="Z605">
        <v>65338</v>
      </c>
      <c r="AA605">
        <v>0.15</v>
      </c>
      <c r="AB605">
        <v>75138.7</v>
      </c>
    </row>
    <row r="606" spans="1:28" x14ac:dyDescent="0.35">
      <c r="A606" t="str">
        <f t="shared" si="54"/>
        <v>EMP0605</v>
      </c>
      <c r="B606" t="str" cm="1">
        <f t="array" ref="B606">_xlfn.IFS(
ROW()&lt;=421,"NA",
ROW()&lt;=781,"LATAM",
ROW()&lt;=1021,"EMEA",
TRUE,"APAC"
)</f>
        <v>LATAM</v>
      </c>
      <c r="C606" t="str">
        <f t="shared" si="55"/>
        <v>Mexico</v>
      </c>
      <c r="D606" t="s">
        <v>26</v>
      </c>
      <c r="E606" t="s">
        <v>69</v>
      </c>
      <c r="F606" t="s">
        <v>88</v>
      </c>
      <c r="G606" t="s">
        <v>53</v>
      </c>
      <c r="H606" s="2">
        <v>44177</v>
      </c>
      <c r="I606" t="s">
        <v>29</v>
      </c>
      <c r="J606" t="s">
        <v>30</v>
      </c>
      <c r="K606" t="str">
        <f t="shared" ca="1" si="58"/>
        <v>OK</v>
      </c>
      <c r="L606" t="s">
        <v>89</v>
      </c>
      <c r="M606">
        <v>3</v>
      </c>
      <c r="N606" s="2">
        <v>46063</v>
      </c>
      <c r="O606" s="2" t="s">
        <v>22</v>
      </c>
      <c r="P606" s="4">
        <f t="shared" ca="1" si="56"/>
        <v>5</v>
      </c>
      <c r="Q606" s="4" t="str">
        <f t="shared" ca="1" si="57"/>
        <v>3-5 Years</v>
      </c>
      <c r="R606">
        <f t="shared" ca="1" si="59"/>
        <v>0</v>
      </c>
      <c r="S606" t="s">
        <v>22</v>
      </c>
      <c r="T606">
        <v>4</v>
      </c>
      <c r="U606" t="s">
        <v>1394</v>
      </c>
      <c r="V606" t="s">
        <v>1394</v>
      </c>
      <c r="W606" t="s">
        <v>1394</v>
      </c>
      <c r="X606" s="3">
        <v>1</v>
      </c>
      <c r="Y606" t="s">
        <v>1397</v>
      </c>
      <c r="Z606">
        <v>127634</v>
      </c>
      <c r="AA606">
        <v>0.2</v>
      </c>
      <c r="AB606">
        <v>153160.79999999999</v>
      </c>
    </row>
    <row r="607" spans="1:28" x14ac:dyDescent="0.35">
      <c r="A607" t="str">
        <f t="shared" si="54"/>
        <v>EMP0606</v>
      </c>
      <c r="B607" t="str" cm="1">
        <f t="array" ref="B607">_xlfn.IFS(
ROW()&lt;=421,"NA",
ROW()&lt;=781,"LATAM",
ROW()&lt;=1021,"EMEA",
TRUE,"APAC"
)</f>
        <v>LATAM</v>
      </c>
      <c r="C607" t="str">
        <f t="shared" si="55"/>
        <v>Mexico</v>
      </c>
      <c r="D607" t="s">
        <v>44</v>
      </c>
      <c r="E607" t="s">
        <v>145</v>
      </c>
      <c r="F607" t="s">
        <v>205</v>
      </c>
      <c r="G607" t="s">
        <v>28</v>
      </c>
      <c r="H607" s="2">
        <v>44175</v>
      </c>
      <c r="I607" t="s">
        <v>29</v>
      </c>
      <c r="J607" t="s">
        <v>47</v>
      </c>
      <c r="K607" t="str">
        <f t="shared" ca="1" si="58"/>
        <v>OK</v>
      </c>
      <c r="L607" t="s">
        <v>206</v>
      </c>
      <c r="M607">
        <v>4</v>
      </c>
      <c r="N607" s="2">
        <v>46019</v>
      </c>
      <c r="O607" s="2" t="s">
        <v>22</v>
      </c>
      <c r="P607" s="4">
        <f t="shared" ca="1" si="56"/>
        <v>5</v>
      </c>
      <c r="Q607" s="4" t="str">
        <f t="shared" ca="1" si="57"/>
        <v>3-5 Years</v>
      </c>
      <c r="R607">
        <f t="shared" ca="1" si="59"/>
        <v>0</v>
      </c>
      <c r="S607" t="s">
        <v>22</v>
      </c>
      <c r="T607">
        <v>4</v>
      </c>
      <c r="U607" t="s">
        <v>1394</v>
      </c>
      <c r="V607" t="s">
        <v>1394</v>
      </c>
      <c r="W607" t="s">
        <v>1394</v>
      </c>
      <c r="X607" s="3">
        <v>3</v>
      </c>
      <c r="Y607" t="s">
        <v>1398</v>
      </c>
      <c r="Z607">
        <v>52604</v>
      </c>
      <c r="AA607">
        <v>0.15</v>
      </c>
      <c r="AB607">
        <v>60494.6</v>
      </c>
    </row>
    <row r="608" spans="1:28" x14ac:dyDescent="0.35">
      <c r="A608" t="str">
        <f t="shared" si="54"/>
        <v>EMP0607</v>
      </c>
      <c r="B608" t="str" cm="1">
        <f t="array" ref="B608">_xlfn.IFS(
ROW()&lt;=421,"NA",
ROW()&lt;=781,"LATAM",
ROW()&lt;=1021,"EMEA",
TRUE,"APAC"
)</f>
        <v>LATAM</v>
      </c>
      <c r="C608" t="str">
        <f t="shared" si="55"/>
        <v>Mexico</v>
      </c>
      <c r="D608" t="s">
        <v>41</v>
      </c>
      <c r="E608" t="s">
        <v>380</v>
      </c>
      <c r="F608" t="s">
        <v>514</v>
      </c>
      <c r="G608" t="s">
        <v>28</v>
      </c>
      <c r="H608" s="2">
        <v>44170</v>
      </c>
      <c r="I608" t="s">
        <v>57</v>
      </c>
      <c r="J608" t="s">
        <v>42</v>
      </c>
      <c r="K608" t="str">
        <f t="shared" ca="1" si="58"/>
        <v>OK</v>
      </c>
      <c r="L608" t="s">
        <v>1377</v>
      </c>
      <c r="M608">
        <v>5</v>
      </c>
      <c r="N608" s="2">
        <v>45992</v>
      </c>
      <c r="O608" s="2">
        <v>46025</v>
      </c>
      <c r="P608" s="4">
        <f t="shared" ca="1" si="56"/>
        <v>5</v>
      </c>
      <c r="Q608" s="4" t="str">
        <f t="shared" ca="1" si="57"/>
        <v>3-5 Years</v>
      </c>
      <c r="R608">
        <f t="shared" ca="1" si="59"/>
        <v>0</v>
      </c>
      <c r="S608" t="s">
        <v>23</v>
      </c>
      <c r="T608">
        <v>3</v>
      </c>
      <c r="U608" t="s">
        <v>1394</v>
      </c>
      <c r="V608" t="s">
        <v>1394</v>
      </c>
      <c r="W608" t="s">
        <v>1394</v>
      </c>
      <c r="X608" s="3">
        <v>1</v>
      </c>
      <c r="Y608" t="s">
        <v>1397</v>
      </c>
      <c r="Z608">
        <v>21438</v>
      </c>
      <c r="AA608">
        <v>0.1</v>
      </c>
      <c r="AB608">
        <v>23581.800000000003</v>
      </c>
    </row>
    <row r="609" spans="1:28" x14ac:dyDescent="0.35">
      <c r="A609" t="str">
        <f t="shared" si="54"/>
        <v>EMP0608</v>
      </c>
      <c r="B609" t="str" cm="1">
        <f t="array" ref="B609">_xlfn.IFS(
ROW()&lt;=421,"NA",
ROW()&lt;=781,"LATAM",
ROW()&lt;=1021,"EMEA",
TRUE,"APAC"
)</f>
        <v>LATAM</v>
      </c>
      <c r="C609" t="str">
        <f t="shared" si="55"/>
        <v>Mexico</v>
      </c>
      <c r="D609" t="s">
        <v>38</v>
      </c>
      <c r="E609" t="s">
        <v>380</v>
      </c>
      <c r="F609" t="s">
        <v>406</v>
      </c>
      <c r="G609" t="s">
        <v>28</v>
      </c>
      <c r="H609" s="2">
        <v>44168</v>
      </c>
      <c r="I609" t="s">
        <v>29</v>
      </c>
      <c r="J609" t="s">
        <v>39</v>
      </c>
      <c r="K609" t="str">
        <f t="shared" ca="1" si="58"/>
        <v>OK</v>
      </c>
      <c r="L609" t="s">
        <v>108</v>
      </c>
      <c r="M609">
        <v>5</v>
      </c>
      <c r="N609" s="2">
        <v>46075</v>
      </c>
      <c r="O609" s="2" t="s">
        <v>22</v>
      </c>
      <c r="P609" s="4">
        <f t="shared" ca="1" si="56"/>
        <v>5</v>
      </c>
      <c r="Q609" s="4" t="str">
        <f t="shared" ca="1" si="57"/>
        <v>3-5 Years</v>
      </c>
      <c r="R609">
        <f t="shared" ca="1" si="59"/>
        <v>0</v>
      </c>
      <c r="S609" t="s">
        <v>22</v>
      </c>
      <c r="T609">
        <v>5</v>
      </c>
      <c r="U609" t="s">
        <v>1394</v>
      </c>
      <c r="V609" t="s">
        <v>1394</v>
      </c>
      <c r="W609" t="s">
        <v>1394</v>
      </c>
      <c r="X609" s="3">
        <v>1</v>
      </c>
      <c r="Y609" t="s">
        <v>1397</v>
      </c>
      <c r="Z609">
        <v>40625</v>
      </c>
      <c r="AA609">
        <v>0.1</v>
      </c>
      <c r="AB609">
        <v>44687.5</v>
      </c>
    </row>
    <row r="610" spans="1:28" x14ac:dyDescent="0.35">
      <c r="A610" t="str">
        <f t="shared" si="54"/>
        <v>EMP0609</v>
      </c>
      <c r="B610" t="str" cm="1">
        <f t="array" ref="B610">_xlfn.IFS(
ROW()&lt;=421,"NA",
ROW()&lt;=781,"LATAM",
ROW()&lt;=1021,"EMEA",
TRUE,"APAC"
)</f>
        <v>LATAM</v>
      </c>
      <c r="C610" t="str">
        <f t="shared" si="55"/>
        <v>Mexico</v>
      </c>
      <c r="D610" t="s">
        <v>32</v>
      </c>
      <c r="E610" t="s">
        <v>380</v>
      </c>
      <c r="F610" t="s">
        <v>501</v>
      </c>
      <c r="G610" t="s">
        <v>28</v>
      </c>
      <c r="H610" s="2">
        <v>44163</v>
      </c>
      <c r="I610" t="s">
        <v>57</v>
      </c>
      <c r="J610" t="s">
        <v>33</v>
      </c>
      <c r="K610" t="str">
        <f t="shared" ca="1" si="58"/>
        <v>OK</v>
      </c>
      <c r="L610" t="s">
        <v>813</v>
      </c>
      <c r="M610">
        <v>5</v>
      </c>
      <c r="N610" s="2">
        <v>46075</v>
      </c>
      <c r="O610" s="2">
        <v>46019</v>
      </c>
      <c r="P610" s="4">
        <f t="shared" ca="1" si="56"/>
        <v>5</v>
      </c>
      <c r="Q610" s="4" t="str">
        <f t="shared" ca="1" si="57"/>
        <v>3-5 Years</v>
      </c>
      <c r="R610">
        <f t="shared" ca="1" si="59"/>
        <v>0</v>
      </c>
      <c r="S610" t="s">
        <v>23</v>
      </c>
      <c r="T610">
        <v>3</v>
      </c>
      <c r="U610" t="s">
        <v>1394</v>
      </c>
      <c r="V610" t="s">
        <v>1394</v>
      </c>
      <c r="W610" t="s">
        <v>1394</v>
      </c>
      <c r="X610" s="3">
        <v>2</v>
      </c>
      <c r="Y610" t="s">
        <v>1397</v>
      </c>
      <c r="Z610">
        <v>32479</v>
      </c>
      <c r="AA610">
        <v>0.1</v>
      </c>
      <c r="AB610">
        <v>35726.9</v>
      </c>
    </row>
    <row r="611" spans="1:28" x14ac:dyDescent="0.35">
      <c r="A611" t="str">
        <f t="shared" si="54"/>
        <v>EMP0610</v>
      </c>
      <c r="B611" t="str" cm="1">
        <f t="array" ref="B611">_xlfn.IFS(
ROW()&lt;=421,"NA",
ROW()&lt;=781,"LATAM",
ROW()&lt;=1021,"EMEA",
TRUE,"APAC"
)</f>
        <v>LATAM</v>
      </c>
      <c r="C611" t="str">
        <f t="shared" si="55"/>
        <v>Mexico</v>
      </c>
      <c r="D611" t="s">
        <v>26</v>
      </c>
      <c r="E611" t="s">
        <v>145</v>
      </c>
      <c r="F611" t="s">
        <v>182</v>
      </c>
      <c r="G611" t="s">
        <v>28</v>
      </c>
      <c r="H611" s="2">
        <v>44161</v>
      </c>
      <c r="I611" t="s">
        <v>29</v>
      </c>
      <c r="J611" t="s">
        <v>30</v>
      </c>
      <c r="K611" t="str">
        <f t="shared" ca="1" si="58"/>
        <v>OK</v>
      </c>
      <c r="L611" t="s">
        <v>291</v>
      </c>
      <c r="M611">
        <v>4</v>
      </c>
      <c r="N611" s="2">
        <v>45998</v>
      </c>
      <c r="O611" s="2" t="s">
        <v>22</v>
      </c>
      <c r="P611" s="4">
        <f t="shared" ca="1" si="56"/>
        <v>5</v>
      </c>
      <c r="Q611" s="4" t="str">
        <f t="shared" ca="1" si="57"/>
        <v>3-5 Years</v>
      </c>
      <c r="R611">
        <f t="shared" ca="1" si="59"/>
        <v>0</v>
      </c>
      <c r="S611" t="s">
        <v>22</v>
      </c>
      <c r="T611">
        <v>3</v>
      </c>
      <c r="U611" t="s">
        <v>1394</v>
      </c>
      <c r="V611" t="s">
        <v>1394</v>
      </c>
      <c r="W611" t="s">
        <v>1394</v>
      </c>
      <c r="X611" s="3">
        <v>1</v>
      </c>
      <c r="Y611" t="s">
        <v>1397</v>
      </c>
      <c r="Z611">
        <v>63463</v>
      </c>
      <c r="AA611">
        <v>0.15</v>
      </c>
      <c r="AB611">
        <v>72982.45</v>
      </c>
    </row>
    <row r="612" spans="1:28" x14ac:dyDescent="0.35">
      <c r="A612" t="str">
        <f t="shared" si="54"/>
        <v>EMP0611</v>
      </c>
      <c r="B612" t="str" cm="1">
        <f t="array" ref="B612">_xlfn.IFS(
ROW()&lt;=421,"NA",
ROW()&lt;=781,"LATAM",
ROW()&lt;=1021,"EMEA",
TRUE,"APAC"
)</f>
        <v>LATAM</v>
      </c>
      <c r="C612" t="str">
        <f t="shared" si="55"/>
        <v>Mexico</v>
      </c>
      <c r="D612" t="s">
        <v>32</v>
      </c>
      <c r="E612" t="s">
        <v>145</v>
      </c>
      <c r="F612" t="s">
        <v>208</v>
      </c>
      <c r="G612" t="s">
        <v>53</v>
      </c>
      <c r="H612" s="2">
        <v>44159</v>
      </c>
      <c r="I612" t="s">
        <v>29</v>
      </c>
      <c r="J612" t="s">
        <v>33</v>
      </c>
      <c r="K612" t="str">
        <f t="shared" ca="1" si="58"/>
        <v>OK</v>
      </c>
      <c r="L612" t="s">
        <v>209</v>
      </c>
      <c r="M612">
        <v>4</v>
      </c>
      <c r="N612" s="2">
        <v>46035</v>
      </c>
      <c r="O612" s="2" t="s">
        <v>22</v>
      </c>
      <c r="P612" s="4">
        <f t="shared" ca="1" si="56"/>
        <v>5</v>
      </c>
      <c r="Q612" s="4" t="str">
        <f t="shared" ca="1" si="57"/>
        <v>3-5 Years</v>
      </c>
      <c r="R612">
        <f t="shared" ca="1" si="59"/>
        <v>0</v>
      </c>
      <c r="S612" t="s">
        <v>22</v>
      </c>
      <c r="T612">
        <v>3</v>
      </c>
      <c r="U612" t="s">
        <v>1396</v>
      </c>
      <c r="V612" t="s">
        <v>1394</v>
      </c>
      <c r="W612" t="s">
        <v>1394</v>
      </c>
      <c r="X612" s="3">
        <v>4</v>
      </c>
      <c r="Y612" t="s">
        <v>1395</v>
      </c>
      <c r="Z612">
        <v>74055</v>
      </c>
      <c r="AA612">
        <v>0.15</v>
      </c>
      <c r="AB612">
        <v>85163.25</v>
      </c>
    </row>
    <row r="613" spans="1:28" x14ac:dyDescent="0.35">
      <c r="A613" t="str">
        <f t="shared" si="54"/>
        <v>EMP0612</v>
      </c>
      <c r="B613" t="str" cm="1">
        <f t="array" ref="B613">_xlfn.IFS(
ROW()&lt;=421,"NA",
ROW()&lt;=781,"LATAM",
ROW()&lt;=1021,"EMEA",
TRUE,"APAC"
)</f>
        <v>LATAM</v>
      </c>
      <c r="C613" t="str">
        <f t="shared" si="55"/>
        <v>Mexico</v>
      </c>
      <c r="D613" t="s">
        <v>26</v>
      </c>
      <c r="E613" t="s">
        <v>380</v>
      </c>
      <c r="F613" t="s">
        <v>499</v>
      </c>
      <c r="G613" t="s">
        <v>28</v>
      </c>
      <c r="H613" s="2">
        <v>44153</v>
      </c>
      <c r="I613" t="s">
        <v>29</v>
      </c>
      <c r="J613" t="s">
        <v>30</v>
      </c>
      <c r="K613" t="str">
        <f t="shared" ca="1" si="58"/>
        <v>OK</v>
      </c>
      <c r="L613" t="s">
        <v>1270</v>
      </c>
      <c r="M613">
        <v>5</v>
      </c>
      <c r="N613" s="2">
        <v>46023</v>
      </c>
      <c r="O613" s="2" t="s">
        <v>22</v>
      </c>
      <c r="P613" s="4">
        <f t="shared" ca="1" si="56"/>
        <v>5</v>
      </c>
      <c r="Q613" s="4" t="str">
        <f t="shared" ca="1" si="57"/>
        <v>3-5 Years</v>
      </c>
      <c r="R613">
        <f t="shared" ca="1" si="59"/>
        <v>0</v>
      </c>
      <c r="S613" t="s">
        <v>22</v>
      </c>
      <c r="T613">
        <v>3</v>
      </c>
      <c r="U613" t="s">
        <v>1394</v>
      </c>
      <c r="V613" t="s">
        <v>1394</v>
      </c>
      <c r="W613" t="s">
        <v>1394</v>
      </c>
      <c r="X613" s="3">
        <v>4</v>
      </c>
      <c r="Y613" t="s">
        <v>1395</v>
      </c>
      <c r="Z613">
        <v>27612</v>
      </c>
      <c r="AA613">
        <v>0.1</v>
      </c>
      <c r="AB613">
        <v>30373.200000000001</v>
      </c>
    </row>
    <row r="614" spans="1:28" x14ac:dyDescent="0.35">
      <c r="A614" t="str">
        <f t="shared" si="54"/>
        <v>EMP0613</v>
      </c>
      <c r="B614" t="str" cm="1">
        <f t="array" ref="B614">_xlfn.IFS(
ROW()&lt;=421,"NA",
ROW()&lt;=781,"LATAM",
ROW()&lt;=1021,"EMEA",
TRUE,"APAC"
)</f>
        <v>LATAM</v>
      </c>
      <c r="C614" t="str">
        <f t="shared" si="55"/>
        <v>Mexico</v>
      </c>
      <c r="D614" t="s">
        <v>26</v>
      </c>
      <c r="E614" t="s">
        <v>380</v>
      </c>
      <c r="F614" t="s">
        <v>479</v>
      </c>
      <c r="G614" t="s">
        <v>28</v>
      </c>
      <c r="H614" s="2">
        <v>44143</v>
      </c>
      <c r="I614" t="s">
        <v>29</v>
      </c>
      <c r="J614" t="s">
        <v>30</v>
      </c>
      <c r="K614" t="str">
        <f t="shared" ca="1" si="58"/>
        <v>OK</v>
      </c>
      <c r="L614" t="s">
        <v>539</v>
      </c>
      <c r="M614">
        <v>5</v>
      </c>
      <c r="N614" s="2">
        <v>46050</v>
      </c>
      <c r="O614" s="2" t="s">
        <v>22</v>
      </c>
      <c r="P614" s="4">
        <f t="shared" ca="1" si="56"/>
        <v>5</v>
      </c>
      <c r="Q614" s="4" t="str">
        <f t="shared" ca="1" si="57"/>
        <v>3-5 Years</v>
      </c>
      <c r="R614">
        <f t="shared" ca="1" si="59"/>
        <v>0</v>
      </c>
      <c r="S614" t="s">
        <v>22</v>
      </c>
      <c r="T614">
        <v>3</v>
      </c>
      <c r="U614" t="s">
        <v>1394</v>
      </c>
      <c r="V614" t="s">
        <v>1396</v>
      </c>
      <c r="W614" t="s">
        <v>1396</v>
      </c>
      <c r="X614" s="3">
        <v>4</v>
      </c>
      <c r="Y614" t="s">
        <v>1395</v>
      </c>
      <c r="Z614">
        <v>47725</v>
      </c>
      <c r="AA614">
        <v>0.1</v>
      </c>
      <c r="AB614">
        <v>52497.500000000007</v>
      </c>
    </row>
    <row r="615" spans="1:28" x14ac:dyDescent="0.35">
      <c r="A615" t="str">
        <f t="shared" si="54"/>
        <v>EMP0614</v>
      </c>
      <c r="B615" t="str" cm="1">
        <f t="array" ref="B615">_xlfn.IFS(
ROW()&lt;=421,"NA",
ROW()&lt;=781,"LATAM",
ROW()&lt;=1021,"EMEA",
TRUE,"APAC"
)</f>
        <v>LATAM</v>
      </c>
      <c r="C615" t="str">
        <f t="shared" si="55"/>
        <v>Mexico</v>
      </c>
      <c r="D615" t="s">
        <v>35</v>
      </c>
      <c r="E615" t="s">
        <v>380</v>
      </c>
      <c r="F615" t="s">
        <v>854</v>
      </c>
      <c r="G615" t="s">
        <v>28</v>
      </c>
      <c r="H615" s="2">
        <v>44142</v>
      </c>
      <c r="I615" t="s">
        <v>29</v>
      </c>
      <c r="J615" t="s">
        <v>36</v>
      </c>
      <c r="K615" t="str">
        <f t="shared" ca="1" si="58"/>
        <v>OK</v>
      </c>
      <c r="L615" t="s">
        <v>746</v>
      </c>
      <c r="M615">
        <v>5</v>
      </c>
      <c r="N615" s="2">
        <v>46000</v>
      </c>
      <c r="O615" s="2" t="s">
        <v>22</v>
      </c>
      <c r="P615" s="4">
        <f t="shared" ca="1" si="56"/>
        <v>5</v>
      </c>
      <c r="Q615" s="4" t="str">
        <f t="shared" ca="1" si="57"/>
        <v>3-5 Years</v>
      </c>
      <c r="R615">
        <f t="shared" ca="1" si="59"/>
        <v>0</v>
      </c>
      <c r="S615" t="s">
        <v>22</v>
      </c>
      <c r="T615">
        <v>3</v>
      </c>
      <c r="U615" t="s">
        <v>1394</v>
      </c>
      <c r="V615" t="s">
        <v>1394</v>
      </c>
      <c r="W615" t="s">
        <v>1394</v>
      </c>
      <c r="X615" s="3">
        <v>5</v>
      </c>
      <c r="Y615" t="s">
        <v>1395</v>
      </c>
      <c r="Z615">
        <v>39988</v>
      </c>
      <c r="AA615">
        <v>0.1</v>
      </c>
      <c r="AB615">
        <v>43986.8</v>
      </c>
    </row>
    <row r="616" spans="1:28" x14ac:dyDescent="0.35">
      <c r="A616" t="str">
        <f t="shared" si="54"/>
        <v>EMP0615</v>
      </c>
      <c r="B616" t="str" cm="1">
        <f t="array" ref="B616">_xlfn.IFS(
ROW()&lt;=421,"NA",
ROW()&lt;=781,"LATAM",
ROW()&lt;=1021,"EMEA",
TRUE,"APAC"
)</f>
        <v>LATAM</v>
      </c>
      <c r="C616" t="str">
        <f t="shared" si="55"/>
        <v>Mexico</v>
      </c>
      <c r="D616" t="s">
        <v>32</v>
      </c>
      <c r="E616" t="s">
        <v>380</v>
      </c>
      <c r="F616" t="s">
        <v>684</v>
      </c>
      <c r="G616" t="s">
        <v>28</v>
      </c>
      <c r="H616" s="2">
        <v>44139</v>
      </c>
      <c r="I616" t="s">
        <v>57</v>
      </c>
      <c r="J616" t="s">
        <v>33</v>
      </c>
      <c r="K616" t="str">
        <f t="shared" ca="1" si="58"/>
        <v>OK</v>
      </c>
      <c r="L616" t="s">
        <v>1043</v>
      </c>
      <c r="M616">
        <v>5</v>
      </c>
      <c r="N616" s="2">
        <v>46046</v>
      </c>
      <c r="O616" s="2">
        <v>46071</v>
      </c>
      <c r="P616" s="4">
        <f t="shared" ca="1" si="56"/>
        <v>5</v>
      </c>
      <c r="Q616" s="4" t="str">
        <f t="shared" ca="1" si="57"/>
        <v>3-5 Years</v>
      </c>
      <c r="R616">
        <f t="shared" ca="1" si="59"/>
        <v>0</v>
      </c>
      <c r="S616" t="s">
        <v>23</v>
      </c>
      <c r="T616">
        <v>5</v>
      </c>
      <c r="U616" t="s">
        <v>1394</v>
      </c>
      <c r="V616" t="s">
        <v>1394</v>
      </c>
      <c r="W616" t="s">
        <v>1394</v>
      </c>
      <c r="X616" s="3">
        <v>4</v>
      </c>
      <c r="Y616" t="s">
        <v>1395</v>
      </c>
      <c r="Z616">
        <v>49304</v>
      </c>
      <c r="AA616">
        <v>0.1</v>
      </c>
      <c r="AB616">
        <v>54234.400000000001</v>
      </c>
    </row>
    <row r="617" spans="1:28" x14ac:dyDescent="0.35">
      <c r="A617" t="str">
        <f t="shared" si="54"/>
        <v>EMP0616</v>
      </c>
      <c r="B617" t="str" cm="1">
        <f t="array" ref="B617">_xlfn.IFS(
ROW()&lt;=421,"NA",
ROW()&lt;=781,"LATAM",
ROW()&lt;=1021,"EMEA",
TRUE,"APAC"
)</f>
        <v>LATAM</v>
      </c>
      <c r="C617" t="str">
        <f t="shared" si="55"/>
        <v>Mexico</v>
      </c>
      <c r="D617" t="s">
        <v>38</v>
      </c>
      <c r="E617" t="s">
        <v>380</v>
      </c>
      <c r="F617" t="s">
        <v>695</v>
      </c>
      <c r="G617" t="s">
        <v>28</v>
      </c>
      <c r="H617" s="2">
        <v>44137</v>
      </c>
      <c r="I617" t="s">
        <v>29</v>
      </c>
      <c r="J617" t="s">
        <v>39</v>
      </c>
      <c r="K617" t="str">
        <f t="shared" ca="1" si="58"/>
        <v>OK</v>
      </c>
      <c r="L617" t="s">
        <v>696</v>
      </c>
      <c r="M617">
        <v>5</v>
      </c>
      <c r="N617" s="2">
        <v>46004</v>
      </c>
      <c r="O617" s="2" t="s">
        <v>22</v>
      </c>
      <c r="P617" s="4">
        <f t="shared" ca="1" si="56"/>
        <v>5</v>
      </c>
      <c r="Q617" s="4" t="str">
        <f t="shared" ca="1" si="57"/>
        <v>3-5 Years</v>
      </c>
      <c r="R617">
        <f t="shared" ca="1" si="59"/>
        <v>0</v>
      </c>
      <c r="S617" t="s">
        <v>22</v>
      </c>
      <c r="T617">
        <v>3</v>
      </c>
      <c r="U617" t="s">
        <v>1396</v>
      </c>
      <c r="V617" t="s">
        <v>1394</v>
      </c>
      <c r="W617" t="s">
        <v>1394</v>
      </c>
      <c r="X617" s="3">
        <v>2</v>
      </c>
      <c r="Y617" t="s">
        <v>1397</v>
      </c>
      <c r="Z617">
        <v>24302</v>
      </c>
      <c r="AA617">
        <v>0.1</v>
      </c>
      <c r="AB617">
        <v>26732.2</v>
      </c>
    </row>
    <row r="618" spans="1:28" x14ac:dyDescent="0.35">
      <c r="A618" t="str">
        <f t="shared" si="54"/>
        <v>EMP0617</v>
      </c>
      <c r="B618" t="str" cm="1">
        <f t="array" ref="B618">_xlfn.IFS(
ROW()&lt;=421,"NA",
ROW()&lt;=781,"LATAM",
ROW()&lt;=1021,"EMEA",
TRUE,"APAC"
)</f>
        <v>LATAM</v>
      </c>
      <c r="C618" t="str">
        <f t="shared" si="55"/>
        <v>Mexico</v>
      </c>
      <c r="D618" t="s">
        <v>38</v>
      </c>
      <c r="E618" t="s">
        <v>145</v>
      </c>
      <c r="F618" t="s">
        <v>156</v>
      </c>
      <c r="G618" t="s">
        <v>28</v>
      </c>
      <c r="H618" s="2">
        <v>44136</v>
      </c>
      <c r="I618" t="s">
        <v>29</v>
      </c>
      <c r="J618" t="s">
        <v>39</v>
      </c>
      <c r="K618" t="str">
        <f t="shared" ca="1" si="58"/>
        <v>OK</v>
      </c>
      <c r="L618" t="s">
        <v>211</v>
      </c>
      <c r="M618">
        <v>4</v>
      </c>
      <c r="N618" s="2">
        <v>46074</v>
      </c>
      <c r="O618" s="2" t="s">
        <v>22</v>
      </c>
      <c r="P618" s="4">
        <f t="shared" ca="1" si="56"/>
        <v>5</v>
      </c>
      <c r="Q618" s="4" t="str">
        <f t="shared" ca="1" si="57"/>
        <v>3-5 Years</v>
      </c>
      <c r="R618">
        <f t="shared" ca="1" si="59"/>
        <v>0</v>
      </c>
      <c r="S618" t="s">
        <v>22</v>
      </c>
      <c r="T618">
        <v>4</v>
      </c>
      <c r="U618" t="s">
        <v>1394</v>
      </c>
      <c r="V618" t="s">
        <v>1394</v>
      </c>
      <c r="W618" t="s">
        <v>1394</v>
      </c>
      <c r="X618" s="3">
        <v>3</v>
      </c>
      <c r="Y618" t="s">
        <v>1398</v>
      </c>
      <c r="Z618">
        <v>76040</v>
      </c>
      <c r="AA618">
        <v>0.15</v>
      </c>
      <c r="AB618">
        <v>87446</v>
      </c>
    </row>
    <row r="619" spans="1:28" x14ac:dyDescent="0.35">
      <c r="A619" t="str">
        <f t="shared" si="54"/>
        <v>EMP0618</v>
      </c>
      <c r="B619" t="str" cm="1">
        <f t="array" ref="B619">_xlfn.IFS(
ROW()&lt;=421,"NA",
ROW()&lt;=781,"LATAM",
ROW()&lt;=1021,"EMEA",
TRUE,"APAC"
)</f>
        <v>LATAM</v>
      </c>
      <c r="C619" t="str">
        <f t="shared" si="55"/>
        <v>Mexico</v>
      </c>
      <c r="D619" t="s">
        <v>41</v>
      </c>
      <c r="E619" t="s">
        <v>380</v>
      </c>
      <c r="F619" t="s">
        <v>579</v>
      </c>
      <c r="G619" t="s">
        <v>28</v>
      </c>
      <c r="H619" s="2">
        <v>44124</v>
      </c>
      <c r="I619" t="s">
        <v>29</v>
      </c>
      <c r="J619" t="s">
        <v>42</v>
      </c>
      <c r="K619" t="str">
        <f t="shared" ca="1" si="58"/>
        <v>OK</v>
      </c>
      <c r="L619" t="s">
        <v>1208</v>
      </c>
      <c r="M619">
        <v>5</v>
      </c>
      <c r="N619" s="2">
        <v>46057</v>
      </c>
      <c r="O619" s="2" t="s">
        <v>22</v>
      </c>
      <c r="P619" s="4">
        <f t="shared" ca="1" si="56"/>
        <v>5</v>
      </c>
      <c r="Q619" s="4" t="str">
        <f t="shared" ca="1" si="57"/>
        <v>3-5 Years</v>
      </c>
      <c r="R619">
        <f t="shared" ca="1" si="59"/>
        <v>0</v>
      </c>
      <c r="S619" t="s">
        <v>22</v>
      </c>
      <c r="T619">
        <v>4</v>
      </c>
      <c r="U619" t="s">
        <v>1394</v>
      </c>
      <c r="V619" t="s">
        <v>1394</v>
      </c>
      <c r="W619" t="s">
        <v>1394</v>
      </c>
      <c r="X619" s="3">
        <v>2</v>
      </c>
      <c r="Y619" t="s">
        <v>1397</v>
      </c>
      <c r="Z619">
        <v>33227</v>
      </c>
      <c r="AA619">
        <v>0.1</v>
      </c>
      <c r="AB619">
        <v>36549.700000000004</v>
      </c>
    </row>
    <row r="620" spans="1:28" x14ac:dyDescent="0.35">
      <c r="A620" t="str">
        <f t="shared" si="54"/>
        <v>EMP0619</v>
      </c>
      <c r="B620" t="str" cm="1">
        <f t="array" ref="B620">_xlfn.IFS(
ROW()&lt;=421,"NA",
ROW()&lt;=781,"LATAM",
ROW()&lt;=1021,"EMEA",
TRUE,"APAC"
)</f>
        <v>LATAM</v>
      </c>
      <c r="C620" t="str">
        <f t="shared" si="55"/>
        <v>Mexico</v>
      </c>
      <c r="D620" t="s">
        <v>41</v>
      </c>
      <c r="E620" t="s">
        <v>380</v>
      </c>
      <c r="F620" t="s">
        <v>416</v>
      </c>
      <c r="G620" t="s">
        <v>53</v>
      </c>
      <c r="H620" s="2">
        <v>44124</v>
      </c>
      <c r="I620" t="s">
        <v>29</v>
      </c>
      <c r="J620" t="s">
        <v>42</v>
      </c>
      <c r="K620" t="str">
        <f t="shared" ca="1" si="58"/>
        <v>OK</v>
      </c>
      <c r="L620" t="s">
        <v>1364</v>
      </c>
      <c r="M620">
        <v>5</v>
      </c>
      <c r="N620" s="2">
        <v>45997</v>
      </c>
      <c r="O620" s="2" t="s">
        <v>22</v>
      </c>
      <c r="P620" s="4">
        <f t="shared" ca="1" si="56"/>
        <v>5</v>
      </c>
      <c r="Q620" s="4" t="str">
        <f t="shared" ca="1" si="57"/>
        <v>3-5 Years</v>
      </c>
      <c r="R620">
        <f t="shared" ca="1" si="59"/>
        <v>0</v>
      </c>
      <c r="S620" t="s">
        <v>22</v>
      </c>
      <c r="T620">
        <v>3</v>
      </c>
      <c r="U620" t="s">
        <v>1394</v>
      </c>
      <c r="V620" t="s">
        <v>1394</v>
      </c>
      <c r="W620" t="s">
        <v>1394</v>
      </c>
      <c r="X620" s="3">
        <v>3</v>
      </c>
      <c r="Y620" t="s">
        <v>1398</v>
      </c>
      <c r="Z620">
        <v>41052</v>
      </c>
      <c r="AA620">
        <v>0.1</v>
      </c>
      <c r="AB620">
        <v>45157.200000000004</v>
      </c>
    </row>
    <row r="621" spans="1:28" x14ac:dyDescent="0.35">
      <c r="A621" t="str">
        <f t="shared" si="54"/>
        <v>EMP0620</v>
      </c>
      <c r="B621" t="str" cm="1">
        <f t="array" ref="B621">_xlfn.IFS(
ROW()&lt;=421,"NA",
ROW()&lt;=781,"LATAM",
ROW()&lt;=1021,"EMEA",
TRUE,"APAC"
)</f>
        <v>LATAM</v>
      </c>
      <c r="C621" t="str">
        <f t="shared" si="55"/>
        <v>Mexico</v>
      </c>
      <c r="D621" t="s">
        <v>26</v>
      </c>
      <c r="E621" t="s">
        <v>380</v>
      </c>
      <c r="F621" t="s">
        <v>648</v>
      </c>
      <c r="G621" t="s">
        <v>28</v>
      </c>
      <c r="H621" s="2">
        <v>44118</v>
      </c>
      <c r="I621" t="s">
        <v>29</v>
      </c>
      <c r="J621" t="s">
        <v>30</v>
      </c>
      <c r="K621" t="str">
        <f t="shared" ca="1" si="58"/>
        <v>OK</v>
      </c>
      <c r="L621" t="s">
        <v>1366</v>
      </c>
      <c r="M621">
        <v>5</v>
      </c>
      <c r="N621" s="2">
        <v>46043</v>
      </c>
      <c r="O621" s="2" t="s">
        <v>22</v>
      </c>
      <c r="P621" s="4">
        <f t="shared" ca="1" si="56"/>
        <v>5</v>
      </c>
      <c r="Q621" s="4" t="str">
        <f t="shared" ca="1" si="57"/>
        <v>3-5 Years</v>
      </c>
      <c r="R621">
        <f t="shared" ca="1" si="59"/>
        <v>0</v>
      </c>
      <c r="S621" t="s">
        <v>22</v>
      </c>
      <c r="T621">
        <v>4</v>
      </c>
      <c r="U621" t="s">
        <v>1394</v>
      </c>
      <c r="V621" t="s">
        <v>1394</v>
      </c>
      <c r="W621" t="s">
        <v>1394</v>
      </c>
      <c r="X621" s="3">
        <v>3</v>
      </c>
      <c r="Y621" t="s">
        <v>1398</v>
      </c>
      <c r="Z621">
        <v>33090</v>
      </c>
      <c r="AA621">
        <v>0.1</v>
      </c>
      <c r="AB621">
        <v>36399</v>
      </c>
    </row>
    <row r="622" spans="1:28" x14ac:dyDescent="0.35">
      <c r="A622" t="str">
        <f t="shared" si="54"/>
        <v>EMP0621</v>
      </c>
      <c r="B622" t="str" cm="1">
        <f t="array" ref="B622">_xlfn.IFS(
ROW()&lt;=421,"NA",
ROW()&lt;=781,"LATAM",
ROW()&lt;=1021,"EMEA",
TRUE,"APAC"
)</f>
        <v>LATAM</v>
      </c>
      <c r="C622" t="str">
        <f t="shared" si="55"/>
        <v>Mexico</v>
      </c>
      <c r="D622" t="s">
        <v>41</v>
      </c>
      <c r="E622" t="s">
        <v>380</v>
      </c>
      <c r="F622" t="s">
        <v>488</v>
      </c>
      <c r="G622" t="s">
        <v>28</v>
      </c>
      <c r="H622" s="2">
        <v>44116</v>
      </c>
      <c r="I622" t="s">
        <v>29</v>
      </c>
      <c r="J622" t="s">
        <v>42</v>
      </c>
      <c r="K622" t="str">
        <f t="shared" ca="1" si="58"/>
        <v>OK</v>
      </c>
      <c r="L622" t="s">
        <v>1359</v>
      </c>
      <c r="M622">
        <v>5</v>
      </c>
      <c r="N622" s="2">
        <v>46012</v>
      </c>
      <c r="O622" s="2" t="s">
        <v>22</v>
      </c>
      <c r="P622" s="4">
        <f t="shared" ca="1" si="56"/>
        <v>5</v>
      </c>
      <c r="Q622" s="4" t="str">
        <f t="shared" ca="1" si="57"/>
        <v>3-5 Years</v>
      </c>
      <c r="R622">
        <f t="shared" ca="1" si="59"/>
        <v>0</v>
      </c>
      <c r="S622" t="s">
        <v>22</v>
      </c>
      <c r="T622">
        <v>3</v>
      </c>
      <c r="U622" t="s">
        <v>1394</v>
      </c>
      <c r="V622" t="s">
        <v>1394</v>
      </c>
      <c r="W622" t="s">
        <v>1394</v>
      </c>
      <c r="X622" s="3">
        <v>1</v>
      </c>
      <c r="Y622" t="s">
        <v>1397</v>
      </c>
      <c r="Z622">
        <v>32796</v>
      </c>
      <c r="AA622">
        <v>0.1</v>
      </c>
      <c r="AB622">
        <v>36075.600000000006</v>
      </c>
    </row>
    <row r="623" spans="1:28" x14ac:dyDescent="0.35">
      <c r="A623" t="str">
        <f t="shared" si="54"/>
        <v>EMP0622</v>
      </c>
      <c r="B623" t="str" cm="1">
        <f t="array" ref="B623">_xlfn.IFS(
ROW()&lt;=421,"NA",
ROW()&lt;=781,"LATAM",
ROW()&lt;=1021,"EMEA",
TRUE,"APAC"
)</f>
        <v>LATAM</v>
      </c>
      <c r="C623" t="str">
        <f t="shared" si="55"/>
        <v>Mexico</v>
      </c>
      <c r="D623" t="s">
        <v>41</v>
      </c>
      <c r="E623" t="s">
        <v>145</v>
      </c>
      <c r="F623" t="s">
        <v>172</v>
      </c>
      <c r="G623" t="s">
        <v>28</v>
      </c>
      <c r="H623" s="2">
        <v>44109</v>
      </c>
      <c r="I623" t="s">
        <v>29</v>
      </c>
      <c r="J623" t="s">
        <v>42</v>
      </c>
      <c r="K623" t="str">
        <f t="shared" ca="1" si="58"/>
        <v>OK</v>
      </c>
      <c r="L623" t="s">
        <v>173</v>
      </c>
      <c r="M623">
        <v>4</v>
      </c>
      <c r="N623" s="2">
        <v>46045</v>
      </c>
      <c r="O623" s="2" t="s">
        <v>22</v>
      </c>
      <c r="P623" s="4">
        <f t="shared" ca="1" si="56"/>
        <v>5</v>
      </c>
      <c r="Q623" s="4" t="str">
        <f t="shared" ca="1" si="57"/>
        <v>3-5 Years</v>
      </c>
      <c r="R623">
        <f t="shared" ca="1" si="59"/>
        <v>0</v>
      </c>
      <c r="S623" t="s">
        <v>22</v>
      </c>
      <c r="T623">
        <v>4</v>
      </c>
      <c r="U623" t="s">
        <v>1394</v>
      </c>
      <c r="V623" t="s">
        <v>1394</v>
      </c>
      <c r="W623" t="s">
        <v>1394</v>
      </c>
      <c r="X623" s="3">
        <v>4</v>
      </c>
      <c r="Y623" t="s">
        <v>1395</v>
      </c>
      <c r="Z623">
        <v>74210</v>
      </c>
      <c r="AA623">
        <v>0.15</v>
      </c>
      <c r="AB623">
        <v>85341.5</v>
      </c>
    </row>
    <row r="624" spans="1:28" x14ac:dyDescent="0.35">
      <c r="A624" t="str">
        <f t="shared" si="54"/>
        <v>EMP0623</v>
      </c>
      <c r="B624" t="str" cm="1">
        <f t="array" ref="B624">_xlfn.IFS(
ROW()&lt;=421,"NA",
ROW()&lt;=781,"LATAM",
ROW()&lt;=1021,"EMEA",
TRUE,"APAC"
)</f>
        <v>LATAM</v>
      </c>
      <c r="C624" t="str">
        <f t="shared" si="55"/>
        <v>Mexico</v>
      </c>
      <c r="D624" t="s">
        <v>44</v>
      </c>
      <c r="E624" t="s">
        <v>380</v>
      </c>
      <c r="F624" t="s">
        <v>589</v>
      </c>
      <c r="G624" t="s">
        <v>28</v>
      </c>
      <c r="H624" s="2">
        <v>44097</v>
      </c>
      <c r="I624" t="s">
        <v>29</v>
      </c>
      <c r="J624" t="s">
        <v>47</v>
      </c>
      <c r="K624" t="str">
        <f t="shared" ca="1" si="58"/>
        <v>OK</v>
      </c>
      <c r="L624" t="s">
        <v>590</v>
      </c>
      <c r="M624">
        <v>5</v>
      </c>
      <c r="N624" s="2">
        <v>46049</v>
      </c>
      <c r="O624" s="2" t="s">
        <v>22</v>
      </c>
      <c r="P624" s="4">
        <f t="shared" ca="1" si="56"/>
        <v>5</v>
      </c>
      <c r="Q624" s="4" t="str">
        <f t="shared" ca="1" si="57"/>
        <v>3-5 Years</v>
      </c>
      <c r="R624">
        <f t="shared" ca="1" si="59"/>
        <v>0</v>
      </c>
      <c r="S624" t="s">
        <v>22</v>
      </c>
      <c r="T624">
        <v>3</v>
      </c>
      <c r="U624" t="s">
        <v>1394</v>
      </c>
      <c r="V624" t="s">
        <v>1396</v>
      </c>
      <c r="W624" t="s">
        <v>1394</v>
      </c>
      <c r="X624" s="3">
        <v>3</v>
      </c>
      <c r="Y624" t="s">
        <v>1398</v>
      </c>
      <c r="Z624">
        <v>45176</v>
      </c>
      <c r="AA624">
        <v>0.1</v>
      </c>
      <c r="AB624">
        <v>49693.600000000006</v>
      </c>
    </row>
    <row r="625" spans="1:28" x14ac:dyDescent="0.35">
      <c r="A625" t="str">
        <f t="shared" si="54"/>
        <v>EMP0624</v>
      </c>
      <c r="B625" t="str" cm="1">
        <f t="array" ref="B625">_xlfn.IFS(
ROW()&lt;=421,"NA",
ROW()&lt;=781,"LATAM",
ROW()&lt;=1021,"EMEA",
TRUE,"APAC"
)</f>
        <v>LATAM</v>
      </c>
      <c r="C625" t="str">
        <f t="shared" si="55"/>
        <v>Mexico</v>
      </c>
      <c r="D625" t="s">
        <v>32</v>
      </c>
      <c r="E625" t="s">
        <v>380</v>
      </c>
      <c r="F625" t="s">
        <v>391</v>
      </c>
      <c r="G625" t="s">
        <v>28</v>
      </c>
      <c r="H625" s="2">
        <v>44089</v>
      </c>
      <c r="I625" t="s">
        <v>57</v>
      </c>
      <c r="J625" t="s">
        <v>33</v>
      </c>
      <c r="K625" t="str">
        <f t="shared" ca="1" si="58"/>
        <v>OK</v>
      </c>
      <c r="L625" t="s">
        <v>1161</v>
      </c>
      <c r="M625">
        <v>5</v>
      </c>
      <c r="N625" s="2">
        <v>46057</v>
      </c>
      <c r="O625" s="2">
        <v>46071</v>
      </c>
      <c r="P625" s="4">
        <f t="shared" ca="1" si="56"/>
        <v>5</v>
      </c>
      <c r="Q625" s="4" t="str">
        <f t="shared" ca="1" si="57"/>
        <v>3-5 Years</v>
      </c>
      <c r="R625">
        <f t="shared" ca="1" si="59"/>
        <v>0</v>
      </c>
      <c r="S625" t="s">
        <v>23</v>
      </c>
      <c r="T625">
        <v>2</v>
      </c>
      <c r="U625" t="s">
        <v>1394</v>
      </c>
      <c r="V625" t="s">
        <v>1394</v>
      </c>
      <c r="W625" t="s">
        <v>1394</v>
      </c>
      <c r="X625" s="3">
        <v>1</v>
      </c>
      <c r="Y625" t="s">
        <v>1397</v>
      </c>
      <c r="Z625">
        <v>45265</v>
      </c>
      <c r="AA625">
        <v>0.1</v>
      </c>
      <c r="AB625">
        <v>49791.500000000007</v>
      </c>
    </row>
    <row r="626" spans="1:28" x14ac:dyDescent="0.35">
      <c r="A626" t="str">
        <f t="shared" si="54"/>
        <v>EMP0625</v>
      </c>
      <c r="B626" t="str" cm="1">
        <f t="array" ref="B626">_xlfn.IFS(
ROW()&lt;=421,"NA",
ROW()&lt;=781,"LATAM",
ROW()&lt;=1021,"EMEA",
TRUE,"APAC"
)</f>
        <v>LATAM</v>
      </c>
      <c r="C626" t="str">
        <f t="shared" si="55"/>
        <v>Mexico</v>
      </c>
      <c r="D626" t="s">
        <v>32</v>
      </c>
      <c r="E626" t="s">
        <v>69</v>
      </c>
      <c r="F626" t="s">
        <v>79</v>
      </c>
      <c r="G626" t="s">
        <v>28</v>
      </c>
      <c r="H626" s="2">
        <v>44083</v>
      </c>
      <c r="I626" t="s">
        <v>29</v>
      </c>
      <c r="J626" t="s">
        <v>33</v>
      </c>
      <c r="K626" t="str">
        <f t="shared" ca="1" si="58"/>
        <v>OK</v>
      </c>
      <c r="L626" t="s">
        <v>80</v>
      </c>
      <c r="M626">
        <v>3</v>
      </c>
      <c r="N626" s="2">
        <v>46042</v>
      </c>
      <c r="O626" s="2" t="s">
        <v>22</v>
      </c>
      <c r="P626" s="4">
        <f t="shared" ca="1" si="56"/>
        <v>5</v>
      </c>
      <c r="Q626" s="4" t="str">
        <f t="shared" ca="1" si="57"/>
        <v>3-5 Years</v>
      </c>
      <c r="R626">
        <f t="shared" ca="1" si="59"/>
        <v>0</v>
      </c>
      <c r="S626" t="s">
        <v>22</v>
      </c>
      <c r="T626">
        <v>3</v>
      </c>
      <c r="U626" t="s">
        <v>1394</v>
      </c>
      <c r="V626" t="s">
        <v>1394</v>
      </c>
      <c r="W626" t="s">
        <v>1394</v>
      </c>
      <c r="X626" s="3">
        <v>3</v>
      </c>
      <c r="Y626" t="s">
        <v>1398</v>
      </c>
      <c r="Z626">
        <v>114453</v>
      </c>
      <c r="AA626">
        <v>0.2</v>
      </c>
      <c r="AB626">
        <v>137343.6</v>
      </c>
    </row>
    <row r="627" spans="1:28" x14ac:dyDescent="0.35">
      <c r="A627" t="str">
        <f t="shared" si="54"/>
        <v>EMP0626</v>
      </c>
      <c r="B627" t="str" cm="1">
        <f t="array" ref="B627">_xlfn.IFS(
ROW()&lt;=421,"NA",
ROW()&lt;=781,"LATAM",
ROW()&lt;=1021,"EMEA",
TRUE,"APAC"
)</f>
        <v>LATAM</v>
      </c>
      <c r="C627" t="str">
        <f t="shared" si="55"/>
        <v>Mexico</v>
      </c>
      <c r="D627" t="s">
        <v>35</v>
      </c>
      <c r="E627" t="s">
        <v>380</v>
      </c>
      <c r="F627" t="s">
        <v>499</v>
      </c>
      <c r="G627" t="s">
        <v>53</v>
      </c>
      <c r="H627" s="2">
        <v>44076</v>
      </c>
      <c r="I627" t="s">
        <v>57</v>
      </c>
      <c r="J627" t="s">
        <v>36</v>
      </c>
      <c r="K627" t="str">
        <f t="shared" ca="1" si="58"/>
        <v>OK</v>
      </c>
      <c r="L627" t="s">
        <v>892</v>
      </c>
      <c r="M627">
        <v>5</v>
      </c>
      <c r="N627" s="2">
        <v>46045</v>
      </c>
      <c r="O627" s="2">
        <v>46071</v>
      </c>
      <c r="P627" s="4">
        <f t="shared" ca="1" si="56"/>
        <v>5</v>
      </c>
      <c r="Q627" s="4" t="str">
        <f t="shared" ca="1" si="57"/>
        <v>3-5 Years</v>
      </c>
      <c r="R627">
        <f t="shared" ca="1" si="59"/>
        <v>0</v>
      </c>
      <c r="S627" t="s">
        <v>23</v>
      </c>
      <c r="T627">
        <v>3</v>
      </c>
      <c r="U627" t="s">
        <v>1396</v>
      </c>
      <c r="V627" t="s">
        <v>1394</v>
      </c>
      <c r="W627" t="s">
        <v>1394</v>
      </c>
      <c r="X627" s="3">
        <v>3</v>
      </c>
      <c r="Y627" t="s">
        <v>1398</v>
      </c>
      <c r="Z627">
        <v>38000</v>
      </c>
      <c r="AA627">
        <v>0.1</v>
      </c>
      <c r="AB627">
        <v>41800</v>
      </c>
    </row>
    <row r="628" spans="1:28" x14ac:dyDescent="0.35">
      <c r="A628" t="str">
        <f t="shared" si="54"/>
        <v>EMP0627</v>
      </c>
      <c r="B628" t="str" cm="1">
        <f t="array" ref="B628">_xlfn.IFS(
ROW()&lt;=421,"NA",
ROW()&lt;=781,"LATAM",
ROW()&lt;=1021,"EMEA",
TRUE,"APAC"
)</f>
        <v>LATAM</v>
      </c>
      <c r="C628" t="str">
        <f t="shared" si="55"/>
        <v>Mexico</v>
      </c>
      <c r="D628" t="s">
        <v>35</v>
      </c>
      <c r="E628" t="s">
        <v>380</v>
      </c>
      <c r="F628" t="s">
        <v>790</v>
      </c>
      <c r="G628" t="s">
        <v>28</v>
      </c>
      <c r="H628" s="2">
        <v>44075</v>
      </c>
      <c r="I628" t="s">
        <v>29</v>
      </c>
      <c r="J628" t="s">
        <v>36</v>
      </c>
      <c r="K628" t="str">
        <f t="shared" ca="1" si="58"/>
        <v>OK</v>
      </c>
      <c r="L628" t="s">
        <v>1000</v>
      </c>
      <c r="M628">
        <v>5</v>
      </c>
      <c r="N628" s="2">
        <v>45998</v>
      </c>
      <c r="O628" s="2" t="s">
        <v>22</v>
      </c>
      <c r="P628" s="4">
        <f t="shared" ca="1" si="56"/>
        <v>5</v>
      </c>
      <c r="Q628" s="4" t="str">
        <f t="shared" ca="1" si="57"/>
        <v>3-5 Years</v>
      </c>
      <c r="R628">
        <f t="shared" ca="1" si="59"/>
        <v>0</v>
      </c>
      <c r="S628" t="s">
        <v>22</v>
      </c>
      <c r="T628">
        <v>3</v>
      </c>
      <c r="U628" t="s">
        <v>1394</v>
      </c>
      <c r="V628" t="s">
        <v>1394</v>
      </c>
      <c r="W628" t="s">
        <v>1394</v>
      </c>
      <c r="X628" s="3">
        <v>5</v>
      </c>
      <c r="Y628" t="s">
        <v>1395</v>
      </c>
      <c r="Z628">
        <v>34637</v>
      </c>
      <c r="AA628">
        <v>0.1</v>
      </c>
      <c r="AB628">
        <v>38100.700000000004</v>
      </c>
    </row>
    <row r="629" spans="1:28" x14ac:dyDescent="0.35">
      <c r="A629" t="str">
        <f t="shared" si="54"/>
        <v>EMP0628</v>
      </c>
      <c r="B629" t="str" cm="1">
        <f t="array" ref="B629">_xlfn.IFS(
ROW()&lt;=421,"NA",
ROW()&lt;=781,"LATAM",
ROW()&lt;=1021,"EMEA",
TRUE,"APAC"
)</f>
        <v>LATAM</v>
      </c>
      <c r="C629" t="str">
        <f t="shared" si="55"/>
        <v>Mexico</v>
      </c>
      <c r="D629" t="s">
        <v>44</v>
      </c>
      <c r="E629" t="s">
        <v>380</v>
      </c>
      <c r="F629" t="s">
        <v>438</v>
      </c>
      <c r="G629" t="s">
        <v>28</v>
      </c>
      <c r="H629" s="2">
        <v>44075</v>
      </c>
      <c r="I629" t="s">
        <v>29</v>
      </c>
      <c r="J629" t="s">
        <v>47</v>
      </c>
      <c r="K629" t="str">
        <f t="shared" ca="1" si="58"/>
        <v>OK</v>
      </c>
      <c r="L629" t="s">
        <v>1072</v>
      </c>
      <c r="M629">
        <v>5</v>
      </c>
      <c r="N629" s="2">
        <v>46064</v>
      </c>
      <c r="O629" s="2" t="s">
        <v>22</v>
      </c>
      <c r="P629" s="4">
        <f t="shared" ca="1" si="56"/>
        <v>5</v>
      </c>
      <c r="Q629" s="4" t="str">
        <f t="shared" ca="1" si="57"/>
        <v>3-5 Years</v>
      </c>
      <c r="R629">
        <f t="shared" ca="1" si="59"/>
        <v>0</v>
      </c>
      <c r="S629" t="s">
        <v>22</v>
      </c>
      <c r="T629">
        <v>3</v>
      </c>
      <c r="U629" t="s">
        <v>1396</v>
      </c>
      <c r="V629" t="s">
        <v>1394</v>
      </c>
      <c r="W629" t="s">
        <v>1394</v>
      </c>
      <c r="X629" s="3">
        <v>3</v>
      </c>
      <c r="Y629" t="s">
        <v>1398</v>
      </c>
      <c r="Z629">
        <v>32684</v>
      </c>
      <c r="AA629">
        <v>0.1</v>
      </c>
      <c r="AB629">
        <v>35952.400000000001</v>
      </c>
    </row>
    <row r="630" spans="1:28" x14ac:dyDescent="0.35">
      <c r="A630" t="str">
        <f t="shared" si="54"/>
        <v>EMP0629</v>
      </c>
      <c r="B630" t="str" cm="1">
        <f t="array" ref="B630">_xlfn.IFS(
ROW()&lt;=421,"NA",
ROW()&lt;=781,"LATAM",
ROW()&lt;=1021,"EMEA",
TRUE,"APAC"
)</f>
        <v>LATAM</v>
      </c>
      <c r="C630" t="str">
        <f t="shared" si="55"/>
        <v>Mexico</v>
      </c>
      <c r="D630" t="s">
        <v>41</v>
      </c>
      <c r="E630" t="s">
        <v>380</v>
      </c>
      <c r="F630" t="s">
        <v>823</v>
      </c>
      <c r="G630" t="s">
        <v>28</v>
      </c>
      <c r="H630" s="2">
        <v>44068</v>
      </c>
      <c r="I630" t="s">
        <v>29</v>
      </c>
      <c r="J630" t="s">
        <v>42</v>
      </c>
      <c r="K630" t="str">
        <f t="shared" ca="1" si="58"/>
        <v>OK</v>
      </c>
      <c r="L630" t="s">
        <v>856</v>
      </c>
      <c r="M630">
        <v>5</v>
      </c>
      <c r="N630" s="2">
        <v>46042</v>
      </c>
      <c r="O630" s="2" t="s">
        <v>22</v>
      </c>
      <c r="P630" s="4">
        <f t="shared" ca="1" si="56"/>
        <v>5</v>
      </c>
      <c r="Q630" s="4" t="str">
        <f t="shared" ca="1" si="57"/>
        <v>3-5 Years</v>
      </c>
      <c r="R630">
        <f t="shared" ca="1" si="59"/>
        <v>0</v>
      </c>
      <c r="S630" t="s">
        <v>22</v>
      </c>
      <c r="T630">
        <v>3</v>
      </c>
      <c r="U630" t="s">
        <v>1396</v>
      </c>
      <c r="V630" t="s">
        <v>1394</v>
      </c>
      <c r="W630" t="s">
        <v>1394</v>
      </c>
      <c r="X630" s="3">
        <v>1</v>
      </c>
      <c r="Y630" t="s">
        <v>1397</v>
      </c>
      <c r="Z630">
        <v>26118</v>
      </c>
      <c r="AA630">
        <v>0.1</v>
      </c>
      <c r="AB630">
        <v>28729.800000000003</v>
      </c>
    </row>
    <row r="631" spans="1:28" x14ac:dyDescent="0.35">
      <c r="A631" t="str">
        <f t="shared" si="54"/>
        <v>EMP0630</v>
      </c>
      <c r="B631" t="str" cm="1">
        <f t="array" ref="B631">_xlfn.IFS(
ROW()&lt;=421,"NA",
ROW()&lt;=781,"LATAM",
ROW()&lt;=1021,"EMEA",
TRUE,"APAC"
)</f>
        <v>LATAM</v>
      </c>
      <c r="C631" t="str">
        <f t="shared" si="55"/>
        <v>Mexico</v>
      </c>
      <c r="D631" t="s">
        <v>35</v>
      </c>
      <c r="E631" t="s">
        <v>380</v>
      </c>
      <c r="F631" t="s">
        <v>468</v>
      </c>
      <c r="G631" t="s">
        <v>28</v>
      </c>
      <c r="H631" s="2">
        <v>44057</v>
      </c>
      <c r="I631" t="s">
        <v>57</v>
      </c>
      <c r="J631" t="s">
        <v>36</v>
      </c>
      <c r="K631" t="str">
        <f t="shared" ca="1" si="58"/>
        <v>OK</v>
      </c>
      <c r="L631" t="s">
        <v>1236</v>
      </c>
      <c r="M631">
        <v>5</v>
      </c>
      <c r="N631" s="2">
        <v>46068</v>
      </c>
      <c r="O631" s="2">
        <v>44884</v>
      </c>
      <c r="P631" s="4">
        <f t="shared" ca="1" si="56"/>
        <v>2</v>
      </c>
      <c r="Q631" s="4" t="str">
        <f t="shared" ca="1" si="57"/>
        <v>0-2 Years</v>
      </c>
      <c r="R631">
        <f t="shared" ca="1" si="59"/>
        <v>1</v>
      </c>
      <c r="S631" t="s">
        <v>23</v>
      </c>
      <c r="T631">
        <v>5</v>
      </c>
      <c r="U631" t="s">
        <v>1394</v>
      </c>
      <c r="V631" t="s">
        <v>1394</v>
      </c>
      <c r="W631" t="s">
        <v>1394</v>
      </c>
      <c r="X631" s="3">
        <v>4</v>
      </c>
      <c r="Y631" t="s">
        <v>1395</v>
      </c>
      <c r="Z631">
        <v>24204</v>
      </c>
      <c r="AA631">
        <v>0.1</v>
      </c>
      <c r="AB631">
        <v>26624.400000000001</v>
      </c>
    </row>
    <row r="632" spans="1:28" x14ac:dyDescent="0.35">
      <c r="A632" t="str">
        <f t="shared" si="54"/>
        <v>EMP0631</v>
      </c>
      <c r="B632" t="str" cm="1">
        <f t="array" ref="B632">_xlfn.IFS(
ROW()&lt;=421,"NA",
ROW()&lt;=781,"LATAM",
ROW()&lt;=1021,"EMEA",
TRUE,"APAC"
)</f>
        <v>LATAM</v>
      </c>
      <c r="C632" t="str">
        <f t="shared" si="55"/>
        <v>Mexico</v>
      </c>
      <c r="D632" t="s">
        <v>38</v>
      </c>
      <c r="E632" t="s">
        <v>380</v>
      </c>
      <c r="F632" t="s">
        <v>502</v>
      </c>
      <c r="G632" t="s">
        <v>28</v>
      </c>
      <c r="H632" s="2">
        <v>44054</v>
      </c>
      <c r="I632" t="s">
        <v>29</v>
      </c>
      <c r="J632" t="s">
        <v>39</v>
      </c>
      <c r="K632" t="str">
        <f t="shared" ca="1" si="58"/>
        <v>OK</v>
      </c>
      <c r="L632" t="s">
        <v>925</v>
      </c>
      <c r="M632">
        <v>5</v>
      </c>
      <c r="N632" s="2">
        <v>46073</v>
      </c>
      <c r="O632" s="2" t="s">
        <v>22</v>
      </c>
      <c r="P632" s="4">
        <f t="shared" ca="1" si="56"/>
        <v>5</v>
      </c>
      <c r="Q632" s="4" t="str">
        <f t="shared" ca="1" si="57"/>
        <v>3-5 Years</v>
      </c>
      <c r="R632">
        <f t="shared" ca="1" si="59"/>
        <v>0</v>
      </c>
      <c r="S632" t="s">
        <v>22</v>
      </c>
      <c r="T632">
        <v>5</v>
      </c>
      <c r="U632" t="s">
        <v>1394</v>
      </c>
      <c r="V632" t="s">
        <v>1396</v>
      </c>
      <c r="W632" t="s">
        <v>1394</v>
      </c>
      <c r="X632" s="3">
        <v>3</v>
      </c>
      <c r="Y632" t="s">
        <v>1398</v>
      </c>
      <c r="Z632">
        <v>39808</v>
      </c>
      <c r="AA632">
        <v>0.1</v>
      </c>
      <c r="AB632">
        <v>43788.800000000003</v>
      </c>
    </row>
    <row r="633" spans="1:28" x14ac:dyDescent="0.35">
      <c r="A633" t="str">
        <f t="shared" si="54"/>
        <v>EMP0632</v>
      </c>
      <c r="B633" t="str" cm="1">
        <f t="array" ref="B633">_xlfn.IFS(
ROW()&lt;=421,"NA",
ROW()&lt;=781,"LATAM",
ROW()&lt;=1021,"EMEA",
TRUE,"APAC"
)</f>
        <v>LATAM</v>
      </c>
      <c r="C633" t="str">
        <f t="shared" si="55"/>
        <v>Mexico</v>
      </c>
      <c r="D633" t="s">
        <v>44</v>
      </c>
      <c r="E633" t="s">
        <v>380</v>
      </c>
      <c r="F633" t="s">
        <v>531</v>
      </c>
      <c r="G633" t="s">
        <v>28</v>
      </c>
      <c r="H633" s="2">
        <v>44049</v>
      </c>
      <c r="I633" t="s">
        <v>29</v>
      </c>
      <c r="J633" t="s">
        <v>47</v>
      </c>
      <c r="K633" t="str">
        <f t="shared" ca="1" si="58"/>
        <v>OK</v>
      </c>
      <c r="L633" t="s">
        <v>1350</v>
      </c>
      <c r="M633">
        <v>5</v>
      </c>
      <c r="N633" s="2">
        <v>45988</v>
      </c>
      <c r="O633" s="2" t="s">
        <v>22</v>
      </c>
      <c r="P633" s="4">
        <f t="shared" ca="1" si="56"/>
        <v>5</v>
      </c>
      <c r="Q633" s="4" t="str">
        <f t="shared" ca="1" si="57"/>
        <v>3-5 Years</v>
      </c>
      <c r="R633">
        <f t="shared" ca="1" si="59"/>
        <v>0</v>
      </c>
      <c r="S633" t="s">
        <v>22</v>
      </c>
      <c r="T633">
        <v>3</v>
      </c>
      <c r="U633" t="s">
        <v>1394</v>
      </c>
      <c r="V633" t="s">
        <v>1394</v>
      </c>
      <c r="W633" t="s">
        <v>1394</v>
      </c>
      <c r="X633" s="3">
        <v>5</v>
      </c>
      <c r="Y633" t="s">
        <v>1395</v>
      </c>
      <c r="Z633">
        <v>32857</v>
      </c>
      <c r="AA633">
        <v>0.1</v>
      </c>
      <c r="AB633">
        <v>36142.700000000004</v>
      </c>
    </row>
    <row r="634" spans="1:28" x14ac:dyDescent="0.35">
      <c r="A634" t="str">
        <f t="shared" si="54"/>
        <v>EMP0633</v>
      </c>
      <c r="B634" t="str" cm="1">
        <f t="array" ref="B634">_xlfn.IFS(
ROW()&lt;=421,"NA",
ROW()&lt;=781,"LATAM",
ROW()&lt;=1021,"EMEA",
TRUE,"APAC"
)</f>
        <v>LATAM</v>
      </c>
      <c r="C634" t="str">
        <f t="shared" si="55"/>
        <v>Mexico</v>
      </c>
      <c r="D634" t="s">
        <v>38</v>
      </c>
      <c r="E634" t="s">
        <v>380</v>
      </c>
      <c r="F634" t="s">
        <v>412</v>
      </c>
      <c r="G634" t="s">
        <v>28</v>
      </c>
      <c r="H634" s="2">
        <v>44048</v>
      </c>
      <c r="I634" t="s">
        <v>29</v>
      </c>
      <c r="J634" t="s">
        <v>39</v>
      </c>
      <c r="K634" t="str">
        <f t="shared" ca="1" si="58"/>
        <v>OK</v>
      </c>
      <c r="L634" t="s">
        <v>1263</v>
      </c>
      <c r="M634">
        <v>5</v>
      </c>
      <c r="N634" s="2">
        <v>46006</v>
      </c>
      <c r="O634" s="2" t="s">
        <v>22</v>
      </c>
      <c r="P634" s="4">
        <f t="shared" ca="1" si="56"/>
        <v>5</v>
      </c>
      <c r="Q634" s="4" t="str">
        <f t="shared" ca="1" si="57"/>
        <v>3-5 Years</v>
      </c>
      <c r="R634">
        <f t="shared" ca="1" si="59"/>
        <v>0</v>
      </c>
      <c r="S634" t="s">
        <v>22</v>
      </c>
      <c r="T634">
        <v>2</v>
      </c>
      <c r="U634" t="s">
        <v>1394</v>
      </c>
      <c r="V634" t="s">
        <v>1394</v>
      </c>
      <c r="W634" t="s">
        <v>1394</v>
      </c>
      <c r="X634" s="3">
        <v>3</v>
      </c>
      <c r="Y634" t="s">
        <v>1398</v>
      </c>
      <c r="Z634">
        <v>46437</v>
      </c>
      <c r="AA634">
        <v>0.1</v>
      </c>
      <c r="AB634">
        <v>51080.700000000004</v>
      </c>
    </row>
    <row r="635" spans="1:28" x14ac:dyDescent="0.35">
      <c r="A635" t="str">
        <f t="shared" si="54"/>
        <v>EMP0634</v>
      </c>
      <c r="B635" t="str" cm="1">
        <f t="array" ref="B635">_xlfn.IFS(
ROW()&lt;=421,"NA",
ROW()&lt;=781,"LATAM",
ROW()&lt;=1021,"EMEA",
TRUE,"APAC"
)</f>
        <v>LATAM</v>
      </c>
      <c r="C635" t="str">
        <f t="shared" si="55"/>
        <v>Mexico</v>
      </c>
      <c r="D635" t="s">
        <v>38</v>
      </c>
      <c r="E635" t="s">
        <v>380</v>
      </c>
      <c r="F635" t="s">
        <v>456</v>
      </c>
      <c r="G635" t="s">
        <v>28</v>
      </c>
      <c r="H635" s="2">
        <v>44047</v>
      </c>
      <c r="I635" t="s">
        <v>29</v>
      </c>
      <c r="J635" t="s">
        <v>39</v>
      </c>
      <c r="K635" t="str">
        <f t="shared" ca="1" si="58"/>
        <v>OK</v>
      </c>
      <c r="L635" t="s">
        <v>769</v>
      </c>
      <c r="M635">
        <v>5</v>
      </c>
      <c r="N635" s="2">
        <v>46023</v>
      </c>
      <c r="O635" s="2" t="s">
        <v>22</v>
      </c>
      <c r="P635" s="4">
        <f t="shared" ca="1" si="56"/>
        <v>5</v>
      </c>
      <c r="Q635" s="4" t="str">
        <f t="shared" ca="1" si="57"/>
        <v>3-5 Years</v>
      </c>
      <c r="R635">
        <f t="shared" ca="1" si="59"/>
        <v>0</v>
      </c>
      <c r="S635" t="s">
        <v>22</v>
      </c>
      <c r="T635">
        <v>3</v>
      </c>
      <c r="U635" t="s">
        <v>1394</v>
      </c>
      <c r="V635" t="s">
        <v>1394</v>
      </c>
      <c r="W635" t="s">
        <v>1394</v>
      </c>
      <c r="X635" s="3">
        <v>4</v>
      </c>
      <c r="Y635" t="s">
        <v>1395</v>
      </c>
      <c r="Z635">
        <v>46552</v>
      </c>
      <c r="AA635">
        <v>0.1</v>
      </c>
      <c r="AB635">
        <v>51207.200000000004</v>
      </c>
    </row>
    <row r="636" spans="1:28" x14ac:dyDescent="0.35">
      <c r="A636" t="str">
        <f t="shared" si="54"/>
        <v>EMP0635</v>
      </c>
      <c r="B636" t="str" cm="1">
        <f t="array" ref="B636">_xlfn.IFS(
ROW()&lt;=421,"NA",
ROW()&lt;=781,"LATAM",
ROW()&lt;=1021,"EMEA",
TRUE,"APAC"
)</f>
        <v>LATAM</v>
      </c>
      <c r="C636" t="str">
        <f t="shared" si="55"/>
        <v>Mexico</v>
      </c>
      <c r="D636" t="s">
        <v>35</v>
      </c>
      <c r="E636" t="s">
        <v>380</v>
      </c>
      <c r="F636" t="s">
        <v>397</v>
      </c>
      <c r="G636" t="s">
        <v>28</v>
      </c>
      <c r="H636" s="2">
        <v>44047</v>
      </c>
      <c r="I636" t="s">
        <v>29</v>
      </c>
      <c r="J636" t="s">
        <v>36</v>
      </c>
      <c r="K636" t="str">
        <f t="shared" ca="1" si="58"/>
        <v>OK</v>
      </c>
      <c r="L636" t="s">
        <v>953</v>
      </c>
      <c r="M636">
        <v>5</v>
      </c>
      <c r="N636" s="2">
        <v>46030</v>
      </c>
      <c r="O636" s="2" t="s">
        <v>22</v>
      </c>
      <c r="P636" s="4">
        <f t="shared" ca="1" si="56"/>
        <v>5</v>
      </c>
      <c r="Q636" s="4" t="str">
        <f t="shared" ca="1" si="57"/>
        <v>3-5 Years</v>
      </c>
      <c r="R636">
        <f t="shared" ca="1" si="59"/>
        <v>0</v>
      </c>
      <c r="S636" t="s">
        <v>22</v>
      </c>
      <c r="T636">
        <v>2</v>
      </c>
      <c r="U636" t="s">
        <v>1394</v>
      </c>
      <c r="V636" t="s">
        <v>1394</v>
      </c>
      <c r="W636" t="s">
        <v>1394</v>
      </c>
      <c r="X636" s="3">
        <v>2</v>
      </c>
      <c r="Y636" t="s">
        <v>1397</v>
      </c>
      <c r="Z636">
        <v>39023</v>
      </c>
      <c r="AA636">
        <v>0.1</v>
      </c>
      <c r="AB636">
        <v>42925.3</v>
      </c>
    </row>
    <row r="637" spans="1:28" x14ac:dyDescent="0.35">
      <c r="A637" t="str">
        <f t="shared" si="54"/>
        <v>EMP0636</v>
      </c>
      <c r="B637" t="str" cm="1">
        <f t="array" ref="B637">_xlfn.IFS(
ROW()&lt;=421,"NA",
ROW()&lt;=781,"LATAM",
ROW()&lt;=1021,"EMEA",
TRUE,"APAC"
)</f>
        <v>LATAM</v>
      </c>
      <c r="C637" t="str">
        <f t="shared" si="55"/>
        <v>Mexico</v>
      </c>
      <c r="D637" t="s">
        <v>44</v>
      </c>
      <c r="E637" t="s">
        <v>380</v>
      </c>
      <c r="F637" t="s">
        <v>499</v>
      </c>
      <c r="G637" t="s">
        <v>28</v>
      </c>
      <c r="H637" s="2">
        <v>44039</v>
      </c>
      <c r="I637" t="s">
        <v>29</v>
      </c>
      <c r="J637" t="s">
        <v>47</v>
      </c>
      <c r="K637" t="str">
        <f t="shared" ca="1" si="58"/>
        <v>OK</v>
      </c>
      <c r="L637" t="s">
        <v>998</v>
      </c>
      <c r="M637">
        <v>5</v>
      </c>
      <c r="N637" s="2">
        <v>46047</v>
      </c>
      <c r="O637" s="2" t="s">
        <v>22</v>
      </c>
      <c r="P637" s="4">
        <f t="shared" ca="1" si="56"/>
        <v>5</v>
      </c>
      <c r="Q637" s="4" t="str">
        <f t="shared" ca="1" si="57"/>
        <v>3-5 Years</v>
      </c>
      <c r="R637">
        <f t="shared" ca="1" si="59"/>
        <v>0</v>
      </c>
      <c r="S637" t="s">
        <v>22</v>
      </c>
      <c r="T637">
        <v>4</v>
      </c>
      <c r="U637" t="s">
        <v>1394</v>
      </c>
      <c r="V637" t="s">
        <v>1394</v>
      </c>
      <c r="W637" t="s">
        <v>1394</v>
      </c>
      <c r="X637" s="3">
        <v>2</v>
      </c>
      <c r="Y637" t="s">
        <v>1397</v>
      </c>
      <c r="Z637">
        <v>20548</v>
      </c>
      <c r="AA637">
        <v>0.1</v>
      </c>
      <c r="AB637">
        <v>22602.800000000003</v>
      </c>
    </row>
    <row r="638" spans="1:28" x14ac:dyDescent="0.35">
      <c r="A638" t="str">
        <f t="shared" si="54"/>
        <v>EMP0637</v>
      </c>
      <c r="B638" t="str" cm="1">
        <f t="array" ref="B638">_xlfn.IFS(
ROW()&lt;=421,"NA",
ROW()&lt;=781,"LATAM",
ROW()&lt;=1021,"EMEA",
TRUE,"APAC"
)</f>
        <v>LATAM</v>
      </c>
      <c r="C638" t="str">
        <f t="shared" si="55"/>
        <v>Mexico</v>
      </c>
      <c r="D638" t="s">
        <v>32</v>
      </c>
      <c r="E638" t="s">
        <v>145</v>
      </c>
      <c r="F638" t="s">
        <v>205</v>
      </c>
      <c r="G638" t="s">
        <v>53</v>
      </c>
      <c r="H638" s="2">
        <v>44038</v>
      </c>
      <c r="I638" t="s">
        <v>29</v>
      </c>
      <c r="J638" t="s">
        <v>33</v>
      </c>
      <c r="K638" t="str">
        <f t="shared" ca="1" si="58"/>
        <v>OK</v>
      </c>
      <c r="L638" t="s">
        <v>315</v>
      </c>
      <c r="M638">
        <v>4</v>
      </c>
      <c r="N638" s="2">
        <v>46037</v>
      </c>
      <c r="O638" s="2" t="s">
        <v>22</v>
      </c>
      <c r="P638" s="4">
        <f t="shared" ca="1" si="56"/>
        <v>5</v>
      </c>
      <c r="Q638" s="4" t="str">
        <f t="shared" ca="1" si="57"/>
        <v>3-5 Years</v>
      </c>
      <c r="R638">
        <f t="shared" ca="1" si="59"/>
        <v>0</v>
      </c>
      <c r="S638" t="s">
        <v>22</v>
      </c>
      <c r="T638">
        <v>3</v>
      </c>
      <c r="U638" t="s">
        <v>1394</v>
      </c>
      <c r="V638" t="s">
        <v>1394</v>
      </c>
      <c r="W638" t="s">
        <v>1394</v>
      </c>
      <c r="X638" s="3">
        <v>5</v>
      </c>
      <c r="Y638" t="s">
        <v>1395</v>
      </c>
      <c r="Z638">
        <v>70118</v>
      </c>
      <c r="AA638">
        <v>0.15</v>
      </c>
      <c r="AB638">
        <v>80635.7</v>
      </c>
    </row>
    <row r="639" spans="1:28" x14ac:dyDescent="0.35">
      <c r="A639" t="str">
        <f t="shared" si="54"/>
        <v>EMP0638</v>
      </c>
      <c r="B639" t="str" cm="1">
        <f t="array" ref="B639">_xlfn.IFS(
ROW()&lt;=421,"NA",
ROW()&lt;=781,"LATAM",
ROW()&lt;=1021,"EMEA",
TRUE,"APAC"
)</f>
        <v>LATAM</v>
      </c>
      <c r="C639" t="str">
        <f t="shared" si="55"/>
        <v>Mexico</v>
      </c>
      <c r="D639" t="s">
        <v>38</v>
      </c>
      <c r="E639" t="s">
        <v>380</v>
      </c>
      <c r="F639" t="s">
        <v>854</v>
      </c>
      <c r="G639" t="s">
        <v>28</v>
      </c>
      <c r="H639" s="2">
        <v>44035</v>
      </c>
      <c r="I639" t="s">
        <v>29</v>
      </c>
      <c r="J639" t="s">
        <v>39</v>
      </c>
      <c r="K639" t="str">
        <f t="shared" ca="1" si="58"/>
        <v>OK</v>
      </c>
      <c r="L639" t="s">
        <v>855</v>
      </c>
      <c r="M639">
        <v>5</v>
      </c>
      <c r="N639" s="2">
        <v>46020</v>
      </c>
      <c r="O639" s="2" t="s">
        <v>22</v>
      </c>
      <c r="P639" s="4">
        <f t="shared" ca="1" si="56"/>
        <v>5</v>
      </c>
      <c r="Q639" s="4" t="str">
        <f t="shared" ca="1" si="57"/>
        <v>3-5 Years</v>
      </c>
      <c r="R639">
        <f t="shared" ca="1" si="59"/>
        <v>0</v>
      </c>
      <c r="S639" t="s">
        <v>22</v>
      </c>
      <c r="T639">
        <v>2</v>
      </c>
      <c r="U639" t="s">
        <v>1394</v>
      </c>
      <c r="V639" t="s">
        <v>1394</v>
      </c>
      <c r="W639" t="s">
        <v>1394</v>
      </c>
      <c r="X639" s="3">
        <v>3</v>
      </c>
      <c r="Y639" t="s">
        <v>1398</v>
      </c>
      <c r="Z639">
        <v>28778</v>
      </c>
      <c r="AA639">
        <v>0.1</v>
      </c>
      <c r="AB639">
        <v>31655.800000000003</v>
      </c>
    </row>
    <row r="640" spans="1:28" x14ac:dyDescent="0.35">
      <c r="A640" t="str">
        <f t="shared" si="54"/>
        <v>EMP0639</v>
      </c>
      <c r="B640" t="str" cm="1">
        <f t="array" ref="B640">_xlfn.IFS(
ROW()&lt;=421,"NA",
ROW()&lt;=781,"LATAM",
ROW()&lt;=1021,"EMEA",
TRUE,"APAC"
)</f>
        <v>LATAM</v>
      </c>
      <c r="C640" t="str">
        <f t="shared" si="55"/>
        <v>Mexico</v>
      </c>
      <c r="D640" t="s">
        <v>44</v>
      </c>
      <c r="E640" t="s">
        <v>380</v>
      </c>
      <c r="F640" t="s">
        <v>381</v>
      </c>
      <c r="G640" t="s">
        <v>28</v>
      </c>
      <c r="H640" s="2">
        <v>44031</v>
      </c>
      <c r="I640" t="s">
        <v>29</v>
      </c>
      <c r="J640" t="s">
        <v>47</v>
      </c>
      <c r="K640" t="str">
        <f t="shared" ca="1" si="58"/>
        <v>OK</v>
      </c>
      <c r="L640" t="s">
        <v>1111</v>
      </c>
      <c r="M640">
        <v>5</v>
      </c>
      <c r="N640" s="2">
        <v>46039</v>
      </c>
      <c r="O640" s="2" t="s">
        <v>22</v>
      </c>
      <c r="P640" s="4">
        <f t="shared" ca="1" si="56"/>
        <v>5</v>
      </c>
      <c r="Q640" s="4" t="str">
        <f t="shared" ca="1" si="57"/>
        <v>3-5 Years</v>
      </c>
      <c r="R640">
        <f t="shared" ca="1" si="59"/>
        <v>0</v>
      </c>
      <c r="S640" t="s">
        <v>22</v>
      </c>
      <c r="T640">
        <v>4</v>
      </c>
      <c r="U640" t="s">
        <v>1394</v>
      </c>
      <c r="V640" t="s">
        <v>1394</v>
      </c>
      <c r="W640" t="s">
        <v>1394</v>
      </c>
      <c r="X640" s="3">
        <v>1</v>
      </c>
      <c r="Y640" t="s">
        <v>1397</v>
      </c>
      <c r="Z640">
        <v>31797</v>
      </c>
      <c r="AA640">
        <v>0.1</v>
      </c>
      <c r="AB640">
        <v>34976.700000000004</v>
      </c>
    </row>
    <row r="641" spans="1:28" x14ac:dyDescent="0.35">
      <c r="A641" t="str">
        <f t="shared" si="54"/>
        <v>EMP0640</v>
      </c>
      <c r="B641" t="str" cm="1">
        <f t="array" ref="B641">_xlfn.IFS(
ROW()&lt;=421,"NA",
ROW()&lt;=781,"LATAM",
ROW()&lt;=1021,"EMEA",
TRUE,"APAC"
)</f>
        <v>LATAM</v>
      </c>
      <c r="C641" t="str">
        <f t="shared" si="55"/>
        <v>Mexico</v>
      </c>
      <c r="D641" t="s">
        <v>35</v>
      </c>
      <c r="E641" t="s">
        <v>145</v>
      </c>
      <c r="F641" t="s">
        <v>160</v>
      </c>
      <c r="G641" t="s">
        <v>28</v>
      </c>
      <c r="H641" s="2">
        <v>44030</v>
      </c>
      <c r="I641" t="s">
        <v>29</v>
      </c>
      <c r="J641" t="s">
        <v>36</v>
      </c>
      <c r="K641" t="str">
        <f t="shared" ca="1" si="58"/>
        <v>OK</v>
      </c>
      <c r="L641" t="s">
        <v>218</v>
      </c>
      <c r="M641">
        <v>4</v>
      </c>
      <c r="N641" s="2">
        <v>46040</v>
      </c>
      <c r="O641" s="2" t="s">
        <v>22</v>
      </c>
      <c r="P641" s="4">
        <f t="shared" ca="1" si="56"/>
        <v>5</v>
      </c>
      <c r="Q641" s="4" t="str">
        <f t="shared" ca="1" si="57"/>
        <v>3-5 Years</v>
      </c>
      <c r="R641">
        <f t="shared" ca="1" si="59"/>
        <v>0</v>
      </c>
      <c r="S641" t="s">
        <v>22</v>
      </c>
      <c r="T641">
        <v>3</v>
      </c>
      <c r="U641" t="s">
        <v>1394</v>
      </c>
      <c r="V641" t="s">
        <v>1394</v>
      </c>
      <c r="W641" t="s">
        <v>1394</v>
      </c>
      <c r="X641" s="3">
        <v>1</v>
      </c>
      <c r="Y641" t="s">
        <v>1397</v>
      </c>
      <c r="Z641">
        <v>89548</v>
      </c>
      <c r="AA641">
        <v>0.15</v>
      </c>
      <c r="AB641">
        <v>102980.2</v>
      </c>
    </row>
    <row r="642" spans="1:28" x14ac:dyDescent="0.35">
      <c r="A642" t="str">
        <f t="shared" ref="A642:A705" si="60">"EMP"&amp;TEXT(ROW()-1,"0000")</f>
        <v>EMP0641</v>
      </c>
      <c r="B642" t="str" cm="1">
        <f t="array" ref="B642">_xlfn.IFS(
ROW()&lt;=421,"NA",
ROW()&lt;=781,"LATAM",
ROW()&lt;=1021,"EMEA",
TRUE,"APAC"
)</f>
        <v>LATAM</v>
      </c>
      <c r="C642" t="str">
        <f t="shared" ref="C642:C705" si="61">IF(B642="NA","USA",
IF(B642="LATAM","Mexico",
IF(B642="EMEA","Germany","Singapore")))</f>
        <v>Mexico</v>
      </c>
      <c r="D642" t="s">
        <v>26</v>
      </c>
      <c r="E642" t="s">
        <v>380</v>
      </c>
      <c r="F642" t="s">
        <v>510</v>
      </c>
      <c r="G642" t="s">
        <v>28</v>
      </c>
      <c r="H642" s="2">
        <v>44009</v>
      </c>
      <c r="I642" t="s">
        <v>29</v>
      </c>
      <c r="J642" t="s">
        <v>30</v>
      </c>
      <c r="K642" t="str">
        <f t="shared" ca="1" si="58"/>
        <v>OK</v>
      </c>
      <c r="L642" t="s">
        <v>717</v>
      </c>
      <c r="M642">
        <v>5</v>
      </c>
      <c r="N642" s="2">
        <v>46029</v>
      </c>
      <c r="O642" s="2" t="s">
        <v>22</v>
      </c>
      <c r="P642" s="4">
        <f t="shared" ref="P642:P705" ca="1" si="62">IF(H642&gt;TODAY(),
"",
IF(I642="Active",
DATEDIF(H642,TODAY(),"Y"),
DATEDIF(H642,O642,"Y")
))</f>
        <v>5</v>
      </c>
      <c r="Q642" s="4" t="str">
        <f t="shared" ref="Q642:Q705" ca="1" si="63">IF(P642&lt;=2,"0-2 Years",
IF(P642&lt;=5,"3-5 Years",
IF(P642&lt;=10,"6-10 Years","10+ Years")))</f>
        <v>3-5 Years</v>
      </c>
      <c r="R642">
        <f t="shared" ca="1" si="59"/>
        <v>0</v>
      </c>
      <c r="S642" t="s">
        <v>22</v>
      </c>
      <c r="T642">
        <v>4</v>
      </c>
      <c r="U642" t="s">
        <v>1394</v>
      </c>
      <c r="V642" t="s">
        <v>1394</v>
      </c>
      <c r="W642" t="s">
        <v>1394</v>
      </c>
      <c r="X642" s="3">
        <v>4</v>
      </c>
      <c r="Y642" t="s">
        <v>1395</v>
      </c>
      <c r="Z642">
        <v>23271</v>
      </c>
      <c r="AA642">
        <v>0.1</v>
      </c>
      <c r="AB642">
        <v>25598.100000000002</v>
      </c>
    </row>
    <row r="643" spans="1:28" x14ac:dyDescent="0.35">
      <c r="A643" t="str">
        <f t="shared" si="60"/>
        <v>EMP0642</v>
      </c>
      <c r="B643" t="str" cm="1">
        <f t="array" ref="B643">_xlfn.IFS(
ROW()&lt;=421,"NA",
ROW()&lt;=781,"LATAM",
ROW()&lt;=1021,"EMEA",
TRUE,"APAC"
)</f>
        <v>LATAM</v>
      </c>
      <c r="C643" t="str">
        <f t="shared" si="61"/>
        <v>Mexico</v>
      </c>
      <c r="D643" t="s">
        <v>35</v>
      </c>
      <c r="E643" t="s">
        <v>380</v>
      </c>
      <c r="F643" t="s">
        <v>709</v>
      </c>
      <c r="G643" t="s">
        <v>28</v>
      </c>
      <c r="H643" s="2">
        <v>44006</v>
      </c>
      <c r="I643" t="s">
        <v>57</v>
      </c>
      <c r="J643" t="s">
        <v>36</v>
      </c>
      <c r="K643" t="str">
        <f t="shared" ref="K643:K706" ca="1" si="64">IF(
OR(
H643="",
I643="",
AND(I643="Inactive",O643=""),
H643&gt;TODAY(),
Z643="",
F643="",
D643="",
X643&lt;1
),
"⚠ Review",
"OK"
)</f>
        <v>OK</v>
      </c>
      <c r="L643" t="s">
        <v>727</v>
      </c>
      <c r="M643">
        <v>5</v>
      </c>
      <c r="N643" s="2">
        <v>46069</v>
      </c>
      <c r="O643" s="2">
        <v>44560</v>
      </c>
      <c r="P643" s="4">
        <f t="shared" ca="1" si="62"/>
        <v>1</v>
      </c>
      <c r="Q643" s="4" t="str">
        <f t="shared" ca="1" si="63"/>
        <v>0-2 Years</v>
      </c>
      <c r="R643">
        <f t="shared" ref="R643:R706" ca="1" si="65">IF(P643&lt;=2,1,0)</f>
        <v>1</v>
      </c>
      <c r="S643" t="s">
        <v>24</v>
      </c>
      <c r="T643">
        <v>3</v>
      </c>
      <c r="U643" t="s">
        <v>1394</v>
      </c>
      <c r="V643" t="s">
        <v>1394</v>
      </c>
      <c r="W643" t="s">
        <v>1394</v>
      </c>
      <c r="X643" s="3">
        <v>2</v>
      </c>
      <c r="Y643" t="s">
        <v>1397</v>
      </c>
      <c r="Z643">
        <v>46186</v>
      </c>
      <c r="AA643">
        <v>0.1</v>
      </c>
      <c r="AB643">
        <v>50804.600000000006</v>
      </c>
    </row>
    <row r="644" spans="1:28" x14ac:dyDescent="0.35">
      <c r="A644" t="str">
        <f t="shared" si="60"/>
        <v>EMP0643</v>
      </c>
      <c r="B644" t="str" cm="1">
        <f t="array" ref="B644">_xlfn.IFS(
ROW()&lt;=421,"NA",
ROW()&lt;=781,"LATAM",
ROW()&lt;=1021,"EMEA",
TRUE,"APAC"
)</f>
        <v>LATAM</v>
      </c>
      <c r="C644" t="str">
        <f t="shared" si="61"/>
        <v>Mexico</v>
      </c>
      <c r="D644" t="s">
        <v>35</v>
      </c>
      <c r="E644" t="s">
        <v>380</v>
      </c>
      <c r="F644" t="s">
        <v>387</v>
      </c>
      <c r="G644" t="s">
        <v>28</v>
      </c>
      <c r="H644" s="2">
        <v>44004</v>
      </c>
      <c r="I644" t="s">
        <v>29</v>
      </c>
      <c r="J644" t="s">
        <v>36</v>
      </c>
      <c r="K644" t="str">
        <f t="shared" ca="1" si="64"/>
        <v>OK</v>
      </c>
      <c r="L644" t="s">
        <v>1146</v>
      </c>
      <c r="M644">
        <v>5</v>
      </c>
      <c r="N644" s="2">
        <v>45993</v>
      </c>
      <c r="O644" s="2" t="s">
        <v>22</v>
      </c>
      <c r="P644" s="4">
        <f t="shared" ca="1" si="62"/>
        <v>5</v>
      </c>
      <c r="Q644" s="4" t="str">
        <f t="shared" ca="1" si="63"/>
        <v>3-5 Years</v>
      </c>
      <c r="R644">
        <f t="shared" ca="1" si="65"/>
        <v>0</v>
      </c>
      <c r="S644" t="s">
        <v>22</v>
      </c>
      <c r="T644">
        <v>5</v>
      </c>
      <c r="U644" t="s">
        <v>1394</v>
      </c>
      <c r="V644" t="s">
        <v>1396</v>
      </c>
      <c r="W644" t="s">
        <v>1396</v>
      </c>
      <c r="X644" s="3">
        <v>5</v>
      </c>
      <c r="Y644" t="s">
        <v>1395</v>
      </c>
      <c r="Z644">
        <v>45231</v>
      </c>
      <c r="AA644">
        <v>0.1</v>
      </c>
      <c r="AB644">
        <v>49754.100000000006</v>
      </c>
    </row>
    <row r="645" spans="1:28" x14ac:dyDescent="0.35">
      <c r="A645" t="str">
        <f t="shared" si="60"/>
        <v>EMP0644</v>
      </c>
      <c r="B645" t="str" cm="1">
        <f t="array" ref="B645">_xlfn.IFS(
ROW()&lt;=421,"NA",
ROW()&lt;=781,"LATAM",
ROW()&lt;=1021,"EMEA",
TRUE,"APAC"
)</f>
        <v>LATAM</v>
      </c>
      <c r="C645" t="str">
        <f t="shared" si="61"/>
        <v>Mexico</v>
      </c>
      <c r="D645" t="s">
        <v>32</v>
      </c>
      <c r="E645" t="s">
        <v>380</v>
      </c>
      <c r="F645" t="s">
        <v>987</v>
      </c>
      <c r="G645" t="s">
        <v>28</v>
      </c>
      <c r="H645" s="2">
        <v>44001</v>
      </c>
      <c r="I645" t="s">
        <v>29</v>
      </c>
      <c r="J645" t="s">
        <v>33</v>
      </c>
      <c r="K645" t="str">
        <f t="shared" ca="1" si="64"/>
        <v>OK</v>
      </c>
      <c r="L645" t="s">
        <v>379</v>
      </c>
      <c r="M645">
        <v>5</v>
      </c>
      <c r="N645" s="2">
        <v>46048</v>
      </c>
      <c r="O645" s="2" t="s">
        <v>22</v>
      </c>
      <c r="P645" s="4">
        <f t="shared" ca="1" si="62"/>
        <v>5</v>
      </c>
      <c r="Q645" s="4" t="str">
        <f t="shared" ca="1" si="63"/>
        <v>3-5 Years</v>
      </c>
      <c r="R645">
        <f t="shared" ca="1" si="65"/>
        <v>0</v>
      </c>
      <c r="S645" t="s">
        <v>22</v>
      </c>
      <c r="T645">
        <v>3</v>
      </c>
      <c r="U645" t="s">
        <v>1394</v>
      </c>
      <c r="V645" t="s">
        <v>1394</v>
      </c>
      <c r="W645" t="s">
        <v>1394</v>
      </c>
      <c r="X645" s="3">
        <v>4</v>
      </c>
      <c r="Y645" t="s">
        <v>1395</v>
      </c>
      <c r="Z645">
        <v>24259</v>
      </c>
      <c r="AA645">
        <v>0.1</v>
      </c>
      <c r="AB645">
        <v>26684.9</v>
      </c>
    </row>
    <row r="646" spans="1:28" x14ac:dyDescent="0.35">
      <c r="A646" t="str">
        <f t="shared" si="60"/>
        <v>EMP0645</v>
      </c>
      <c r="B646" t="str" cm="1">
        <f t="array" ref="B646">_xlfn.IFS(
ROW()&lt;=421,"NA",
ROW()&lt;=781,"LATAM",
ROW()&lt;=1021,"EMEA",
TRUE,"APAC"
)</f>
        <v>LATAM</v>
      </c>
      <c r="C646" t="str">
        <f t="shared" si="61"/>
        <v>Mexico</v>
      </c>
      <c r="D646" t="s">
        <v>44</v>
      </c>
      <c r="E646" t="s">
        <v>380</v>
      </c>
      <c r="F646" t="s">
        <v>410</v>
      </c>
      <c r="G646" t="s">
        <v>28</v>
      </c>
      <c r="H646" s="2">
        <v>44000</v>
      </c>
      <c r="I646" t="s">
        <v>29</v>
      </c>
      <c r="J646" t="s">
        <v>47</v>
      </c>
      <c r="K646" t="str">
        <f t="shared" ca="1" si="64"/>
        <v>OK</v>
      </c>
      <c r="L646" t="s">
        <v>411</v>
      </c>
      <c r="M646">
        <v>5</v>
      </c>
      <c r="N646" s="2">
        <v>46058</v>
      </c>
      <c r="O646" s="2" t="s">
        <v>22</v>
      </c>
      <c r="P646" s="4">
        <f t="shared" ca="1" si="62"/>
        <v>5</v>
      </c>
      <c r="Q646" s="4" t="str">
        <f t="shared" ca="1" si="63"/>
        <v>3-5 Years</v>
      </c>
      <c r="R646">
        <f t="shared" ca="1" si="65"/>
        <v>0</v>
      </c>
      <c r="S646" t="s">
        <v>22</v>
      </c>
      <c r="T646">
        <v>2</v>
      </c>
      <c r="U646" t="s">
        <v>1396</v>
      </c>
      <c r="V646" t="s">
        <v>1394</v>
      </c>
      <c r="W646" t="s">
        <v>1394</v>
      </c>
      <c r="X646" s="3">
        <v>5</v>
      </c>
      <c r="Y646" t="s">
        <v>1395</v>
      </c>
      <c r="Z646">
        <v>25779</v>
      </c>
      <c r="AA646">
        <v>0.1</v>
      </c>
      <c r="AB646">
        <v>28356.9</v>
      </c>
    </row>
    <row r="647" spans="1:28" x14ac:dyDescent="0.35">
      <c r="A647" t="str">
        <f t="shared" si="60"/>
        <v>EMP0646</v>
      </c>
      <c r="B647" t="str" cm="1">
        <f t="array" ref="B647">_xlfn.IFS(
ROW()&lt;=421,"NA",
ROW()&lt;=781,"LATAM",
ROW()&lt;=1021,"EMEA",
TRUE,"APAC"
)</f>
        <v>LATAM</v>
      </c>
      <c r="C647" t="str">
        <f t="shared" si="61"/>
        <v>Mexico</v>
      </c>
      <c r="D647" t="s">
        <v>32</v>
      </c>
      <c r="E647" t="s">
        <v>380</v>
      </c>
      <c r="F647" t="s">
        <v>471</v>
      </c>
      <c r="G647" t="s">
        <v>28</v>
      </c>
      <c r="H647" s="2">
        <v>44000</v>
      </c>
      <c r="I647" t="s">
        <v>29</v>
      </c>
      <c r="J647" t="s">
        <v>33</v>
      </c>
      <c r="K647" t="str">
        <f t="shared" ca="1" si="64"/>
        <v>OK</v>
      </c>
      <c r="L647" t="s">
        <v>1132</v>
      </c>
      <c r="M647">
        <v>5</v>
      </c>
      <c r="N647" s="2">
        <v>46034</v>
      </c>
      <c r="O647" s="2" t="s">
        <v>22</v>
      </c>
      <c r="P647" s="4">
        <f t="shared" ca="1" si="62"/>
        <v>5</v>
      </c>
      <c r="Q647" s="4" t="str">
        <f t="shared" ca="1" si="63"/>
        <v>3-5 Years</v>
      </c>
      <c r="R647">
        <f t="shared" ca="1" si="65"/>
        <v>0</v>
      </c>
      <c r="S647" t="s">
        <v>22</v>
      </c>
      <c r="T647">
        <v>4</v>
      </c>
      <c r="U647" t="s">
        <v>1396</v>
      </c>
      <c r="V647" t="s">
        <v>1394</v>
      </c>
      <c r="W647" t="s">
        <v>1394</v>
      </c>
      <c r="X647" s="3">
        <v>1</v>
      </c>
      <c r="Y647" t="s">
        <v>1397</v>
      </c>
      <c r="Z647">
        <v>42431</v>
      </c>
      <c r="AA647">
        <v>0.1</v>
      </c>
      <c r="AB647">
        <v>46674.100000000006</v>
      </c>
    </row>
    <row r="648" spans="1:28" x14ac:dyDescent="0.35">
      <c r="A648" t="str">
        <f t="shared" si="60"/>
        <v>EMP0647</v>
      </c>
      <c r="B648" t="str" cm="1">
        <f t="array" ref="B648">_xlfn.IFS(
ROW()&lt;=421,"NA",
ROW()&lt;=781,"LATAM",
ROW()&lt;=1021,"EMEA",
TRUE,"APAC"
)</f>
        <v>LATAM</v>
      </c>
      <c r="C648" t="str">
        <f t="shared" si="61"/>
        <v>Mexico</v>
      </c>
      <c r="D648" t="s">
        <v>44</v>
      </c>
      <c r="E648" t="s">
        <v>145</v>
      </c>
      <c r="F648" t="s">
        <v>181</v>
      </c>
      <c r="G648" t="s">
        <v>28</v>
      </c>
      <c r="H648" s="2">
        <v>43998</v>
      </c>
      <c r="I648" t="s">
        <v>57</v>
      </c>
      <c r="J648" t="s">
        <v>47</v>
      </c>
      <c r="K648" t="str">
        <f t="shared" ca="1" si="64"/>
        <v>OK</v>
      </c>
      <c r="L648" t="s">
        <v>222</v>
      </c>
      <c r="M648">
        <v>4</v>
      </c>
      <c r="N648" s="2">
        <v>46078</v>
      </c>
      <c r="O648" s="2">
        <v>44431</v>
      </c>
      <c r="P648" s="4">
        <f t="shared" ca="1" si="62"/>
        <v>1</v>
      </c>
      <c r="Q648" s="4" t="str">
        <f t="shared" ca="1" si="63"/>
        <v>0-2 Years</v>
      </c>
      <c r="R648">
        <f t="shared" ca="1" si="65"/>
        <v>1</v>
      </c>
      <c r="S648" t="s">
        <v>23</v>
      </c>
      <c r="T648">
        <v>3</v>
      </c>
      <c r="U648" t="s">
        <v>1394</v>
      </c>
      <c r="V648" t="s">
        <v>1394</v>
      </c>
      <c r="W648" t="s">
        <v>1394</v>
      </c>
      <c r="X648" s="3">
        <v>1</v>
      </c>
      <c r="Y648" t="s">
        <v>1397</v>
      </c>
      <c r="Z648">
        <v>74195</v>
      </c>
      <c r="AA648">
        <v>0.15</v>
      </c>
      <c r="AB648">
        <v>85324.25</v>
      </c>
    </row>
    <row r="649" spans="1:28" x14ac:dyDescent="0.35">
      <c r="A649" t="str">
        <f t="shared" si="60"/>
        <v>EMP0648</v>
      </c>
      <c r="B649" t="str" cm="1">
        <f t="array" ref="B649">_xlfn.IFS(
ROW()&lt;=421,"NA",
ROW()&lt;=781,"LATAM",
ROW()&lt;=1021,"EMEA",
TRUE,"APAC"
)</f>
        <v>LATAM</v>
      </c>
      <c r="C649" t="str">
        <f t="shared" si="61"/>
        <v>Mexico</v>
      </c>
      <c r="D649" t="s">
        <v>41</v>
      </c>
      <c r="E649" t="s">
        <v>145</v>
      </c>
      <c r="F649" t="s">
        <v>332</v>
      </c>
      <c r="G649" t="s">
        <v>28</v>
      </c>
      <c r="H649" s="2">
        <v>43998</v>
      </c>
      <c r="I649" t="s">
        <v>29</v>
      </c>
      <c r="J649" t="s">
        <v>42</v>
      </c>
      <c r="K649" t="str">
        <f t="shared" ca="1" si="64"/>
        <v>OK</v>
      </c>
      <c r="L649" t="s">
        <v>333</v>
      </c>
      <c r="M649">
        <v>4</v>
      </c>
      <c r="N649" s="2">
        <v>46051</v>
      </c>
      <c r="O649" s="2" t="s">
        <v>22</v>
      </c>
      <c r="P649" s="4">
        <f t="shared" ca="1" si="62"/>
        <v>5</v>
      </c>
      <c r="Q649" s="4" t="str">
        <f t="shared" ca="1" si="63"/>
        <v>3-5 Years</v>
      </c>
      <c r="R649">
        <f t="shared" ca="1" si="65"/>
        <v>0</v>
      </c>
      <c r="S649" t="s">
        <v>22</v>
      </c>
      <c r="T649">
        <v>2</v>
      </c>
      <c r="U649" t="s">
        <v>1396</v>
      </c>
      <c r="V649" t="s">
        <v>1396</v>
      </c>
      <c r="W649" t="s">
        <v>1394</v>
      </c>
      <c r="X649" s="3">
        <v>5</v>
      </c>
      <c r="Y649" t="s">
        <v>1395</v>
      </c>
      <c r="Z649">
        <v>62337</v>
      </c>
      <c r="AA649">
        <v>0.15</v>
      </c>
      <c r="AB649">
        <v>71687.549999999988</v>
      </c>
    </row>
    <row r="650" spans="1:28" x14ac:dyDescent="0.35">
      <c r="A650" t="str">
        <f t="shared" si="60"/>
        <v>EMP0649</v>
      </c>
      <c r="B650" t="str" cm="1">
        <f t="array" ref="B650">_xlfn.IFS(
ROW()&lt;=421,"NA",
ROW()&lt;=781,"LATAM",
ROW()&lt;=1021,"EMEA",
TRUE,"APAC"
)</f>
        <v>LATAM</v>
      </c>
      <c r="C650" t="str">
        <f t="shared" si="61"/>
        <v>Mexico</v>
      </c>
      <c r="D650" t="s">
        <v>41</v>
      </c>
      <c r="E650" t="s">
        <v>380</v>
      </c>
      <c r="F650" t="s">
        <v>490</v>
      </c>
      <c r="G650" t="s">
        <v>53</v>
      </c>
      <c r="H650" s="2">
        <v>43997</v>
      </c>
      <c r="I650" t="s">
        <v>29</v>
      </c>
      <c r="J650" t="s">
        <v>42</v>
      </c>
      <c r="K650" t="str">
        <f t="shared" ca="1" si="64"/>
        <v>OK</v>
      </c>
      <c r="L650" t="s">
        <v>1076</v>
      </c>
      <c r="M650">
        <v>5</v>
      </c>
      <c r="N650" s="2">
        <v>46041</v>
      </c>
      <c r="O650" s="2" t="s">
        <v>22</v>
      </c>
      <c r="P650" s="4">
        <f t="shared" ca="1" si="62"/>
        <v>5</v>
      </c>
      <c r="Q650" s="4" t="str">
        <f t="shared" ca="1" si="63"/>
        <v>3-5 Years</v>
      </c>
      <c r="R650">
        <f t="shared" ca="1" si="65"/>
        <v>0</v>
      </c>
      <c r="S650" t="s">
        <v>22</v>
      </c>
      <c r="T650">
        <v>3</v>
      </c>
      <c r="U650" t="s">
        <v>1394</v>
      </c>
      <c r="V650" t="s">
        <v>1394</v>
      </c>
      <c r="W650" t="s">
        <v>1394</v>
      </c>
      <c r="X650" s="3">
        <v>2</v>
      </c>
      <c r="Y650" t="s">
        <v>1397</v>
      </c>
      <c r="Z650">
        <v>32738</v>
      </c>
      <c r="AA650">
        <v>0.1</v>
      </c>
      <c r="AB650">
        <v>36011.800000000003</v>
      </c>
    </row>
    <row r="651" spans="1:28" x14ac:dyDescent="0.35">
      <c r="A651" t="str">
        <f t="shared" si="60"/>
        <v>EMP0650</v>
      </c>
      <c r="B651" t="str" cm="1">
        <f t="array" ref="B651">_xlfn.IFS(
ROW()&lt;=421,"NA",
ROW()&lt;=781,"LATAM",
ROW()&lt;=1021,"EMEA",
TRUE,"APAC"
)</f>
        <v>LATAM</v>
      </c>
      <c r="C651" t="str">
        <f t="shared" si="61"/>
        <v>Mexico</v>
      </c>
      <c r="D651" t="s">
        <v>44</v>
      </c>
      <c r="E651" t="s">
        <v>380</v>
      </c>
      <c r="F651" t="s">
        <v>589</v>
      </c>
      <c r="G651" t="s">
        <v>28</v>
      </c>
      <c r="H651" s="2">
        <v>43992</v>
      </c>
      <c r="I651" t="s">
        <v>57</v>
      </c>
      <c r="J651" t="s">
        <v>47</v>
      </c>
      <c r="K651" t="str">
        <f t="shared" ca="1" si="64"/>
        <v>OK</v>
      </c>
      <c r="L651" t="s">
        <v>1378</v>
      </c>
      <c r="M651">
        <v>5</v>
      </c>
      <c r="N651" s="2">
        <v>45999</v>
      </c>
      <c r="O651" s="2">
        <v>46045</v>
      </c>
      <c r="P651" s="4">
        <f t="shared" ca="1" si="62"/>
        <v>5</v>
      </c>
      <c r="Q651" s="4" t="str">
        <f t="shared" ca="1" si="63"/>
        <v>3-5 Years</v>
      </c>
      <c r="R651">
        <f t="shared" ca="1" si="65"/>
        <v>0</v>
      </c>
      <c r="S651" t="s">
        <v>23</v>
      </c>
      <c r="T651">
        <v>3</v>
      </c>
      <c r="U651" t="s">
        <v>1394</v>
      </c>
      <c r="V651" t="s">
        <v>1394</v>
      </c>
      <c r="W651" t="s">
        <v>1394</v>
      </c>
      <c r="X651" s="3">
        <v>4</v>
      </c>
      <c r="Y651" t="s">
        <v>1395</v>
      </c>
      <c r="Z651">
        <v>23284</v>
      </c>
      <c r="AA651">
        <v>0.1</v>
      </c>
      <c r="AB651">
        <v>25612.400000000001</v>
      </c>
    </row>
    <row r="652" spans="1:28" x14ac:dyDescent="0.35">
      <c r="A652" t="str">
        <f t="shared" si="60"/>
        <v>EMP0651</v>
      </c>
      <c r="B652" t="str" cm="1">
        <f t="array" ref="B652">_xlfn.IFS(
ROW()&lt;=421,"NA",
ROW()&lt;=781,"LATAM",
ROW()&lt;=1021,"EMEA",
TRUE,"APAC"
)</f>
        <v>LATAM</v>
      </c>
      <c r="C652" t="str">
        <f t="shared" si="61"/>
        <v>Mexico</v>
      </c>
      <c r="D652" t="s">
        <v>38</v>
      </c>
      <c r="E652" t="s">
        <v>380</v>
      </c>
      <c r="F652" t="s">
        <v>431</v>
      </c>
      <c r="G652" t="s">
        <v>53</v>
      </c>
      <c r="H652" s="2">
        <v>43991</v>
      </c>
      <c r="I652" t="s">
        <v>29</v>
      </c>
      <c r="J652" t="s">
        <v>39</v>
      </c>
      <c r="K652" t="str">
        <f t="shared" ca="1" si="64"/>
        <v>OK</v>
      </c>
      <c r="L652" t="s">
        <v>1097</v>
      </c>
      <c r="M652">
        <v>5</v>
      </c>
      <c r="N652" s="2">
        <v>46049</v>
      </c>
      <c r="O652" s="2" t="s">
        <v>22</v>
      </c>
      <c r="P652" s="4">
        <f t="shared" ca="1" si="62"/>
        <v>5</v>
      </c>
      <c r="Q652" s="4" t="str">
        <f t="shared" ca="1" si="63"/>
        <v>3-5 Years</v>
      </c>
      <c r="R652">
        <f t="shared" ca="1" si="65"/>
        <v>0</v>
      </c>
      <c r="S652" t="s">
        <v>22</v>
      </c>
      <c r="T652">
        <v>2</v>
      </c>
      <c r="U652" t="s">
        <v>1394</v>
      </c>
      <c r="V652" t="s">
        <v>1394</v>
      </c>
      <c r="W652" t="s">
        <v>1394</v>
      </c>
      <c r="X652" s="3">
        <v>5</v>
      </c>
      <c r="Y652" t="s">
        <v>1395</v>
      </c>
      <c r="Z652">
        <v>31280</v>
      </c>
      <c r="AA652">
        <v>0.1</v>
      </c>
      <c r="AB652">
        <v>34408</v>
      </c>
    </row>
    <row r="653" spans="1:28" x14ac:dyDescent="0.35">
      <c r="A653" t="str">
        <f t="shared" si="60"/>
        <v>EMP0652</v>
      </c>
      <c r="B653" t="str" cm="1">
        <f t="array" ref="B653">_xlfn.IFS(
ROW()&lt;=421,"NA",
ROW()&lt;=781,"LATAM",
ROW()&lt;=1021,"EMEA",
TRUE,"APAC"
)</f>
        <v>LATAM</v>
      </c>
      <c r="C653" t="str">
        <f t="shared" si="61"/>
        <v>Mexico</v>
      </c>
      <c r="D653" t="s">
        <v>35</v>
      </c>
      <c r="E653" t="s">
        <v>380</v>
      </c>
      <c r="F653" t="s">
        <v>505</v>
      </c>
      <c r="G653" t="s">
        <v>28</v>
      </c>
      <c r="H653" s="2">
        <v>43991</v>
      </c>
      <c r="I653" t="s">
        <v>57</v>
      </c>
      <c r="J653" t="s">
        <v>36</v>
      </c>
      <c r="K653" t="str">
        <f t="shared" ca="1" si="64"/>
        <v>OK</v>
      </c>
      <c r="L653" t="s">
        <v>1140</v>
      </c>
      <c r="M653">
        <v>5</v>
      </c>
      <c r="N653" s="2">
        <v>46001</v>
      </c>
      <c r="O653" s="2">
        <v>46071</v>
      </c>
      <c r="P653" s="4">
        <f t="shared" ca="1" si="62"/>
        <v>5</v>
      </c>
      <c r="Q653" s="4" t="str">
        <f t="shared" ca="1" si="63"/>
        <v>3-5 Years</v>
      </c>
      <c r="R653">
        <f t="shared" ca="1" si="65"/>
        <v>0</v>
      </c>
      <c r="S653" t="s">
        <v>23</v>
      </c>
      <c r="T653">
        <v>4</v>
      </c>
      <c r="U653" t="s">
        <v>1394</v>
      </c>
      <c r="V653" t="s">
        <v>1394</v>
      </c>
      <c r="W653" t="s">
        <v>1394</v>
      </c>
      <c r="X653" s="3">
        <v>5</v>
      </c>
      <c r="Y653" t="s">
        <v>1395</v>
      </c>
      <c r="Z653">
        <v>25930</v>
      </c>
      <c r="AA653">
        <v>0.1</v>
      </c>
      <c r="AB653">
        <v>28523.000000000004</v>
      </c>
    </row>
    <row r="654" spans="1:28" x14ac:dyDescent="0.35">
      <c r="A654" t="str">
        <f t="shared" si="60"/>
        <v>EMP0653</v>
      </c>
      <c r="B654" t="str" cm="1">
        <f t="array" ref="B654">_xlfn.IFS(
ROW()&lt;=421,"NA",
ROW()&lt;=781,"LATAM",
ROW()&lt;=1021,"EMEA",
TRUE,"APAC"
)</f>
        <v>LATAM</v>
      </c>
      <c r="C654" t="str">
        <f t="shared" si="61"/>
        <v>Mexico</v>
      </c>
      <c r="D654" t="s">
        <v>32</v>
      </c>
      <c r="E654" t="s">
        <v>380</v>
      </c>
      <c r="F654" t="s">
        <v>399</v>
      </c>
      <c r="G654" t="s">
        <v>28</v>
      </c>
      <c r="H654" s="2">
        <v>43990</v>
      </c>
      <c r="I654" t="s">
        <v>29</v>
      </c>
      <c r="J654" t="s">
        <v>33</v>
      </c>
      <c r="K654" t="str">
        <f t="shared" ca="1" si="64"/>
        <v>OK</v>
      </c>
      <c r="L654" t="s">
        <v>526</v>
      </c>
      <c r="M654">
        <v>5</v>
      </c>
      <c r="N654" s="2">
        <v>46069</v>
      </c>
      <c r="O654" s="2" t="s">
        <v>22</v>
      </c>
      <c r="P654" s="4">
        <f t="shared" ca="1" si="62"/>
        <v>5</v>
      </c>
      <c r="Q654" s="4" t="str">
        <f t="shared" ca="1" si="63"/>
        <v>3-5 Years</v>
      </c>
      <c r="R654">
        <f t="shared" ca="1" si="65"/>
        <v>0</v>
      </c>
      <c r="S654" t="s">
        <v>22</v>
      </c>
      <c r="T654">
        <v>3</v>
      </c>
      <c r="U654" t="s">
        <v>1394</v>
      </c>
      <c r="V654" t="s">
        <v>1396</v>
      </c>
      <c r="W654" t="s">
        <v>1396</v>
      </c>
      <c r="X654" s="3">
        <v>1</v>
      </c>
      <c r="Y654" t="s">
        <v>1397</v>
      </c>
      <c r="Z654">
        <v>33559</v>
      </c>
      <c r="AA654">
        <v>0.1</v>
      </c>
      <c r="AB654">
        <v>36914.9</v>
      </c>
    </row>
    <row r="655" spans="1:28" x14ac:dyDescent="0.35">
      <c r="A655" t="str">
        <f t="shared" si="60"/>
        <v>EMP0654</v>
      </c>
      <c r="B655" t="str" cm="1">
        <f t="array" ref="B655">_xlfn.IFS(
ROW()&lt;=421,"NA",
ROW()&lt;=781,"LATAM",
ROW()&lt;=1021,"EMEA",
TRUE,"APAC"
)</f>
        <v>LATAM</v>
      </c>
      <c r="C655" t="str">
        <f t="shared" si="61"/>
        <v>Mexico</v>
      </c>
      <c r="D655" t="s">
        <v>41</v>
      </c>
      <c r="E655" t="s">
        <v>380</v>
      </c>
      <c r="F655" t="s">
        <v>807</v>
      </c>
      <c r="G655" t="s">
        <v>28</v>
      </c>
      <c r="H655" s="2">
        <v>43987</v>
      </c>
      <c r="I655" t="s">
        <v>29</v>
      </c>
      <c r="J655" t="s">
        <v>42</v>
      </c>
      <c r="K655" t="str">
        <f t="shared" ca="1" si="64"/>
        <v>OK</v>
      </c>
      <c r="L655" t="s">
        <v>1170</v>
      </c>
      <c r="M655">
        <v>5</v>
      </c>
      <c r="N655" s="2">
        <v>46075</v>
      </c>
      <c r="O655" s="2" t="s">
        <v>22</v>
      </c>
      <c r="P655" s="4">
        <f t="shared" ca="1" si="62"/>
        <v>5</v>
      </c>
      <c r="Q655" s="4" t="str">
        <f t="shared" ca="1" si="63"/>
        <v>3-5 Years</v>
      </c>
      <c r="R655">
        <f t="shared" ca="1" si="65"/>
        <v>0</v>
      </c>
      <c r="S655" t="s">
        <v>22</v>
      </c>
      <c r="T655">
        <v>4</v>
      </c>
      <c r="U655" t="s">
        <v>1394</v>
      </c>
      <c r="V655" t="s">
        <v>1394</v>
      </c>
      <c r="W655" t="s">
        <v>1394</v>
      </c>
      <c r="X655" s="3">
        <v>2</v>
      </c>
      <c r="Y655" t="s">
        <v>1397</v>
      </c>
      <c r="Z655">
        <v>35981</v>
      </c>
      <c r="AA655">
        <v>0.1</v>
      </c>
      <c r="AB655">
        <v>39579.100000000006</v>
      </c>
    </row>
    <row r="656" spans="1:28" x14ac:dyDescent="0.35">
      <c r="A656" t="str">
        <f t="shared" si="60"/>
        <v>EMP0655</v>
      </c>
      <c r="B656" t="str" cm="1">
        <f t="array" ref="B656">_xlfn.IFS(
ROW()&lt;=421,"NA",
ROW()&lt;=781,"LATAM",
ROW()&lt;=1021,"EMEA",
TRUE,"APAC"
)</f>
        <v>LATAM</v>
      </c>
      <c r="C656" t="str">
        <f t="shared" si="61"/>
        <v>Mexico</v>
      </c>
      <c r="D656" t="s">
        <v>32</v>
      </c>
      <c r="E656" t="s">
        <v>380</v>
      </c>
      <c r="F656" t="s">
        <v>917</v>
      </c>
      <c r="G656" t="s">
        <v>28</v>
      </c>
      <c r="H656" s="2">
        <v>43979</v>
      </c>
      <c r="I656" t="s">
        <v>29</v>
      </c>
      <c r="J656" t="s">
        <v>33</v>
      </c>
      <c r="K656" t="str">
        <f t="shared" ca="1" si="64"/>
        <v>OK</v>
      </c>
      <c r="L656" t="s">
        <v>918</v>
      </c>
      <c r="M656">
        <v>5</v>
      </c>
      <c r="N656" s="2">
        <v>46003</v>
      </c>
      <c r="O656" s="2" t="s">
        <v>22</v>
      </c>
      <c r="P656" s="4">
        <f t="shared" ca="1" si="62"/>
        <v>5</v>
      </c>
      <c r="Q656" s="4" t="str">
        <f t="shared" ca="1" si="63"/>
        <v>3-5 Years</v>
      </c>
      <c r="R656">
        <f t="shared" ca="1" si="65"/>
        <v>0</v>
      </c>
      <c r="S656" t="s">
        <v>22</v>
      </c>
      <c r="T656">
        <v>3</v>
      </c>
      <c r="U656" t="s">
        <v>1394</v>
      </c>
      <c r="V656" t="s">
        <v>1394</v>
      </c>
      <c r="W656" t="s">
        <v>1394</v>
      </c>
      <c r="X656" s="3">
        <v>2</v>
      </c>
      <c r="Y656" t="s">
        <v>1397</v>
      </c>
      <c r="Z656">
        <v>37175</v>
      </c>
      <c r="AA656">
        <v>0.1</v>
      </c>
      <c r="AB656">
        <v>40892.5</v>
      </c>
    </row>
    <row r="657" spans="1:28" x14ac:dyDescent="0.35">
      <c r="A657" t="str">
        <f t="shared" si="60"/>
        <v>EMP0656</v>
      </c>
      <c r="B657" t="str" cm="1">
        <f t="array" ref="B657">_xlfn.IFS(
ROW()&lt;=421,"NA",
ROW()&lt;=781,"LATAM",
ROW()&lt;=1021,"EMEA",
TRUE,"APAC"
)</f>
        <v>LATAM</v>
      </c>
      <c r="C657" t="str">
        <f t="shared" si="61"/>
        <v>Mexico</v>
      </c>
      <c r="D657" t="s">
        <v>26</v>
      </c>
      <c r="E657" t="s">
        <v>145</v>
      </c>
      <c r="F657" t="s">
        <v>261</v>
      </c>
      <c r="G657" t="s">
        <v>28</v>
      </c>
      <c r="H657" s="2">
        <v>43976</v>
      </c>
      <c r="I657" t="s">
        <v>29</v>
      </c>
      <c r="J657" t="s">
        <v>30</v>
      </c>
      <c r="K657" t="str">
        <f t="shared" ca="1" si="64"/>
        <v>OK</v>
      </c>
      <c r="L657" t="s">
        <v>262</v>
      </c>
      <c r="M657">
        <v>4</v>
      </c>
      <c r="N657" s="2">
        <v>46038</v>
      </c>
      <c r="O657" s="2" t="s">
        <v>22</v>
      </c>
      <c r="P657" s="4">
        <f t="shared" ca="1" si="62"/>
        <v>5</v>
      </c>
      <c r="Q657" s="4" t="str">
        <f t="shared" ca="1" si="63"/>
        <v>3-5 Years</v>
      </c>
      <c r="R657">
        <f t="shared" ca="1" si="65"/>
        <v>0</v>
      </c>
      <c r="S657" t="s">
        <v>22</v>
      </c>
      <c r="T657">
        <v>3</v>
      </c>
      <c r="U657" t="s">
        <v>1394</v>
      </c>
      <c r="V657" t="s">
        <v>1394</v>
      </c>
      <c r="W657" t="s">
        <v>1394</v>
      </c>
      <c r="X657" s="3">
        <v>1</v>
      </c>
      <c r="Y657" t="s">
        <v>1397</v>
      </c>
      <c r="Z657">
        <v>61829</v>
      </c>
      <c r="AA657">
        <v>0.15</v>
      </c>
      <c r="AB657">
        <v>71103.349999999991</v>
      </c>
    </row>
    <row r="658" spans="1:28" x14ac:dyDescent="0.35">
      <c r="A658" t="str">
        <f t="shared" si="60"/>
        <v>EMP0657</v>
      </c>
      <c r="B658" t="str" cm="1">
        <f t="array" ref="B658">_xlfn.IFS(
ROW()&lt;=421,"NA",
ROW()&lt;=781,"LATAM",
ROW()&lt;=1021,"EMEA",
TRUE,"APAC"
)</f>
        <v>LATAM</v>
      </c>
      <c r="C658" t="str">
        <f t="shared" si="61"/>
        <v>Mexico</v>
      </c>
      <c r="D658" t="s">
        <v>26</v>
      </c>
      <c r="E658" t="s">
        <v>380</v>
      </c>
      <c r="F658" t="s">
        <v>564</v>
      </c>
      <c r="G658" t="s">
        <v>28</v>
      </c>
      <c r="H658" s="2">
        <v>43974</v>
      </c>
      <c r="I658" t="s">
        <v>29</v>
      </c>
      <c r="J658" t="s">
        <v>30</v>
      </c>
      <c r="K658" t="str">
        <f t="shared" ca="1" si="64"/>
        <v>OK</v>
      </c>
      <c r="L658" t="s">
        <v>607</v>
      </c>
      <c r="M658">
        <v>5</v>
      </c>
      <c r="N658" s="2">
        <v>46000</v>
      </c>
      <c r="O658" s="2" t="s">
        <v>22</v>
      </c>
      <c r="P658" s="4">
        <f t="shared" ca="1" si="62"/>
        <v>5</v>
      </c>
      <c r="Q658" s="4" t="str">
        <f t="shared" ca="1" si="63"/>
        <v>3-5 Years</v>
      </c>
      <c r="R658">
        <f t="shared" ca="1" si="65"/>
        <v>0</v>
      </c>
      <c r="S658" t="s">
        <v>22</v>
      </c>
      <c r="T658">
        <v>3</v>
      </c>
      <c r="U658" t="s">
        <v>1394</v>
      </c>
      <c r="V658" t="s">
        <v>1394</v>
      </c>
      <c r="W658" t="s">
        <v>1394</v>
      </c>
      <c r="X658" s="3">
        <v>2</v>
      </c>
      <c r="Y658" t="s">
        <v>1397</v>
      </c>
      <c r="Z658">
        <v>34975</v>
      </c>
      <c r="AA658">
        <v>0.1</v>
      </c>
      <c r="AB658">
        <v>38472.5</v>
      </c>
    </row>
    <row r="659" spans="1:28" x14ac:dyDescent="0.35">
      <c r="A659" t="str">
        <f t="shared" si="60"/>
        <v>EMP0658</v>
      </c>
      <c r="B659" t="str" cm="1">
        <f t="array" ref="B659">_xlfn.IFS(
ROW()&lt;=421,"NA",
ROW()&lt;=781,"LATAM",
ROW()&lt;=1021,"EMEA",
TRUE,"APAC"
)</f>
        <v>LATAM</v>
      </c>
      <c r="C659" t="str">
        <f t="shared" si="61"/>
        <v>Mexico</v>
      </c>
      <c r="D659" t="s">
        <v>26</v>
      </c>
      <c r="E659" t="s">
        <v>145</v>
      </c>
      <c r="F659" t="s">
        <v>188</v>
      </c>
      <c r="G659" t="s">
        <v>28</v>
      </c>
      <c r="H659" s="2">
        <v>43963</v>
      </c>
      <c r="I659" t="s">
        <v>57</v>
      </c>
      <c r="J659" t="s">
        <v>30</v>
      </c>
      <c r="K659" t="str">
        <f t="shared" ca="1" si="64"/>
        <v>OK</v>
      </c>
      <c r="L659" t="s">
        <v>285</v>
      </c>
      <c r="M659">
        <v>4</v>
      </c>
      <c r="N659" s="2">
        <v>46065</v>
      </c>
      <c r="O659" s="2">
        <v>44700</v>
      </c>
      <c r="P659" s="4">
        <f t="shared" ca="1" si="62"/>
        <v>2</v>
      </c>
      <c r="Q659" s="4" t="str">
        <f t="shared" ca="1" si="63"/>
        <v>0-2 Years</v>
      </c>
      <c r="R659">
        <f t="shared" ca="1" si="65"/>
        <v>1</v>
      </c>
      <c r="S659" t="s">
        <v>24</v>
      </c>
      <c r="T659">
        <v>3</v>
      </c>
      <c r="U659" t="s">
        <v>1394</v>
      </c>
      <c r="V659" t="s">
        <v>1394</v>
      </c>
      <c r="W659" t="s">
        <v>1394</v>
      </c>
      <c r="X659" s="3">
        <v>5</v>
      </c>
      <c r="Y659" t="s">
        <v>1395</v>
      </c>
      <c r="Z659">
        <v>76355</v>
      </c>
      <c r="AA659">
        <v>0.15</v>
      </c>
      <c r="AB659">
        <v>87808.25</v>
      </c>
    </row>
    <row r="660" spans="1:28" x14ac:dyDescent="0.35">
      <c r="A660" t="str">
        <f t="shared" si="60"/>
        <v>EMP0659</v>
      </c>
      <c r="B660" t="str" cm="1">
        <f t="array" ref="B660">_xlfn.IFS(
ROW()&lt;=421,"NA",
ROW()&lt;=781,"LATAM",
ROW()&lt;=1021,"EMEA",
TRUE,"APAC"
)</f>
        <v>LATAM</v>
      </c>
      <c r="C660" t="str">
        <f t="shared" si="61"/>
        <v>Mexico</v>
      </c>
      <c r="D660" t="s">
        <v>32</v>
      </c>
      <c r="E660" t="s">
        <v>380</v>
      </c>
      <c r="F660" t="s">
        <v>464</v>
      </c>
      <c r="G660" t="s">
        <v>28</v>
      </c>
      <c r="H660" s="2">
        <v>43957</v>
      </c>
      <c r="I660" t="s">
        <v>57</v>
      </c>
      <c r="J660" t="s">
        <v>33</v>
      </c>
      <c r="K660" t="str">
        <f t="shared" ca="1" si="64"/>
        <v>OK</v>
      </c>
      <c r="L660" t="s">
        <v>1205</v>
      </c>
      <c r="M660">
        <v>5</v>
      </c>
      <c r="N660" s="2">
        <v>46012</v>
      </c>
      <c r="O660" s="2">
        <v>46071</v>
      </c>
      <c r="P660" s="4">
        <f t="shared" ca="1" si="62"/>
        <v>5</v>
      </c>
      <c r="Q660" s="4" t="str">
        <f t="shared" ca="1" si="63"/>
        <v>3-5 Years</v>
      </c>
      <c r="R660">
        <f t="shared" ca="1" si="65"/>
        <v>0</v>
      </c>
      <c r="S660" t="s">
        <v>23</v>
      </c>
      <c r="T660">
        <v>3</v>
      </c>
      <c r="U660" t="s">
        <v>1394</v>
      </c>
      <c r="V660" t="s">
        <v>1394</v>
      </c>
      <c r="W660" t="s">
        <v>1394</v>
      </c>
      <c r="X660" s="3">
        <v>5</v>
      </c>
      <c r="Y660" t="s">
        <v>1395</v>
      </c>
      <c r="Z660">
        <v>21548</v>
      </c>
      <c r="AA660">
        <v>0.1</v>
      </c>
      <c r="AB660">
        <v>23702.800000000003</v>
      </c>
    </row>
    <row r="661" spans="1:28" x14ac:dyDescent="0.35">
      <c r="A661" t="str">
        <f t="shared" si="60"/>
        <v>EMP0660</v>
      </c>
      <c r="B661" t="str" cm="1">
        <f t="array" ref="B661">_xlfn.IFS(
ROW()&lt;=421,"NA",
ROW()&lt;=781,"LATAM",
ROW()&lt;=1021,"EMEA",
TRUE,"APAC"
)</f>
        <v>LATAM</v>
      </c>
      <c r="C661" t="str">
        <f t="shared" si="61"/>
        <v>Mexico</v>
      </c>
      <c r="D661" t="s">
        <v>32</v>
      </c>
      <c r="E661" t="s">
        <v>380</v>
      </c>
      <c r="F661" t="s">
        <v>468</v>
      </c>
      <c r="G661" t="s">
        <v>28</v>
      </c>
      <c r="H661" s="2">
        <v>43953</v>
      </c>
      <c r="I661" t="s">
        <v>29</v>
      </c>
      <c r="J661" t="s">
        <v>33</v>
      </c>
      <c r="K661" t="str">
        <f t="shared" ca="1" si="64"/>
        <v>OK</v>
      </c>
      <c r="L661" t="s">
        <v>469</v>
      </c>
      <c r="M661">
        <v>5</v>
      </c>
      <c r="N661" s="2">
        <v>45990</v>
      </c>
      <c r="O661" s="2" t="s">
        <v>22</v>
      </c>
      <c r="P661" s="4">
        <f t="shared" ca="1" si="62"/>
        <v>5</v>
      </c>
      <c r="Q661" s="4" t="str">
        <f t="shared" ca="1" si="63"/>
        <v>3-5 Years</v>
      </c>
      <c r="R661">
        <f t="shared" ca="1" si="65"/>
        <v>0</v>
      </c>
      <c r="S661" t="s">
        <v>22</v>
      </c>
      <c r="T661">
        <v>4</v>
      </c>
      <c r="U661" t="s">
        <v>1394</v>
      </c>
      <c r="V661" t="s">
        <v>1394</v>
      </c>
      <c r="W661" t="s">
        <v>1394</v>
      </c>
      <c r="X661" s="3">
        <v>2</v>
      </c>
      <c r="Y661" t="s">
        <v>1397</v>
      </c>
      <c r="Z661">
        <v>39989</v>
      </c>
      <c r="AA661">
        <v>0.1</v>
      </c>
      <c r="AB661">
        <v>43987.9</v>
      </c>
    </row>
    <row r="662" spans="1:28" x14ac:dyDescent="0.35">
      <c r="A662" t="str">
        <f t="shared" si="60"/>
        <v>EMP0661</v>
      </c>
      <c r="B662" t="str" cm="1">
        <f t="array" ref="B662">_xlfn.IFS(
ROW()&lt;=421,"NA",
ROW()&lt;=781,"LATAM",
ROW()&lt;=1021,"EMEA",
TRUE,"APAC"
)</f>
        <v>LATAM</v>
      </c>
      <c r="C662" t="str">
        <f t="shared" si="61"/>
        <v>Mexico</v>
      </c>
      <c r="D662" t="s">
        <v>35</v>
      </c>
      <c r="E662" t="s">
        <v>380</v>
      </c>
      <c r="F662" t="s">
        <v>650</v>
      </c>
      <c r="G662" t="s">
        <v>28</v>
      </c>
      <c r="H662" s="2">
        <v>43953</v>
      </c>
      <c r="I662" t="s">
        <v>29</v>
      </c>
      <c r="J662" t="s">
        <v>36</v>
      </c>
      <c r="K662" t="str">
        <f t="shared" ca="1" si="64"/>
        <v>OK</v>
      </c>
      <c r="L662" t="s">
        <v>1225</v>
      </c>
      <c r="M662">
        <v>5</v>
      </c>
      <c r="N662" s="2">
        <v>46031</v>
      </c>
      <c r="O662" s="2" t="s">
        <v>22</v>
      </c>
      <c r="P662" s="4">
        <f t="shared" ca="1" si="62"/>
        <v>5</v>
      </c>
      <c r="Q662" s="4" t="str">
        <f t="shared" ca="1" si="63"/>
        <v>3-5 Years</v>
      </c>
      <c r="R662">
        <f t="shared" ca="1" si="65"/>
        <v>0</v>
      </c>
      <c r="S662" t="s">
        <v>22</v>
      </c>
      <c r="T662">
        <v>3</v>
      </c>
      <c r="U662" t="s">
        <v>1396</v>
      </c>
      <c r="V662" t="s">
        <v>1394</v>
      </c>
      <c r="W662" t="s">
        <v>1394</v>
      </c>
      <c r="X662" s="3">
        <v>5</v>
      </c>
      <c r="Y662" t="s">
        <v>1395</v>
      </c>
      <c r="Z662">
        <v>43830</v>
      </c>
      <c r="AA662">
        <v>0.1</v>
      </c>
      <c r="AB662">
        <v>48213.000000000007</v>
      </c>
    </row>
    <row r="663" spans="1:28" x14ac:dyDescent="0.35">
      <c r="A663" t="str">
        <f t="shared" si="60"/>
        <v>EMP0662</v>
      </c>
      <c r="B663" t="str" cm="1">
        <f t="array" ref="B663">_xlfn.IFS(
ROW()&lt;=421,"NA",
ROW()&lt;=781,"LATAM",
ROW()&lt;=1021,"EMEA",
TRUE,"APAC"
)</f>
        <v>LATAM</v>
      </c>
      <c r="C663" t="str">
        <f t="shared" si="61"/>
        <v>Mexico</v>
      </c>
      <c r="D663" t="s">
        <v>32</v>
      </c>
      <c r="E663" t="s">
        <v>380</v>
      </c>
      <c r="F663" t="s">
        <v>823</v>
      </c>
      <c r="G663" t="s">
        <v>28</v>
      </c>
      <c r="H663" s="2">
        <v>43949</v>
      </c>
      <c r="I663" t="s">
        <v>29</v>
      </c>
      <c r="J663" t="s">
        <v>33</v>
      </c>
      <c r="K663" t="str">
        <f t="shared" ca="1" si="64"/>
        <v>OK</v>
      </c>
      <c r="L663" t="s">
        <v>1333</v>
      </c>
      <c r="M663">
        <v>5</v>
      </c>
      <c r="N663" s="2">
        <v>46048</v>
      </c>
      <c r="O663" s="2" t="s">
        <v>22</v>
      </c>
      <c r="P663" s="4">
        <f t="shared" ca="1" si="62"/>
        <v>5</v>
      </c>
      <c r="Q663" s="4" t="str">
        <f t="shared" ca="1" si="63"/>
        <v>3-5 Years</v>
      </c>
      <c r="R663">
        <f t="shared" ca="1" si="65"/>
        <v>0</v>
      </c>
      <c r="S663" t="s">
        <v>22</v>
      </c>
      <c r="T663">
        <v>3</v>
      </c>
      <c r="U663" t="s">
        <v>1394</v>
      </c>
      <c r="V663" t="s">
        <v>1394</v>
      </c>
      <c r="W663" t="s">
        <v>1394</v>
      </c>
      <c r="X663" s="3">
        <v>4</v>
      </c>
      <c r="Y663" t="s">
        <v>1395</v>
      </c>
      <c r="Z663">
        <v>46765</v>
      </c>
      <c r="AA663">
        <v>0.1</v>
      </c>
      <c r="AB663">
        <v>51441.500000000007</v>
      </c>
    </row>
    <row r="664" spans="1:28" x14ac:dyDescent="0.35">
      <c r="A664" t="str">
        <f t="shared" si="60"/>
        <v>EMP0663</v>
      </c>
      <c r="B664" t="str" cm="1">
        <f t="array" ref="B664">_xlfn.IFS(
ROW()&lt;=421,"NA",
ROW()&lt;=781,"LATAM",
ROW()&lt;=1021,"EMEA",
TRUE,"APAC"
)</f>
        <v>LATAM</v>
      </c>
      <c r="C664" t="str">
        <f t="shared" si="61"/>
        <v>Mexico</v>
      </c>
      <c r="D664" t="s">
        <v>35</v>
      </c>
      <c r="E664" t="s">
        <v>380</v>
      </c>
      <c r="F664" t="s">
        <v>636</v>
      </c>
      <c r="G664" t="s">
        <v>28</v>
      </c>
      <c r="H664" s="2">
        <v>43945</v>
      </c>
      <c r="I664" t="s">
        <v>29</v>
      </c>
      <c r="J664" t="s">
        <v>36</v>
      </c>
      <c r="K664" t="str">
        <f t="shared" ca="1" si="64"/>
        <v>OK</v>
      </c>
      <c r="L664" t="s">
        <v>417</v>
      </c>
      <c r="M664">
        <v>5</v>
      </c>
      <c r="N664" s="2">
        <v>46065</v>
      </c>
      <c r="O664" s="2" t="s">
        <v>22</v>
      </c>
      <c r="P664" s="4">
        <f t="shared" ca="1" si="62"/>
        <v>5</v>
      </c>
      <c r="Q664" s="4" t="str">
        <f t="shared" ca="1" si="63"/>
        <v>3-5 Years</v>
      </c>
      <c r="R664">
        <f t="shared" ca="1" si="65"/>
        <v>0</v>
      </c>
      <c r="S664" t="s">
        <v>22</v>
      </c>
      <c r="T664">
        <v>4</v>
      </c>
      <c r="U664" t="s">
        <v>1394</v>
      </c>
      <c r="V664" t="s">
        <v>1394</v>
      </c>
      <c r="W664" t="s">
        <v>1394</v>
      </c>
      <c r="X664" s="3">
        <v>4</v>
      </c>
      <c r="Y664" t="s">
        <v>1395</v>
      </c>
      <c r="Z664">
        <v>30481</v>
      </c>
      <c r="AA664">
        <v>0.1</v>
      </c>
      <c r="AB664">
        <v>33529.100000000006</v>
      </c>
    </row>
    <row r="665" spans="1:28" x14ac:dyDescent="0.35">
      <c r="A665" t="str">
        <f t="shared" si="60"/>
        <v>EMP0664</v>
      </c>
      <c r="B665" t="str" cm="1">
        <f t="array" ref="B665">_xlfn.IFS(
ROW()&lt;=421,"NA",
ROW()&lt;=781,"LATAM",
ROW()&lt;=1021,"EMEA",
TRUE,"APAC"
)</f>
        <v>LATAM</v>
      </c>
      <c r="C665" t="str">
        <f t="shared" si="61"/>
        <v>Mexico</v>
      </c>
      <c r="D665" t="s">
        <v>44</v>
      </c>
      <c r="E665" t="s">
        <v>380</v>
      </c>
      <c r="F665" t="s">
        <v>958</v>
      </c>
      <c r="G665" t="s">
        <v>53</v>
      </c>
      <c r="H665" s="2">
        <v>43935</v>
      </c>
      <c r="I665" t="s">
        <v>29</v>
      </c>
      <c r="J665" t="s">
        <v>47</v>
      </c>
      <c r="K665" t="str">
        <f t="shared" ca="1" si="64"/>
        <v>OK</v>
      </c>
      <c r="L665" t="s">
        <v>1360</v>
      </c>
      <c r="M665">
        <v>5</v>
      </c>
      <c r="N665" s="2">
        <v>46077</v>
      </c>
      <c r="O665" s="2" t="s">
        <v>22</v>
      </c>
      <c r="P665" s="4">
        <f t="shared" ca="1" si="62"/>
        <v>5</v>
      </c>
      <c r="Q665" s="4" t="str">
        <f t="shared" ca="1" si="63"/>
        <v>3-5 Years</v>
      </c>
      <c r="R665">
        <f t="shared" ca="1" si="65"/>
        <v>0</v>
      </c>
      <c r="S665" t="s">
        <v>22</v>
      </c>
      <c r="T665">
        <v>4</v>
      </c>
      <c r="U665" t="s">
        <v>1394</v>
      </c>
      <c r="V665" t="s">
        <v>1394</v>
      </c>
      <c r="W665" t="s">
        <v>1394</v>
      </c>
      <c r="X665" s="3">
        <v>2</v>
      </c>
      <c r="Y665" t="s">
        <v>1397</v>
      </c>
      <c r="Z665">
        <v>32375</v>
      </c>
      <c r="AA665">
        <v>0.1</v>
      </c>
      <c r="AB665">
        <v>35612.5</v>
      </c>
    </row>
    <row r="666" spans="1:28" x14ac:dyDescent="0.35">
      <c r="A666" t="str">
        <f t="shared" si="60"/>
        <v>EMP0665</v>
      </c>
      <c r="B666" t="str" cm="1">
        <f t="array" ref="B666">_xlfn.IFS(
ROW()&lt;=421,"NA",
ROW()&lt;=781,"LATAM",
ROW()&lt;=1021,"EMEA",
TRUE,"APAC"
)</f>
        <v>LATAM</v>
      </c>
      <c r="C666" t="str">
        <f t="shared" si="61"/>
        <v>Mexico</v>
      </c>
      <c r="D666" t="s">
        <v>44</v>
      </c>
      <c r="E666" t="s">
        <v>380</v>
      </c>
      <c r="F666" t="s">
        <v>772</v>
      </c>
      <c r="G666" t="s">
        <v>28</v>
      </c>
      <c r="H666" s="2">
        <v>43930</v>
      </c>
      <c r="I666" t="s">
        <v>29</v>
      </c>
      <c r="J666" t="s">
        <v>47</v>
      </c>
      <c r="K666" t="str">
        <f t="shared" ca="1" si="64"/>
        <v>OK</v>
      </c>
      <c r="L666" t="s">
        <v>773</v>
      </c>
      <c r="M666">
        <v>5</v>
      </c>
      <c r="N666" s="2">
        <v>46023</v>
      </c>
      <c r="O666" s="2" t="s">
        <v>22</v>
      </c>
      <c r="P666" s="4">
        <f t="shared" ca="1" si="62"/>
        <v>5</v>
      </c>
      <c r="Q666" s="4" t="str">
        <f t="shared" ca="1" si="63"/>
        <v>3-5 Years</v>
      </c>
      <c r="R666">
        <f t="shared" ca="1" si="65"/>
        <v>0</v>
      </c>
      <c r="S666" t="s">
        <v>22</v>
      </c>
      <c r="T666">
        <v>3</v>
      </c>
      <c r="U666" t="s">
        <v>1394</v>
      </c>
      <c r="V666" t="s">
        <v>1396</v>
      </c>
      <c r="W666" t="s">
        <v>1394</v>
      </c>
      <c r="X666" s="3">
        <v>2</v>
      </c>
      <c r="Y666" t="s">
        <v>1397</v>
      </c>
      <c r="Z666">
        <v>23159</v>
      </c>
      <c r="AA666">
        <v>0.1</v>
      </c>
      <c r="AB666">
        <v>25474.9</v>
      </c>
    </row>
    <row r="667" spans="1:28" x14ac:dyDescent="0.35">
      <c r="A667" t="str">
        <f t="shared" si="60"/>
        <v>EMP0666</v>
      </c>
      <c r="B667" t="str" cm="1">
        <f t="array" ref="B667">_xlfn.IFS(
ROW()&lt;=421,"NA",
ROW()&lt;=781,"LATAM",
ROW()&lt;=1021,"EMEA",
TRUE,"APAC"
)</f>
        <v>LATAM</v>
      </c>
      <c r="C667" t="str">
        <f t="shared" si="61"/>
        <v>Mexico</v>
      </c>
      <c r="D667" t="s">
        <v>38</v>
      </c>
      <c r="E667" t="s">
        <v>380</v>
      </c>
      <c r="F667" t="s">
        <v>611</v>
      </c>
      <c r="G667" t="s">
        <v>28</v>
      </c>
      <c r="H667" s="2">
        <v>43929</v>
      </c>
      <c r="I667" t="s">
        <v>29</v>
      </c>
      <c r="J667" t="s">
        <v>39</v>
      </c>
      <c r="K667" t="str">
        <f t="shared" ca="1" si="64"/>
        <v>OK</v>
      </c>
      <c r="L667" t="s">
        <v>612</v>
      </c>
      <c r="M667">
        <v>5</v>
      </c>
      <c r="N667" s="2">
        <v>46026</v>
      </c>
      <c r="O667" s="2" t="s">
        <v>22</v>
      </c>
      <c r="P667" s="4">
        <f t="shared" ca="1" si="62"/>
        <v>5</v>
      </c>
      <c r="Q667" s="4" t="str">
        <f t="shared" ca="1" si="63"/>
        <v>3-5 Years</v>
      </c>
      <c r="R667">
        <f t="shared" ca="1" si="65"/>
        <v>0</v>
      </c>
      <c r="S667" t="s">
        <v>22</v>
      </c>
      <c r="T667">
        <v>5</v>
      </c>
      <c r="U667" t="s">
        <v>1394</v>
      </c>
      <c r="V667" t="s">
        <v>1394</v>
      </c>
      <c r="W667" t="s">
        <v>1394</v>
      </c>
      <c r="X667" s="3">
        <v>5</v>
      </c>
      <c r="Y667" t="s">
        <v>1395</v>
      </c>
      <c r="Z667">
        <v>42806</v>
      </c>
      <c r="AA667">
        <v>0.1</v>
      </c>
      <c r="AB667">
        <v>47086.600000000006</v>
      </c>
    </row>
    <row r="668" spans="1:28" x14ac:dyDescent="0.35">
      <c r="A668" t="str">
        <f t="shared" si="60"/>
        <v>EMP0667</v>
      </c>
      <c r="B668" t="str" cm="1">
        <f t="array" ref="B668">_xlfn.IFS(
ROW()&lt;=421,"NA",
ROW()&lt;=781,"LATAM",
ROW()&lt;=1021,"EMEA",
TRUE,"APAC"
)</f>
        <v>LATAM</v>
      </c>
      <c r="C668" t="str">
        <f t="shared" si="61"/>
        <v>Mexico</v>
      </c>
      <c r="D668" t="s">
        <v>35</v>
      </c>
      <c r="E668" t="s">
        <v>380</v>
      </c>
      <c r="F668" t="s">
        <v>501</v>
      </c>
      <c r="G668" t="s">
        <v>28</v>
      </c>
      <c r="H668" s="2">
        <v>43928</v>
      </c>
      <c r="I668" t="s">
        <v>29</v>
      </c>
      <c r="J668" t="s">
        <v>36</v>
      </c>
      <c r="K668" t="str">
        <f t="shared" ca="1" si="64"/>
        <v>OK</v>
      </c>
      <c r="L668" t="s">
        <v>645</v>
      </c>
      <c r="M668">
        <v>5</v>
      </c>
      <c r="N668" s="2">
        <v>46027</v>
      </c>
      <c r="O668" s="2" t="s">
        <v>22</v>
      </c>
      <c r="P668" s="4">
        <f t="shared" ca="1" si="62"/>
        <v>5</v>
      </c>
      <c r="Q668" s="4" t="str">
        <f t="shared" ca="1" si="63"/>
        <v>3-5 Years</v>
      </c>
      <c r="R668">
        <f t="shared" ca="1" si="65"/>
        <v>0</v>
      </c>
      <c r="S668" t="s">
        <v>22</v>
      </c>
      <c r="T668">
        <v>3</v>
      </c>
      <c r="U668" t="s">
        <v>1396</v>
      </c>
      <c r="V668" t="s">
        <v>1394</v>
      </c>
      <c r="W668" t="s">
        <v>1394</v>
      </c>
      <c r="X668" s="3">
        <v>2</v>
      </c>
      <c r="Y668" t="s">
        <v>1397</v>
      </c>
      <c r="Z668">
        <v>22608</v>
      </c>
      <c r="AA668">
        <v>0.1</v>
      </c>
      <c r="AB668">
        <v>24868.800000000003</v>
      </c>
    </row>
    <row r="669" spans="1:28" x14ac:dyDescent="0.35">
      <c r="A669" t="str">
        <f t="shared" si="60"/>
        <v>EMP0668</v>
      </c>
      <c r="B669" t="str" cm="1">
        <f t="array" ref="B669">_xlfn.IFS(
ROW()&lt;=421,"NA",
ROW()&lt;=781,"LATAM",
ROW()&lt;=1021,"EMEA",
TRUE,"APAC"
)</f>
        <v>LATAM</v>
      </c>
      <c r="C669" t="str">
        <f t="shared" si="61"/>
        <v>Mexico</v>
      </c>
      <c r="D669" t="s">
        <v>32</v>
      </c>
      <c r="E669" t="s">
        <v>380</v>
      </c>
      <c r="F669" t="s">
        <v>722</v>
      </c>
      <c r="G669" t="s">
        <v>53</v>
      </c>
      <c r="H669" s="2">
        <v>43925</v>
      </c>
      <c r="I669" t="s">
        <v>57</v>
      </c>
      <c r="J669" t="s">
        <v>33</v>
      </c>
      <c r="K669" t="str">
        <f t="shared" ca="1" si="64"/>
        <v>OK</v>
      </c>
      <c r="L669" t="s">
        <v>1068</v>
      </c>
      <c r="M669">
        <v>5</v>
      </c>
      <c r="N669" s="2">
        <v>45989</v>
      </c>
      <c r="O669" s="2">
        <v>45796</v>
      </c>
      <c r="P669" s="4">
        <f t="shared" ca="1" si="62"/>
        <v>5</v>
      </c>
      <c r="Q669" s="4" t="str">
        <f t="shared" ca="1" si="63"/>
        <v>3-5 Years</v>
      </c>
      <c r="R669">
        <f t="shared" ca="1" si="65"/>
        <v>0</v>
      </c>
      <c r="S669" t="s">
        <v>23</v>
      </c>
      <c r="T669">
        <v>4</v>
      </c>
      <c r="U669" t="s">
        <v>1394</v>
      </c>
      <c r="V669" t="s">
        <v>1396</v>
      </c>
      <c r="W669" t="s">
        <v>1396</v>
      </c>
      <c r="X669" s="3">
        <v>5</v>
      </c>
      <c r="Y669" t="s">
        <v>1395</v>
      </c>
      <c r="Z669">
        <v>48996</v>
      </c>
      <c r="AA669">
        <v>0.1</v>
      </c>
      <c r="AB669">
        <v>53895.600000000006</v>
      </c>
    </row>
    <row r="670" spans="1:28" x14ac:dyDescent="0.35">
      <c r="A670" t="str">
        <f t="shared" si="60"/>
        <v>EMP0669</v>
      </c>
      <c r="B670" t="str" cm="1">
        <f t="array" ref="B670">_xlfn.IFS(
ROW()&lt;=421,"NA",
ROW()&lt;=781,"LATAM",
ROW()&lt;=1021,"EMEA",
TRUE,"APAC"
)</f>
        <v>LATAM</v>
      </c>
      <c r="C670" t="str">
        <f t="shared" si="61"/>
        <v>Mexico</v>
      </c>
      <c r="D670" t="s">
        <v>35</v>
      </c>
      <c r="E670" t="s">
        <v>380</v>
      </c>
      <c r="F670" t="s">
        <v>693</v>
      </c>
      <c r="G670" t="s">
        <v>28</v>
      </c>
      <c r="H670" s="2">
        <v>43925</v>
      </c>
      <c r="I670" t="s">
        <v>29</v>
      </c>
      <c r="J670" t="s">
        <v>36</v>
      </c>
      <c r="K670" t="str">
        <f t="shared" ca="1" si="64"/>
        <v>OK</v>
      </c>
      <c r="L670" t="s">
        <v>1174</v>
      </c>
      <c r="M670">
        <v>5</v>
      </c>
      <c r="N670" s="2">
        <v>46046</v>
      </c>
      <c r="O670" s="2" t="s">
        <v>22</v>
      </c>
      <c r="P670" s="4">
        <f t="shared" ca="1" si="62"/>
        <v>5</v>
      </c>
      <c r="Q670" s="4" t="str">
        <f t="shared" ca="1" si="63"/>
        <v>3-5 Years</v>
      </c>
      <c r="R670">
        <f t="shared" ca="1" si="65"/>
        <v>0</v>
      </c>
      <c r="S670" t="s">
        <v>22</v>
      </c>
      <c r="T670">
        <v>4</v>
      </c>
      <c r="U670" t="s">
        <v>1394</v>
      </c>
      <c r="V670" t="s">
        <v>1394</v>
      </c>
      <c r="W670" t="s">
        <v>1394</v>
      </c>
      <c r="X670" s="3">
        <v>2</v>
      </c>
      <c r="Y670" t="s">
        <v>1397</v>
      </c>
      <c r="Z670">
        <v>28809</v>
      </c>
      <c r="AA670">
        <v>0.1</v>
      </c>
      <c r="AB670">
        <v>31689.9</v>
      </c>
    </row>
    <row r="671" spans="1:28" x14ac:dyDescent="0.35">
      <c r="A671" t="str">
        <f t="shared" si="60"/>
        <v>EMP0670</v>
      </c>
      <c r="B671" t="str" cm="1">
        <f t="array" ref="B671">_xlfn.IFS(
ROW()&lt;=421,"NA",
ROW()&lt;=781,"LATAM",
ROW()&lt;=1021,"EMEA",
TRUE,"APAC"
)</f>
        <v>LATAM</v>
      </c>
      <c r="C671" t="str">
        <f t="shared" si="61"/>
        <v>Mexico</v>
      </c>
      <c r="D671" t="s">
        <v>32</v>
      </c>
      <c r="E671" t="s">
        <v>380</v>
      </c>
      <c r="F671" t="s">
        <v>706</v>
      </c>
      <c r="G671" t="s">
        <v>28</v>
      </c>
      <c r="H671" s="2">
        <v>43924</v>
      </c>
      <c r="I671" t="s">
        <v>29</v>
      </c>
      <c r="J671" t="s">
        <v>33</v>
      </c>
      <c r="K671" t="str">
        <f t="shared" ca="1" si="64"/>
        <v>OK</v>
      </c>
      <c r="L671" t="s">
        <v>1122</v>
      </c>
      <c r="M671">
        <v>5</v>
      </c>
      <c r="N671" s="2">
        <v>45995</v>
      </c>
      <c r="O671" s="2" t="s">
        <v>22</v>
      </c>
      <c r="P671" s="4">
        <f t="shared" ca="1" si="62"/>
        <v>5</v>
      </c>
      <c r="Q671" s="4" t="str">
        <f t="shared" ca="1" si="63"/>
        <v>3-5 Years</v>
      </c>
      <c r="R671">
        <f t="shared" ca="1" si="65"/>
        <v>0</v>
      </c>
      <c r="S671" t="s">
        <v>22</v>
      </c>
      <c r="T671">
        <v>5</v>
      </c>
      <c r="U671" t="s">
        <v>1394</v>
      </c>
      <c r="V671" t="s">
        <v>1394</v>
      </c>
      <c r="W671" t="s">
        <v>1394</v>
      </c>
      <c r="X671" s="3">
        <v>5</v>
      </c>
      <c r="Y671" t="s">
        <v>1395</v>
      </c>
      <c r="Z671">
        <v>20104</v>
      </c>
      <c r="AA671">
        <v>0.1</v>
      </c>
      <c r="AB671">
        <v>22114.400000000001</v>
      </c>
    </row>
    <row r="672" spans="1:28" x14ac:dyDescent="0.35">
      <c r="A672" t="str">
        <f t="shared" si="60"/>
        <v>EMP0671</v>
      </c>
      <c r="B672" t="str" cm="1">
        <f t="array" ref="B672">_xlfn.IFS(
ROW()&lt;=421,"NA",
ROW()&lt;=781,"LATAM",
ROW()&lt;=1021,"EMEA",
TRUE,"APAC"
)</f>
        <v>LATAM</v>
      </c>
      <c r="C672" t="str">
        <f t="shared" si="61"/>
        <v>Mexico</v>
      </c>
      <c r="D672" t="s">
        <v>38</v>
      </c>
      <c r="E672" t="s">
        <v>380</v>
      </c>
      <c r="F672" t="s">
        <v>631</v>
      </c>
      <c r="G672" t="s">
        <v>28</v>
      </c>
      <c r="H672" s="2">
        <v>43923</v>
      </c>
      <c r="I672" t="s">
        <v>29</v>
      </c>
      <c r="J672" t="s">
        <v>39</v>
      </c>
      <c r="K672" t="str">
        <f t="shared" ca="1" si="64"/>
        <v>OK</v>
      </c>
      <c r="L672" t="s">
        <v>1075</v>
      </c>
      <c r="M672">
        <v>5</v>
      </c>
      <c r="N672" s="2">
        <v>46014</v>
      </c>
      <c r="O672" s="2" t="s">
        <v>22</v>
      </c>
      <c r="P672" s="4">
        <f t="shared" ca="1" si="62"/>
        <v>5</v>
      </c>
      <c r="Q672" s="4" t="str">
        <f t="shared" ca="1" si="63"/>
        <v>3-5 Years</v>
      </c>
      <c r="R672">
        <f t="shared" ca="1" si="65"/>
        <v>0</v>
      </c>
      <c r="S672" t="s">
        <v>22</v>
      </c>
      <c r="T672">
        <v>2</v>
      </c>
      <c r="U672" t="s">
        <v>1394</v>
      </c>
      <c r="V672" t="s">
        <v>1396</v>
      </c>
      <c r="W672" t="s">
        <v>1396</v>
      </c>
      <c r="X672" s="3">
        <v>4</v>
      </c>
      <c r="Y672" t="s">
        <v>1395</v>
      </c>
      <c r="Z672">
        <v>49025</v>
      </c>
      <c r="AA672">
        <v>0.1</v>
      </c>
      <c r="AB672">
        <v>53927.500000000007</v>
      </c>
    </row>
    <row r="673" spans="1:28" x14ac:dyDescent="0.35">
      <c r="A673" t="str">
        <f t="shared" si="60"/>
        <v>EMP0672</v>
      </c>
      <c r="B673" t="str" cm="1">
        <f t="array" ref="B673">_xlfn.IFS(
ROW()&lt;=421,"NA",
ROW()&lt;=781,"LATAM",
ROW()&lt;=1021,"EMEA",
TRUE,"APAC"
)</f>
        <v>LATAM</v>
      </c>
      <c r="C673" t="str">
        <f t="shared" si="61"/>
        <v>Mexico</v>
      </c>
      <c r="D673" t="s">
        <v>44</v>
      </c>
      <c r="E673" t="s">
        <v>380</v>
      </c>
      <c r="F673" t="s">
        <v>504</v>
      </c>
      <c r="G673" t="s">
        <v>28</v>
      </c>
      <c r="H673" s="2">
        <v>43913</v>
      </c>
      <c r="I673" t="s">
        <v>29</v>
      </c>
      <c r="J673" t="s">
        <v>47</v>
      </c>
      <c r="K673" t="str">
        <f t="shared" ca="1" si="64"/>
        <v>OK</v>
      </c>
      <c r="L673" t="s">
        <v>857</v>
      </c>
      <c r="M673">
        <v>5</v>
      </c>
      <c r="N673" s="2">
        <v>46066</v>
      </c>
      <c r="O673" s="2" t="s">
        <v>22</v>
      </c>
      <c r="P673" s="4">
        <f t="shared" ca="1" si="62"/>
        <v>5</v>
      </c>
      <c r="Q673" s="4" t="str">
        <f t="shared" ca="1" si="63"/>
        <v>3-5 Years</v>
      </c>
      <c r="R673">
        <f t="shared" ca="1" si="65"/>
        <v>0</v>
      </c>
      <c r="S673" t="s">
        <v>22</v>
      </c>
      <c r="T673">
        <v>4</v>
      </c>
      <c r="U673" t="s">
        <v>1396</v>
      </c>
      <c r="V673" t="s">
        <v>1394</v>
      </c>
      <c r="W673" t="s">
        <v>1394</v>
      </c>
      <c r="X673" s="3">
        <v>1</v>
      </c>
      <c r="Y673" t="s">
        <v>1397</v>
      </c>
      <c r="Z673">
        <v>32256</v>
      </c>
      <c r="AA673">
        <v>0.1</v>
      </c>
      <c r="AB673">
        <v>35481.600000000006</v>
      </c>
    </row>
    <row r="674" spans="1:28" x14ac:dyDescent="0.35">
      <c r="A674" t="str">
        <f t="shared" si="60"/>
        <v>EMP0673</v>
      </c>
      <c r="B674" t="str" cm="1">
        <f t="array" ref="B674">_xlfn.IFS(
ROW()&lt;=421,"NA",
ROW()&lt;=781,"LATAM",
ROW()&lt;=1021,"EMEA",
TRUE,"APAC"
)</f>
        <v>LATAM</v>
      </c>
      <c r="C674" t="str">
        <f t="shared" si="61"/>
        <v>Mexico</v>
      </c>
      <c r="D674" t="s">
        <v>38</v>
      </c>
      <c r="E674" t="s">
        <v>145</v>
      </c>
      <c r="F674" t="s">
        <v>160</v>
      </c>
      <c r="G674" t="s">
        <v>28</v>
      </c>
      <c r="H674" s="2">
        <v>43907</v>
      </c>
      <c r="I674" t="s">
        <v>29</v>
      </c>
      <c r="J674" t="s">
        <v>39</v>
      </c>
      <c r="K674" t="str">
        <f t="shared" ca="1" si="64"/>
        <v>OK</v>
      </c>
      <c r="L674" t="s">
        <v>161</v>
      </c>
      <c r="M674">
        <v>4</v>
      </c>
      <c r="N674" s="2">
        <v>46001</v>
      </c>
      <c r="O674" s="2" t="s">
        <v>22</v>
      </c>
      <c r="P674" s="4">
        <f t="shared" ca="1" si="62"/>
        <v>5</v>
      </c>
      <c r="Q674" s="4" t="str">
        <f t="shared" ca="1" si="63"/>
        <v>3-5 Years</v>
      </c>
      <c r="R674">
        <f t="shared" ca="1" si="65"/>
        <v>0</v>
      </c>
      <c r="S674" t="s">
        <v>22</v>
      </c>
      <c r="T674">
        <v>4</v>
      </c>
      <c r="U674" t="s">
        <v>1394</v>
      </c>
      <c r="V674" t="s">
        <v>1394</v>
      </c>
      <c r="W674" t="s">
        <v>1394</v>
      </c>
      <c r="X674" s="3">
        <v>5</v>
      </c>
      <c r="Y674" t="s">
        <v>1395</v>
      </c>
      <c r="Z674">
        <v>77321</v>
      </c>
      <c r="AA674">
        <v>0.15</v>
      </c>
      <c r="AB674">
        <v>88919.15</v>
      </c>
    </row>
    <row r="675" spans="1:28" x14ac:dyDescent="0.35">
      <c r="A675" t="str">
        <f t="shared" si="60"/>
        <v>EMP0674</v>
      </c>
      <c r="B675" t="str" cm="1">
        <f t="array" ref="B675">_xlfn.IFS(
ROW()&lt;=421,"NA",
ROW()&lt;=781,"LATAM",
ROW()&lt;=1021,"EMEA",
TRUE,"APAC"
)</f>
        <v>LATAM</v>
      </c>
      <c r="C675" t="str">
        <f t="shared" si="61"/>
        <v>Mexico</v>
      </c>
      <c r="D675" t="s">
        <v>41</v>
      </c>
      <c r="E675" t="s">
        <v>380</v>
      </c>
      <c r="F675" t="s">
        <v>669</v>
      </c>
      <c r="G675" t="s">
        <v>53</v>
      </c>
      <c r="H675" s="2">
        <v>43907</v>
      </c>
      <c r="I675" t="s">
        <v>29</v>
      </c>
      <c r="J675" t="s">
        <v>42</v>
      </c>
      <c r="K675" t="str">
        <f t="shared" ca="1" si="64"/>
        <v>OK</v>
      </c>
      <c r="L675" t="s">
        <v>1373</v>
      </c>
      <c r="M675">
        <v>5</v>
      </c>
      <c r="N675" s="2">
        <v>46062</v>
      </c>
      <c r="O675" s="2" t="s">
        <v>22</v>
      </c>
      <c r="P675" s="4">
        <f t="shared" ca="1" si="62"/>
        <v>5</v>
      </c>
      <c r="Q675" s="4" t="str">
        <f t="shared" ca="1" si="63"/>
        <v>3-5 Years</v>
      </c>
      <c r="R675">
        <f t="shared" ca="1" si="65"/>
        <v>0</v>
      </c>
      <c r="S675" t="s">
        <v>22</v>
      </c>
      <c r="T675">
        <v>3</v>
      </c>
      <c r="U675" t="s">
        <v>1394</v>
      </c>
      <c r="V675" t="s">
        <v>1394</v>
      </c>
      <c r="W675" t="s">
        <v>1394</v>
      </c>
      <c r="X675" s="3">
        <v>3</v>
      </c>
      <c r="Y675" t="s">
        <v>1398</v>
      </c>
      <c r="Z675">
        <v>34292</v>
      </c>
      <c r="AA675">
        <v>0.1</v>
      </c>
      <c r="AB675">
        <v>37721.200000000004</v>
      </c>
    </row>
    <row r="676" spans="1:28" x14ac:dyDescent="0.35">
      <c r="A676" t="str">
        <f t="shared" si="60"/>
        <v>EMP0675</v>
      </c>
      <c r="B676" t="str" cm="1">
        <f t="array" ref="B676">_xlfn.IFS(
ROW()&lt;=421,"NA",
ROW()&lt;=781,"LATAM",
ROW()&lt;=1021,"EMEA",
TRUE,"APAC"
)</f>
        <v>LATAM</v>
      </c>
      <c r="C676" t="str">
        <f t="shared" si="61"/>
        <v>Mexico</v>
      </c>
      <c r="D676" t="s">
        <v>35</v>
      </c>
      <c r="E676" t="s">
        <v>380</v>
      </c>
      <c r="F676" t="s">
        <v>706</v>
      </c>
      <c r="G676" t="s">
        <v>28</v>
      </c>
      <c r="H676" s="2">
        <v>43906</v>
      </c>
      <c r="I676" t="s">
        <v>29</v>
      </c>
      <c r="J676" t="s">
        <v>36</v>
      </c>
      <c r="K676" t="str">
        <f t="shared" ca="1" si="64"/>
        <v>OK</v>
      </c>
      <c r="L676" t="s">
        <v>1005</v>
      </c>
      <c r="M676">
        <v>5</v>
      </c>
      <c r="N676" s="2">
        <v>46032</v>
      </c>
      <c r="O676" s="2" t="s">
        <v>22</v>
      </c>
      <c r="P676" s="4">
        <f t="shared" ca="1" si="62"/>
        <v>5</v>
      </c>
      <c r="Q676" s="4" t="str">
        <f t="shared" ca="1" si="63"/>
        <v>3-5 Years</v>
      </c>
      <c r="R676">
        <f t="shared" ca="1" si="65"/>
        <v>0</v>
      </c>
      <c r="S676" t="s">
        <v>22</v>
      </c>
      <c r="T676">
        <v>3</v>
      </c>
      <c r="U676" t="s">
        <v>1394</v>
      </c>
      <c r="V676" t="s">
        <v>1394</v>
      </c>
      <c r="W676" t="s">
        <v>1394</v>
      </c>
      <c r="X676" s="3">
        <v>3</v>
      </c>
      <c r="Y676" t="s">
        <v>1398</v>
      </c>
      <c r="Z676">
        <v>48764</v>
      </c>
      <c r="AA676">
        <v>0.1</v>
      </c>
      <c r="AB676">
        <v>53640.4</v>
      </c>
    </row>
    <row r="677" spans="1:28" x14ac:dyDescent="0.35">
      <c r="A677" t="str">
        <f t="shared" si="60"/>
        <v>EMP0676</v>
      </c>
      <c r="B677" t="str" cm="1">
        <f t="array" ref="B677">_xlfn.IFS(
ROW()&lt;=421,"NA",
ROW()&lt;=781,"LATAM",
ROW()&lt;=1021,"EMEA",
TRUE,"APAC"
)</f>
        <v>LATAM</v>
      </c>
      <c r="C677" t="str">
        <f t="shared" si="61"/>
        <v>Mexico</v>
      </c>
      <c r="D677" t="s">
        <v>44</v>
      </c>
      <c r="E677" t="s">
        <v>145</v>
      </c>
      <c r="F677" t="s">
        <v>312</v>
      </c>
      <c r="G677" t="s">
        <v>28</v>
      </c>
      <c r="H677" s="2">
        <v>43901</v>
      </c>
      <c r="I677" t="s">
        <v>29</v>
      </c>
      <c r="J677" t="s">
        <v>47</v>
      </c>
      <c r="K677" t="str">
        <f t="shared" ca="1" si="64"/>
        <v>OK</v>
      </c>
      <c r="L677" t="s">
        <v>313</v>
      </c>
      <c r="M677">
        <v>4</v>
      </c>
      <c r="N677" s="2">
        <v>46050</v>
      </c>
      <c r="O677" s="2" t="s">
        <v>22</v>
      </c>
      <c r="P677" s="4">
        <f t="shared" ca="1" si="62"/>
        <v>5</v>
      </c>
      <c r="Q677" s="4" t="str">
        <f t="shared" ca="1" si="63"/>
        <v>3-5 Years</v>
      </c>
      <c r="R677">
        <f t="shared" ca="1" si="65"/>
        <v>0</v>
      </c>
      <c r="S677" t="s">
        <v>22</v>
      </c>
      <c r="T677">
        <v>2</v>
      </c>
      <c r="U677" t="s">
        <v>1394</v>
      </c>
      <c r="V677" t="s">
        <v>1394</v>
      </c>
      <c r="W677" t="s">
        <v>1394</v>
      </c>
      <c r="X677" s="3">
        <v>3</v>
      </c>
      <c r="Y677" t="s">
        <v>1398</v>
      </c>
      <c r="Z677">
        <v>73348</v>
      </c>
      <c r="AA677">
        <v>0.15</v>
      </c>
      <c r="AB677">
        <v>84350.2</v>
      </c>
    </row>
    <row r="678" spans="1:28" x14ac:dyDescent="0.35">
      <c r="A678" t="str">
        <f t="shared" si="60"/>
        <v>EMP0677</v>
      </c>
      <c r="B678" t="str" cm="1">
        <f t="array" ref="B678">_xlfn.IFS(
ROW()&lt;=421,"NA",
ROW()&lt;=781,"LATAM",
ROW()&lt;=1021,"EMEA",
TRUE,"APAC"
)</f>
        <v>LATAM</v>
      </c>
      <c r="C678" t="str">
        <f t="shared" si="61"/>
        <v>Mexico</v>
      </c>
      <c r="D678" t="s">
        <v>26</v>
      </c>
      <c r="E678" t="s">
        <v>380</v>
      </c>
      <c r="F678" t="s">
        <v>381</v>
      </c>
      <c r="G678" t="s">
        <v>28</v>
      </c>
      <c r="H678" s="2">
        <v>43901</v>
      </c>
      <c r="I678" t="s">
        <v>29</v>
      </c>
      <c r="J678" t="s">
        <v>30</v>
      </c>
      <c r="K678" t="str">
        <f t="shared" ca="1" si="64"/>
        <v>OK</v>
      </c>
      <c r="L678" t="s">
        <v>1150</v>
      </c>
      <c r="M678">
        <v>5</v>
      </c>
      <c r="N678" s="2">
        <v>46040</v>
      </c>
      <c r="O678" s="2" t="s">
        <v>22</v>
      </c>
      <c r="P678" s="4">
        <f t="shared" ca="1" si="62"/>
        <v>5</v>
      </c>
      <c r="Q678" s="4" t="str">
        <f t="shared" ca="1" si="63"/>
        <v>3-5 Years</v>
      </c>
      <c r="R678">
        <f t="shared" ca="1" si="65"/>
        <v>0</v>
      </c>
      <c r="S678" t="s">
        <v>22</v>
      </c>
      <c r="T678">
        <v>3</v>
      </c>
      <c r="U678" t="s">
        <v>1394</v>
      </c>
      <c r="V678" t="s">
        <v>1394</v>
      </c>
      <c r="W678" t="s">
        <v>1394</v>
      </c>
      <c r="X678" s="3">
        <v>1</v>
      </c>
      <c r="Y678" t="s">
        <v>1397</v>
      </c>
      <c r="Z678">
        <v>47489</v>
      </c>
      <c r="AA678">
        <v>0.1</v>
      </c>
      <c r="AB678">
        <v>52237.9</v>
      </c>
    </row>
    <row r="679" spans="1:28" x14ac:dyDescent="0.35">
      <c r="A679" t="str">
        <f t="shared" si="60"/>
        <v>EMP0678</v>
      </c>
      <c r="B679" t="str" cm="1">
        <f t="array" ref="B679">_xlfn.IFS(
ROW()&lt;=421,"NA",
ROW()&lt;=781,"LATAM",
ROW()&lt;=1021,"EMEA",
TRUE,"APAC"
)</f>
        <v>LATAM</v>
      </c>
      <c r="C679" t="str">
        <f t="shared" si="61"/>
        <v>Mexico</v>
      </c>
      <c r="D679" t="s">
        <v>26</v>
      </c>
      <c r="E679" t="s">
        <v>380</v>
      </c>
      <c r="F679" t="s">
        <v>740</v>
      </c>
      <c r="G679" t="s">
        <v>28</v>
      </c>
      <c r="H679" s="2">
        <v>43892</v>
      </c>
      <c r="I679" t="s">
        <v>29</v>
      </c>
      <c r="J679" t="s">
        <v>30</v>
      </c>
      <c r="K679" t="str">
        <f t="shared" ca="1" si="64"/>
        <v>OK</v>
      </c>
      <c r="L679" t="s">
        <v>1121</v>
      </c>
      <c r="M679">
        <v>5</v>
      </c>
      <c r="N679" s="2">
        <v>46068</v>
      </c>
      <c r="O679" s="2" t="s">
        <v>22</v>
      </c>
      <c r="P679" s="4">
        <f t="shared" ca="1" si="62"/>
        <v>6</v>
      </c>
      <c r="Q679" s="4" t="str">
        <f t="shared" ca="1" si="63"/>
        <v>6-10 Years</v>
      </c>
      <c r="R679">
        <f t="shared" ca="1" si="65"/>
        <v>0</v>
      </c>
      <c r="S679" t="s">
        <v>22</v>
      </c>
      <c r="T679">
        <v>4</v>
      </c>
      <c r="U679" t="s">
        <v>1396</v>
      </c>
      <c r="V679" t="s">
        <v>1394</v>
      </c>
      <c r="W679" t="s">
        <v>1394</v>
      </c>
      <c r="X679" s="3">
        <v>3</v>
      </c>
      <c r="Y679" t="s">
        <v>1398</v>
      </c>
      <c r="Z679">
        <v>48493</v>
      </c>
      <c r="AA679">
        <v>0.1</v>
      </c>
      <c r="AB679">
        <v>53342.3</v>
      </c>
    </row>
    <row r="680" spans="1:28" x14ac:dyDescent="0.35">
      <c r="A680" t="str">
        <f t="shared" si="60"/>
        <v>EMP0679</v>
      </c>
      <c r="B680" t="str" cm="1">
        <f t="array" ref="B680">_xlfn.IFS(
ROW()&lt;=421,"NA",
ROW()&lt;=781,"LATAM",
ROW()&lt;=1021,"EMEA",
TRUE,"APAC"
)</f>
        <v>LATAM</v>
      </c>
      <c r="C680" t="str">
        <f t="shared" si="61"/>
        <v>Mexico</v>
      </c>
      <c r="D680" t="s">
        <v>41</v>
      </c>
      <c r="E680" t="s">
        <v>380</v>
      </c>
      <c r="F680" t="s">
        <v>722</v>
      </c>
      <c r="G680" t="s">
        <v>28</v>
      </c>
      <c r="H680" s="2">
        <v>43882</v>
      </c>
      <c r="I680" t="s">
        <v>29</v>
      </c>
      <c r="J680" t="s">
        <v>42</v>
      </c>
      <c r="K680" t="str">
        <f t="shared" ca="1" si="64"/>
        <v>OK</v>
      </c>
      <c r="L680" t="s">
        <v>723</v>
      </c>
      <c r="M680">
        <v>5</v>
      </c>
      <c r="N680" s="2">
        <v>46034</v>
      </c>
      <c r="O680" s="2" t="s">
        <v>22</v>
      </c>
      <c r="P680" s="4">
        <f t="shared" ca="1" si="62"/>
        <v>6</v>
      </c>
      <c r="Q680" s="4" t="str">
        <f t="shared" ca="1" si="63"/>
        <v>6-10 Years</v>
      </c>
      <c r="R680">
        <f t="shared" ca="1" si="65"/>
        <v>0</v>
      </c>
      <c r="S680" t="s">
        <v>22</v>
      </c>
      <c r="T680">
        <v>3</v>
      </c>
      <c r="U680" t="s">
        <v>1394</v>
      </c>
      <c r="V680" t="s">
        <v>1394</v>
      </c>
      <c r="W680" t="s">
        <v>1394</v>
      </c>
      <c r="X680" s="3">
        <v>2</v>
      </c>
      <c r="Y680" t="s">
        <v>1397</v>
      </c>
      <c r="Z680">
        <v>48618</v>
      </c>
      <c r="AA680">
        <v>0.1</v>
      </c>
      <c r="AB680">
        <v>53479.8</v>
      </c>
    </row>
    <row r="681" spans="1:28" x14ac:dyDescent="0.35">
      <c r="A681" t="str">
        <f t="shared" si="60"/>
        <v>EMP0680</v>
      </c>
      <c r="B681" t="str" cm="1">
        <f t="array" ref="B681">_xlfn.IFS(
ROW()&lt;=421,"NA",
ROW()&lt;=781,"LATAM",
ROW()&lt;=1021,"EMEA",
TRUE,"APAC"
)</f>
        <v>LATAM</v>
      </c>
      <c r="C681" t="str">
        <f t="shared" si="61"/>
        <v>Mexico</v>
      </c>
      <c r="D681" t="s">
        <v>32</v>
      </c>
      <c r="E681" t="s">
        <v>45</v>
      </c>
      <c r="F681" t="s">
        <v>56</v>
      </c>
      <c r="G681" t="s">
        <v>28</v>
      </c>
      <c r="H681" s="2">
        <v>43868</v>
      </c>
      <c r="I681" t="s">
        <v>29</v>
      </c>
      <c r="J681" t="s">
        <v>33</v>
      </c>
      <c r="K681" t="str">
        <f t="shared" ca="1" si="64"/>
        <v>OK</v>
      </c>
      <c r="L681" t="s">
        <v>62</v>
      </c>
      <c r="M681">
        <v>2</v>
      </c>
      <c r="N681" s="2">
        <v>46045</v>
      </c>
      <c r="O681" s="2" t="s">
        <v>22</v>
      </c>
      <c r="P681" s="4">
        <f t="shared" ca="1" si="62"/>
        <v>6</v>
      </c>
      <c r="Q681" s="4" t="str">
        <f t="shared" ca="1" si="63"/>
        <v>6-10 Years</v>
      </c>
      <c r="R681">
        <f t="shared" ca="1" si="65"/>
        <v>0</v>
      </c>
      <c r="S681" t="s">
        <v>22</v>
      </c>
      <c r="T681">
        <v>3</v>
      </c>
      <c r="U681" t="s">
        <v>1394</v>
      </c>
      <c r="V681" t="s">
        <v>1394</v>
      </c>
      <c r="W681" t="s">
        <v>1394</v>
      </c>
      <c r="X681" s="3">
        <v>2</v>
      </c>
      <c r="Y681" t="s">
        <v>1397</v>
      </c>
      <c r="Z681">
        <v>161553</v>
      </c>
      <c r="AA681">
        <v>0.25</v>
      </c>
      <c r="AB681">
        <v>201941.25</v>
      </c>
    </row>
    <row r="682" spans="1:28" x14ac:dyDescent="0.35">
      <c r="A682" t="str">
        <f t="shared" si="60"/>
        <v>EMP0681</v>
      </c>
      <c r="B682" t="str" cm="1">
        <f t="array" ref="B682">_xlfn.IFS(
ROW()&lt;=421,"NA",
ROW()&lt;=781,"LATAM",
ROW()&lt;=1021,"EMEA",
TRUE,"APAC"
)</f>
        <v>LATAM</v>
      </c>
      <c r="C682" t="str">
        <f t="shared" si="61"/>
        <v>Mexico</v>
      </c>
      <c r="D682" t="s">
        <v>44</v>
      </c>
      <c r="E682" t="s">
        <v>380</v>
      </c>
      <c r="F682" t="s">
        <v>436</v>
      </c>
      <c r="G682" t="s">
        <v>28</v>
      </c>
      <c r="H682" s="2">
        <v>43863</v>
      </c>
      <c r="I682" t="s">
        <v>29</v>
      </c>
      <c r="J682" t="s">
        <v>47</v>
      </c>
      <c r="K682" t="str">
        <f t="shared" ca="1" si="64"/>
        <v>OK</v>
      </c>
      <c r="L682" t="s">
        <v>1209</v>
      </c>
      <c r="M682">
        <v>5</v>
      </c>
      <c r="N682" s="2">
        <v>46003</v>
      </c>
      <c r="O682" s="2" t="s">
        <v>22</v>
      </c>
      <c r="P682" s="4">
        <f t="shared" ca="1" si="62"/>
        <v>6</v>
      </c>
      <c r="Q682" s="4" t="str">
        <f t="shared" ca="1" si="63"/>
        <v>6-10 Years</v>
      </c>
      <c r="R682">
        <f t="shared" ca="1" si="65"/>
        <v>0</v>
      </c>
      <c r="S682" t="s">
        <v>22</v>
      </c>
      <c r="T682">
        <v>4</v>
      </c>
      <c r="U682" t="s">
        <v>1394</v>
      </c>
      <c r="V682" t="s">
        <v>1394</v>
      </c>
      <c r="W682" t="s">
        <v>1394</v>
      </c>
      <c r="X682" s="3">
        <v>4</v>
      </c>
      <c r="Y682" t="s">
        <v>1395</v>
      </c>
      <c r="Z682">
        <v>29750</v>
      </c>
      <c r="AA682">
        <v>0.1</v>
      </c>
      <c r="AB682">
        <v>32725.000000000004</v>
      </c>
    </row>
    <row r="683" spans="1:28" x14ac:dyDescent="0.35">
      <c r="A683" t="str">
        <f t="shared" si="60"/>
        <v>EMP0682</v>
      </c>
      <c r="B683" t="str" cm="1">
        <f t="array" ref="B683">_xlfn.IFS(
ROW()&lt;=421,"NA",
ROW()&lt;=781,"LATAM",
ROW()&lt;=1021,"EMEA",
TRUE,"APAC"
)</f>
        <v>LATAM</v>
      </c>
      <c r="C683" t="str">
        <f t="shared" si="61"/>
        <v>Mexico</v>
      </c>
      <c r="D683" t="s">
        <v>32</v>
      </c>
      <c r="E683" t="s">
        <v>380</v>
      </c>
      <c r="F683" t="s">
        <v>865</v>
      </c>
      <c r="G683" t="s">
        <v>28</v>
      </c>
      <c r="H683" s="2">
        <v>43858</v>
      </c>
      <c r="I683" t="s">
        <v>29</v>
      </c>
      <c r="J683" t="s">
        <v>33</v>
      </c>
      <c r="K683" t="str">
        <f t="shared" ca="1" si="64"/>
        <v>OK</v>
      </c>
      <c r="L683" t="s">
        <v>866</v>
      </c>
      <c r="M683">
        <v>5</v>
      </c>
      <c r="N683" s="2">
        <v>46063</v>
      </c>
      <c r="O683" s="2" t="s">
        <v>22</v>
      </c>
      <c r="P683" s="4">
        <f t="shared" ca="1" si="62"/>
        <v>6</v>
      </c>
      <c r="Q683" s="4" t="str">
        <f t="shared" ca="1" si="63"/>
        <v>6-10 Years</v>
      </c>
      <c r="R683">
        <f t="shared" ca="1" si="65"/>
        <v>0</v>
      </c>
      <c r="S683" t="s">
        <v>22</v>
      </c>
      <c r="T683">
        <v>3</v>
      </c>
      <c r="U683" t="s">
        <v>1394</v>
      </c>
      <c r="V683" t="s">
        <v>1396</v>
      </c>
      <c r="W683" t="s">
        <v>1394</v>
      </c>
      <c r="X683" s="3">
        <v>2</v>
      </c>
      <c r="Y683" t="s">
        <v>1397</v>
      </c>
      <c r="Z683">
        <v>42383</v>
      </c>
      <c r="AA683">
        <v>0.1</v>
      </c>
      <c r="AB683">
        <v>46621.3</v>
      </c>
    </row>
    <row r="684" spans="1:28" x14ac:dyDescent="0.35">
      <c r="A684" t="str">
        <f t="shared" si="60"/>
        <v>EMP0683</v>
      </c>
      <c r="B684" t="str" cm="1">
        <f t="array" ref="B684">_xlfn.IFS(
ROW()&lt;=421,"NA",
ROW()&lt;=781,"LATAM",
ROW()&lt;=1021,"EMEA",
TRUE,"APAC"
)</f>
        <v>LATAM</v>
      </c>
      <c r="C684" t="str">
        <f t="shared" si="61"/>
        <v>Mexico</v>
      </c>
      <c r="D684" t="s">
        <v>44</v>
      </c>
      <c r="E684" t="s">
        <v>380</v>
      </c>
      <c r="F684" t="s">
        <v>591</v>
      </c>
      <c r="G684" t="s">
        <v>28</v>
      </c>
      <c r="H684" s="2">
        <v>43856</v>
      </c>
      <c r="I684" t="s">
        <v>29</v>
      </c>
      <c r="J684" t="s">
        <v>47</v>
      </c>
      <c r="K684" t="str">
        <f t="shared" ca="1" si="64"/>
        <v>OK</v>
      </c>
      <c r="L684" t="s">
        <v>954</v>
      </c>
      <c r="M684">
        <v>5</v>
      </c>
      <c r="N684" s="2">
        <v>46019</v>
      </c>
      <c r="O684" s="2" t="s">
        <v>22</v>
      </c>
      <c r="P684" s="4">
        <f t="shared" ca="1" si="62"/>
        <v>6</v>
      </c>
      <c r="Q684" s="4" t="str">
        <f t="shared" ca="1" si="63"/>
        <v>6-10 Years</v>
      </c>
      <c r="R684">
        <f t="shared" ca="1" si="65"/>
        <v>0</v>
      </c>
      <c r="S684" t="s">
        <v>22</v>
      </c>
      <c r="T684">
        <v>2</v>
      </c>
      <c r="U684" t="s">
        <v>1394</v>
      </c>
      <c r="V684" t="s">
        <v>1394</v>
      </c>
      <c r="W684" t="s">
        <v>1394</v>
      </c>
      <c r="X684" s="3">
        <v>1</v>
      </c>
      <c r="Y684" t="s">
        <v>1397</v>
      </c>
      <c r="Z684">
        <v>35878</v>
      </c>
      <c r="AA684">
        <v>0.1</v>
      </c>
      <c r="AB684">
        <v>39465.800000000003</v>
      </c>
    </row>
    <row r="685" spans="1:28" x14ac:dyDescent="0.35">
      <c r="A685" t="str">
        <f t="shared" si="60"/>
        <v>EMP0684</v>
      </c>
      <c r="B685" t="str" cm="1">
        <f t="array" ref="B685">_xlfn.IFS(
ROW()&lt;=421,"NA",
ROW()&lt;=781,"LATAM",
ROW()&lt;=1021,"EMEA",
TRUE,"APAC"
)</f>
        <v>LATAM</v>
      </c>
      <c r="C685" t="str">
        <f t="shared" si="61"/>
        <v>Mexico</v>
      </c>
      <c r="D685" t="s">
        <v>32</v>
      </c>
      <c r="E685" t="s">
        <v>380</v>
      </c>
      <c r="F685" t="s">
        <v>488</v>
      </c>
      <c r="G685" t="s">
        <v>28</v>
      </c>
      <c r="H685" s="2">
        <v>43856</v>
      </c>
      <c r="I685" t="s">
        <v>57</v>
      </c>
      <c r="J685" t="s">
        <v>33</v>
      </c>
      <c r="K685" t="str">
        <f t="shared" ca="1" si="64"/>
        <v>OK</v>
      </c>
      <c r="L685" t="s">
        <v>1091</v>
      </c>
      <c r="M685">
        <v>5</v>
      </c>
      <c r="N685" s="2">
        <v>46068</v>
      </c>
      <c r="O685" s="2">
        <v>45125</v>
      </c>
      <c r="P685" s="4">
        <f t="shared" ca="1" si="62"/>
        <v>3</v>
      </c>
      <c r="Q685" s="4" t="str">
        <f t="shared" ca="1" si="63"/>
        <v>3-5 Years</v>
      </c>
      <c r="R685">
        <f t="shared" ca="1" si="65"/>
        <v>0</v>
      </c>
      <c r="S685" t="s">
        <v>23</v>
      </c>
      <c r="T685">
        <v>3</v>
      </c>
      <c r="U685" t="s">
        <v>1396</v>
      </c>
      <c r="V685" t="s">
        <v>1394</v>
      </c>
      <c r="W685" t="s">
        <v>1394</v>
      </c>
      <c r="X685" s="3">
        <v>4</v>
      </c>
      <c r="Y685" t="s">
        <v>1395</v>
      </c>
      <c r="Z685">
        <v>37160</v>
      </c>
      <c r="AA685">
        <v>0.1</v>
      </c>
      <c r="AB685">
        <v>40876</v>
      </c>
    </row>
    <row r="686" spans="1:28" x14ac:dyDescent="0.35">
      <c r="A686" t="str">
        <f t="shared" si="60"/>
        <v>EMP0685</v>
      </c>
      <c r="B686" t="str" cm="1">
        <f t="array" ref="B686">_xlfn.IFS(
ROW()&lt;=421,"NA",
ROW()&lt;=781,"LATAM",
ROW()&lt;=1021,"EMEA",
TRUE,"APAC"
)</f>
        <v>LATAM</v>
      </c>
      <c r="C686" t="str">
        <f t="shared" si="61"/>
        <v>Mexico</v>
      </c>
      <c r="D686" t="s">
        <v>44</v>
      </c>
      <c r="E686" t="s">
        <v>380</v>
      </c>
      <c r="F686" t="s">
        <v>488</v>
      </c>
      <c r="G686" t="s">
        <v>28</v>
      </c>
      <c r="H686" s="2">
        <v>43849</v>
      </c>
      <c r="I686" t="s">
        <v>29</v>
      </c>
      <c r="J686" t="s">
        <v>47</v>
      </c>
      <c r="K686" t="str">
        <f t="shared" ca="1" si="64"/>
        <v>OK</v>
      </c>
      <c r="L686" t="s">
        <v>104</v>
      </c>
      <c r="M686">
        <v>5</v>
      </c>
      <c r="N686" s="2">
        <v>46062</v>
      </c>
      <c r="O686" s="2" t="s">
        <v>22</v>
      </c>
      <c r="P686" s="4">
        <f t="shared" ca="1" si="62"/>
        <v>6</v>
      </c>
      <c r="Q686" s="4" t="str">
        <f t="shared" ca="1" si="63"/>
        <v>6-10 Years</v>
      </c>
      <c r="R686">
        <f t="shared" ca="1" si="65"/>
        <v>0</v>
      </c>
      <c r="S686" t="s">
        <v>22</v>
      </c>
      <c r="T686">
        <v>3</v>
      </c>
      <c r="U686" t="s">
        <v>1396</v>
      </c>
      <c r="V686" t="s">
        <v>1394</v>
      </c>
      <c r="W686" t="s">
        <v>1394</v>
      </c>
      <c r="X686" s="3">
        <v>1</v>
      </c>
      <c r="Y686" t="s">
        <v>1397</v>
      </c>
      <c r="Z686">
        <v>29130</v>
      </c>
      <c r="AA686">
        <v>0.1</v>
      </c>
      <c r="AB686">
        <v>32043.000000000004</v>
      </c>
    </row>
    <row r="687" spans="1:28" x14ac:dyDescent="0.35">
      <c r="A687" t="str">
        <f t="shared" si="60"/>
        <v>EMP0686</v>
      </c>
      <c r="B687" t="str" cm="1">
        <f t="array" ref="B687">_xlfn.IFS(
ROW()&lt;=421,"NA",
ROW()&lt;=781,"LATAM",
ROW()&lt;=1021,"EMEA",
TRUE,"APAC"
)</f>
        <v>LATAM</v>
      </c>
      <c r="C687" t="str">
        <f t="shared" si="61"/>
        <v>Mexico</v>
      </c>
      <c r="D687" t="s">
        <v>44</v>
      </c>
      <c r="E687" t="s">
        <v>380</v>
      </c>
      <c r="F687" t="s">
        <v>698</v>
      </c>
      <c r="G687" t="s">
        <v>28</v>
      </c>
      <c r="H687" s="2">
        <v>43847</v>
      </c>
      <c r="I687" t="s">
        <v>29</v>
      </c>
      <c r="J687" t="s">
        <v>47</v>
      </c>
      <c r="K687" t="str">
        <f t="shared" ca="1" si="64"/>
        <v>OK</v>
      </c>
      <c r="L687" t="s">
        <v>699</v>
      </c>
      <c r="M687">
        <v>5</v>
      </c>
      <c r="N687" s="2">
        <v>46068</v>
      </c>
      <c r="O687" s="2" t="s">
        <v>22</v>
      </c>
      <c r="P687" s="4">
        <f t="shared" ca="1" si="62"/>
        <v>6</v>
      </c>
      <c r="Q687" s="4" t="str">
        <f t="shared" ca="1" si="63"/>
        <v>6-10 Years</v>
      </c>
      <c r="R687">
        <f t="shared" ca="1" si="65"/>
        <v>0</v>
      </c>
      <c r="S687" t="s">
        <v>22</v>
      </c>
      <c r="T687">
        <v>2</v>
      </c>
      <c r="U687" t="s">
        <v>1394</v>
      </c>
      <c r="V687" t="s">
        <v>1394</v>
      </c>
      <c r="W687" t="s">
        <v>1394</v>
      </c>
      <c r="X687" s="3">
        <v>1</v>
      </c>
      <c r="Y687" t="s">
        <v>1397</v>
      </c>
      <c r="Z687">
        <v>21240</v>
      </c>
      <c r="AA687">
        <v>0.1</v>
      </c>
      <c r="AB687">
        <v>23364.000000000004</v>
      </c>
    </row>
    <row r="688" spans="1:28" x14ac:dyDescent="0.35">
      <c r="A688" t="str">
        <f t="shared" si="60"/>
        <v>EMP0687</v>
      </c>
      <c r="B688" t="str" cm="1">
        <f t="array" ref="B688">_xlfn.IFS(
ROW()&lt;=421,"NA",
ROW()&lt;=781,"LATAM",
ROW()&lt;=1021,"EMEA",
TRUE,"APAC"
)</f>
        <v>LATAM</v>
      </c>
      <c r="C688" t="str">
        <f t="shared" si="61"/>
        <v>Mexico</v>
      </c>
      <c r="D688" t="s">
        <v>44</v>
      </c>
      <c r="E688" t="s">
        <v>380</v>
      </c>
      <c r="F688" t="s">
        <v>1065</v>
      </c>
      <c r="G688" t="s">
        <v>28</v>
      </c>
      <c r="H688" s="2">
        <v>43846</v>
      </c>
      <c r="I688" t="s">
        <v>29</v>
      </c>
      <c r="J688" t="s">
        <v>47</v>
      </c>
      <c r="K688" t="str">
        <f t="shared" ca="1" si="64"/>
        <v>OK</v>
      </c>
      <c r="L688" t="s">
        <v>678</v>
      </c>
      <c r="M688">
        <v>5</v>
      </c>
      <c r="N688" s="2">
        <v>45991</v>
      </c>
      <c r="O688" s="2" t="s">
        <v>22</v>
      </c>
      <c r="P688" s="4">
        <f t="shared" ca="1" si="62"/>
        <v>6</v>
      </c>
      <c r="Q688" s="4" t="str">
        <f t="shared" ca="1" si="63"/>
        <v>6-10 Years</v>
      </c>
      <c r="R688">
        <f t="shared" ca="1" si="65"/>
        <v>0</v>
      </c>
      <c r="S688" t="s">
        <v>22</v>
      </c>
      <c r="T688">
        <v>4</v>
      </c>
      <c r="U688" t="s">
        <v>1394</v>
      </c>
      <c r="V688" t="s">
        <v>1394</v>
      </c>
      <c r="W688" t="s">
        <v>1394</v>
      </c>
      <c r="X688" s="3">
        <v>3</v>
      </c>
      <c r="Y688" t="s">
        <v>1398</v>
      </c>
      <c r="Z688">
        <v>40612</v>
      </c>
      <c r="AA688">
        <v>0.1</v>
      </c>
      <c r="AB688">
        <v>44673.200000000004</v>
      </c>
    </row>
    <row r="689" spans="1:28" x14ac:dyDescent="0.35">
      <c r="A689" t="str">
        <f t="shared" si="60"/>
        <v>EMP0688</v>
      </c>
      <c r="B689" t="str" cm="1">
        <f t="array" ref="B689">_xlfn.IFS(
ROW()&lt;=421,"NA",
ROW()&lt;=781,"LATAM",
ROW()&lt;=1021,"EMEA",
TRUE,"APAC"
)</f>
        <v>LATAM</v>
      </c>
      <c r="C689" t="str">
        <f t="shared" si="61"/>
        <v>Mexico</v>
      </c>
      <c r="D689" t="s">
        <v>41</v>
      </c>
      <c r="E689" t="s">
        <v>380</v>
      </c>
      <c r="F689" t="s">
        <v>786</v>
      </c>
      <c r="G689" t="s">
        <v>28</v>
      </c>
      <c r="H689" s="2">
        <v>43840</v>
      </c>
      <c r="I689" t="s">
        <v>29</v>
      </c>
      <c r="J689" t="s">
        <v>42</v>
      </c>
      <c r="K689" t="str">
        <f t="shared" ca="1" si="64"/>
        <v>OK</v>
      </c>
      <c r="L689" t="s">
        <v>787</v>
      </c>
      <c r="M689">
        <v>5</v>
      </c>
      <c r="N689" s="2">
        <v>45997</v>
      </c>
      <c r="O689" s="2" t="s">
        <v>22</v>
      </c>
      <c r="P689" s="4">
        <f t="shared" ca="1" si="62"/>
        <v>6</v>
      </c>
      <c r="Q689" s="4" t="str">
        <f t="shared" ca="1" si="63"/>
        <v>6-10 Years</v>
      </c>
      <c r="R689">
        <f t="shared" ca="1" si="65"/>
        <v>0</v>
      </c>
      <c r="S689" t="s">
        <v>22</v>
      </c>
      <c r="T689">
        <v>3</v>
      </c>
      <c r="U689" t="s">
        <v>1394</v>
      </c>
      <c r="V689" t="s">
        <v>1394</v>
      </c>
      <c r="W689" t="s">
        <v>1394</v>
      </c>
      <c r="X689" s="3">
        <v>1</v>
      </c>
      <c r="Y689" t="s">
        <v>1397</v>
      </c>
      <c r="Z689">
        <v>44263</v>
      </c>
      <c r="AA689">
        <v>0.1</v>
      </c>
      <c r="AB689">
        <v>48689.3</v>
      </c>
    </row>
    <row r="690" spans="1:28" x14ac:dyDescent="0.35">
      <c r="A690" t="str">
        <f t="shared" si="60"/>
        <v>EMP0689</v>
      </c>
      <c r="B690" t="str" cm="1">
        <f t="array" ref="B690">_xlfn.IFS(
ROW()&lt;=421,"NA",
ROW()&lt;=781,"LATAM",
ROW()&lt;=1021,"EMEA",
TRUE,"APAC"
)</f>
        <v>LATAM</v>
      </c>
      <c r="C690" t="str">
        <f t="shared" si="61"/>
        <v>Mexico</v>
      </c>
      <c r="D690" t="s">
        <v>41</v>
      </c>
      <c r="E690" t="s">
        <v>380</v>
      </c>
      <c r="F690" t="s">
        <v>424</v>
      </c>
      <c r="G690" t="s">
        <v>28</v>
      </c>
      <c r="H690" s="2">
        <v>43837</v>
      </c>
      <c r="I690" t="s">
        <v>29</v>
      </c>
      <c r="J690" t="s">
        <v>42</v>
      </c>
      <c r="K690" t="str">
        <f t="shared" ca="1" si="64"/>
        <v>OK</v>
      </c>
      <c r="L690" t="s">
        <v>869</v>
      </c>
      <c r="M690">
        <v>5</v>
      </c>
      <c r="N690" s="2">
        <v>46025</v>
      </c>
      <c r="O690" s="2" t="s">
        <v>22</v>
      </c>
      <c r="P690" s="4">
        <f t="shared" ca="1" si="62"/>
        <v>6</v>
      </c>
      <c r="Q690" s="4" t="str">
        <f t="shared" ca="1" si="63"/>
        <v>6-10 Years</v>
      </c>
      <c r="R690">
        <f t="shared" ca="1" si="65"/>
        <v>0</v>
      </c>
      <c r="S690" t="s">
        <v>22</v>
      </c>
      <c r="T690">
        <v>3</v>
      </c>
      <c r="U690" t="s">
        <v>1394</v>
      </c>
      <c r="V690" t="s">
        <v>1394</v>
      </c>
      <c r="W690" t="s">
        <v>1394</v>
      </c>
      <c r="X690" s="3">
        <v>2</v>
      </c>
      <c r="Y690" t="s">
        <v>1397</v>
      </c>
      <c r="Z690">
        <v>48421</v>
      </c>
      <c r="AA690">
        <v>0.1</v>
      </c>
      <c r="AB690">
        <v>53263.100000000006</v>
      </c>
    </row>
    <row r="691" spans="1:28" x14ac:dyDescent="0.35">
      <c r="A691" t="str">
        <f t="shared" si="60"/>
        <v>EMP0690</v>
      </c>
      <c r="B691" t="str" cm="1">
        <f t="array" ref="B691">_xlfn.IFS(
ROW()&lt;=421,"NA",
ROW()&lt;=781,"LATAM",
ROW()&lt;=1021,"EMEA",
TRUE,"APAC"
)</f>
        <v>LATAM</v>
      </c>
      <c r="C691" t="str">
        <f t="shared" si="61"/>
        <v>Mexico</v>
      </c>
      <c r="D691" t="s">
        <v>44</v>
      </c>
      <c r="E691" t="s">
        <v>380</v>
      </c>
      <c r="F691" t="s">
        <v>545</v>
      </c>
      <c r="G691" t="s">
        <v>28</v>
      </c>
      <c r="H691" s="2">
        <v>43833</v>
      </c>
      <c r="I691" t="s">
        <v>29</v>
      </c>
      <c r="J691" t="s">
        <v>47</v>
      </c>
      <c r="K691" t="str">
        <f t="shared" ca="1" si="64"/>
        <v>OK</v>
      </c>
      <c r="L691" t="s">
        <v>1388</v>
      </c>
      <c r="M691">
        <v>5</v>
      </c>
      <c r="N691" s="2">
        <v>46049</v>
      </c>
      <c r="O691" s="2" t="s">
        <v>22</v>
      </c>
      <c r="P691" s="4">
        <f t="shared" ca="1" si="62"/>
        <v>6</v>
      </c>
      <c r="Q691" s="4" t="str">
        <f t="shared" ca="1" si="63"/>
        <v>6-10 Years</v>
      </c>
      <c r="R691">
        <f t="shared" ca="1" si="65"/>
        <v>0</v>
      </c>
      <c r="S691" t="s">
        <v>22</v>
      </c>
      <c r="T691">
        <v>3</v>
      </c>
      <c r="U691" t="s">
        <v>1396</v>
      </c>
      <c r="V691" t="s">
        <v>1394</v>
      </c>
      <c r="W691" t="s">
        <v>1394</v>
      </c>
      <c r="X691" s="3">
        <v>2</v>
      </c>
      <c r="Y691" t="s">
        <v>1397</v>
      </c>
      <c r="Z691">
        <v>42941</v>
      </c>
      <c r="AA691">
        <v>0.1</v>
      </c>
      <c r="AB691">
        <v>47235.100000000006</v>
      </c>
    </row>
    <row r="692" spans="1:28" x14ac:dyDescent="0.35">
      <c r="A692" t="str">
        <f t="shared" si="60"/>
        <v>EMP0691</v>
      </c>
      <c r="B692" t="str" cm="1">
        <f t="array" ref="B692">_xlfn.IFS(
ROW()&lt;=421,"NA",
ROW()&lt;=781,"LATAM",
ROW()&lt;=1021,"EMEA",
TRUE,"APAC"
)</f>
        <v>LATAM</v>
      </c>
      <c r="C692" t="str">
        <f t="shared" si="61"/>
        <v>Mexico</v>
      </c>
      <c r="D692" t="s">
        <v>26</v>
      </c>
      <c r="E692" t="s">
        <v>380</v>
      </c>
      <c r="F692" t="s">
        <v>406</v>
      </c>
      <c r="G692" t="s">
        <v>28</v>
      </c>
      <c r="H692" s="2">
        <v>43832</v>
      </c>
      <c r="I692" t="s">
        <v>29</v>
      </c>
      <c r="J692" t="s">
        <v>30</v>
      </c>
      <c r="K692" t="str">
        <f t="shared" ca="1" si="64"/>
        <v>OK</v>
      </c>
      <c r="L692" t="s">
        <v>951</v>
      </c>
      <c r="M692">
        <v>5</v>
      </c>
      <c r="N692" s="2">
        <v>46028</v>
      </c>
      <c r="O692" s="2" t="s">
        <v>22</v>
      </c>
      <c r="P692" s="4">
        <f t="shared" ca="1" si="62"/>
        <v>6</v>
      </c>
      <c r="Q692" s="4" t="str">
        <f t="shared" ca="1" si="63"/>
        <v>6-10 Years</v>
      </c>
      <c r="R692">
        <f t="shared" ca="1" si="65"/>
        <v>0</v>
      </c>
      <c r="S692" t="s">
        <v>22</v>
      </c>
      <c r="T692">
        <v>5</v>
      </c>
      <c r="U692" t="s">
        <v>1396</v>
      </c>
      <c r="V692" t="s">
        <v>1394</v>
      </c>
      <c r="W692" t="s">
        <v>1394</v>
      </c>
      <c r="X692" s="3">
        <v>1</v>
      </c>
      <c r="Y692" t="s">
        <v>1397</v>
      </c>
      <c r="Z692">
        <v>38490</v>
      </c>
      <c r="AA692">
        <v>0.1</v>
      </c>
      <c r="AB692">
        <v>42339</v>
      </c>
    </row>
    <row r="693" spans="1:28" x14ac:dyDescent="0.35">
      <c r="A693" t="str">
        <f t="shared" si="60"/>
        <v>EMP0692</v>
      </c>
      <c r="B693" t="str" cm="1">
        <f t="array" ref="B693">_xlfn.IFS(
ROW()&lt;=421,"NA",
ROW()&lt;=781,"LATAM",
ROW()&lt;=1021,"EMEA",
TRUE,"APAC"
)</f>
        <v>LATAM</v>
      </c>
      <c r="C693" t="str">
        <f t="shared" si="61"/>
        <v>Mexico</v>
      </c>
      <c r="D693" t="s">
        <v>44</v>
      </c>
      <c r="E693" t="s">
        <v>380</v>
      </c>
      <c r="F693" t="s">
        <v>803</v>
      </c>
      <c r="G693" t="s">
        <v>28</v>
      </c>
      <c r="H693" s="2">
        <v>43826</v>
      </c>
      <c r="I693" t="s">
        <v>29</v>
      </c>
      <c r="J693" t="s">
        <v>47</v>
      </c>
      <c r="K693" t="str">
        <f t="shared" ca="1" si="64"/>
        <v>OK</v>
      </c>
      <c r="L693" t="s">
        <v>804</v>
      </c>
      <c r="M693">
        <v>5</v>
      </c>
      <c r="N693" s="2">
        <v>46057</v>
      </c>
      <c r="O693" s="2" t="s">
        <v>22</v>
      </c>
      <c r="P693" s="4">
        <f t="shared" ca="1" si="62"/>
        <v>6</v>
      </c>
      <c r="Q693" s="4" t="str">
        <f t="shared" ca="1" si="63"/>
        <v>6-10 Years</v>
      </c>
      <c r="R693">
        <f t="shared" ca="1" si="65"/>
        <v>0</v>
      </c>
      <c r="S693" t="s">
        <v>22</v>
      </c>
      <c r="T693">
        <v>3</v>
      </c>
      <c r="U693" t="s">
        <v>1396</v>
      </c>
      <c r="V693" t="s">
        <v>1396</v>
      </c>
      <c r="W693" t="s">
        <v>1394</v>
      </c>
      <c r="X693" s="3">
        <v>4</v>
      </c>
      <c r="Y693" t="s">
        <v>1395</v>
      </c>
      <c r="Z693">
        <v>47135</v>
      </c>
      <c r="AA693">
        <v>0.1</v>
      </c>
      <c r="AB693">
        <v>51848.500000000007</v>
      </c>
    </row>
    <row r="694" spans="1:28" x14ac:dyDescent="0.35">
      <c r="A694" t="str">
        <f t="shared" si="60"/>
        <v>EMP0693</v>
      </c>
      <c r="B694" t="str" cm="1">
        <f t="array" ref="B694">_xlfn.IFS(
ROW()&lt;=421,"NA",
ROW()&lt;=781,"LATAM",
ROW()&lt;=1021,"EMEA",
TRUE,"APAC"
)</f>
        <v>LATAM</v>
      </c>
      <c r="C694" t="str">
        <f t="shared" si="61"/>
        <v>Mexico</v>
      </c>
      <c r="D694" t="s">
        <v>35</v>
      </c>
      <c r="E694" t="s">
        <v>380</v>
      </c>
      <c r="F694" t="s">
        <v>625</v>
      </c>
      <c r="G694" t="s">
        <v>28</v>
      </c>
      <c r="H694" s="2">
        <v>43825</v>
      </c>
      <c r="I694" t="s">
        <v>57</v>
      </c>
      <c r="J694" t="s">
        <v>36</v>
      </c>
      <c r="K694" t="str">
        <f t="shared" ca="1" si="64"/>
        <v>OK</v>
      </c>
      <c r="L694" t="s">
        <v>682</v>
      </c>
      <c r="M694">
        <v>5</v>
      </c>
      <c r="N694" s="2">
        <v>46048</v>
      </c>
      <c r="O694" s="2">
        <v>46071</v>
      </c>
      <c r="P694" s="4">
        <f t="shared" ca="1" si="62"/>
        <v>6</v>
      </c>
      <c r="Q694" s="4" t="str">
        <f t="shared" ca="1" si="63"/>
        <v>6-10 Years</v>
      </c>
      <c r="R694">
        <f t="shared" ca="1" si="65"/>
        <v>0</v>
      </c>
      <c r="S694" t="s">
        <v>24</v>
      </c>
      <c r="T694">
        <v>4</v>
      </c>
      <c r="U694" t="s">
        <v>1394</v>
      </c>
      <c r="V694" t="s">
        <v>1394</v>
      </c>
      <c r="W694" t="s">
        <v>1394</v>
      </c>
      <c r="X694" s="3">
        <v>3</v>
      </c>
      <c r="Y694" t="s">
        <v>1398</v>
      </c>
      <c r="Z694">
        <v>21209</v>
      </c>
      <c r="AA694">
        <v>0.1</v>
      </c>
      <c r="AB694">
        <v>23329.9</v>
      </c>
    </row>
    <row r="695" spans="1:28" x14ac:dyDescent="0.35">
      <c r="A695" t="str">
        <f t="shared" si="60"/>
        <v>EMP0694</v>
      </c>
      <c r="B695" t="str" cm="1">
        <f t="array" ref="B695">_xlfn.IFS(
ROW()&lt;=421,"NA",
ROW()&lt;=781,"LATAM",
ROW()&lt;=1021,"EMEA",
TRUE,"APAC"
)</f>
        <v>LATAM</v>
      </c>
      <c r="C695" t="str">
        <f t="shared" si="61"/>
        <v>Mexico</v>
      </c>
      <c r="D695" t="s">
        <v>38</v>
      </c>
      <c r="E695" t="s">
        <v>380</v>
      </c>
      <c r="F695" t="s">
        <v>589</v>
      </c>
      <c r="G695" t="s">
        <v>28</v>
      </c>
      <c r="H695" s="2">
        <v>43824</v>
      </c>
      <c r="I695" t="s">
        <v>29</v>
      </c>
      <c r="J695" t="s">
        <v>39</v>
      </c>
      <c r="K695" t="str">
        <f t="shared" ca="1" si="64"/>
        <v>OK</v>
      </c>
      <c r="L695" t="s">
        <v>620</v>
      </c>
      <c r="M695">
        <v>5</v>
      </c>
      <c r="N695" s="2">
        <v>45994</v>
      </c>
      <c r="O695" s="2" t="s">
        <v>22</v>
      </c>
      <c r="P695" s="4">
        <f t="shared" ca="1" si="62"/>
        <v>6</v>
      </c>
      <c r="Q695" s="4" t="str">
        <f t="shared" ca="1" si="63"/>
        <v>6-10 Years</v>
      </c>
      <c r="R695">
        <f t="shared" ca="1" si="65"/>
        <v>0</v>
      </c>
      <c r="S695" t="s">
        <v>22</v>
      </c>
      <c r="T695">
        <v>3</v>
      </c>
      <c r="U695" t="s">
        <v>1394</v>
      </c>
      <c r="V695" t="s">
        <v>1394</v>
      </c>
      <c r="W695" t="s">
        <v>1394</v>
      </c>
      <c r="X695" s="3">
        <v>5</v>
      </c>
      <c r="Y695" t="s">
        <v>1395</v>
      </c>
      <c r="Z695">
        <v>35589</v>
      </c>
      <c r="AA695">
        <v>0.1</v>
      </c>
      <c r="AB695">
        <v>39147.9</v>
      </c>
    </row>
    <row r="696" spans="1:28" x14ac:dyDescent="0.35">
      <c r="A696" t="str">
        <f t="shared" si="60"/>
        <v>EMP0695</v>
      </c>
      <c r="B696" t="str" cm="1">
        <f t="array" ref="B696">_xlfn.IFS(
ROW()&lt;=421,"NA",
ROW()&lt;=781,"LATAM",
ROW()&lt;=1021,"EMEA",
TRUE,"APAC"
)</f>
        <v>LATAM</v>
      </c>
      <c r="C696" t="str">
        <f t="shared" si="61"/>
        <v>Mexico</v>
      </c>
      <c r="D696" t="s">
        <v>32</v>
      </c>
      <c r="E696" t="s">
        <v>380</v>
      </c>
      <c r="F696" t="s">
        <v>895</v>
      </c>
      <c r="G696" t="s">
        <v>28</v>
      </c>
      <c r="H696" s="2">
        <v>43823</v>
      </c>
      <c r="I696" t="s">
        <v>29</v>
      </c>
      <c r="J696" t="s">
        <v>33</v>
      </c>
      <c r="K696" t="str">
        <f t="shared" ca="1" si="64"/>
        <v>OK</v>
      </c>
      <c r="L696" t="s">
        <v>911</v>
      </c>
      <c r="M696">
        <v>5</v>
      </c>
      <c r="N696" s="2">
        <v>45989</v>
      </c>
      <c r="O696" s="2" t="s">
        <v>22</v>
      </c>
      <c r="P696" s="4">
        <f t="shared" ca="1" si="62"/>
        <v>6</v>
      </c>
      <c r="Q696" s="4" t="str">
        <f t="shared" ca="1" si="63"/>
        <v>6-10 Years</v>
      </c>
      <c r="R696">
        <f t="shared" ca="1" si="65"/>
        <v>0</v>
      </c>
      <c r="S696" t="s">
        <v>22</v>
      </c>
      <c r="T696">
        <v>3</v>
      </c>
      <c r="U696" t="s">
        <v>1394</v>
      </c>
      <c r="V696" t="s">
        <v>1394</v>
      </c>
      <c r="W696" t="s">
        <v>1394</v>
      </c>
      <c r="X696" s="3">
        <v>3</v>
      </c>
      <c r="Y696" t="s">
        <v>1398</v>
      </c>
      <c r="Z696">
        <v>31717</v>
      </c>
      <c r="AA696">
        <v>0.1</v>
      </c>
      <c r="AB696">
        <v>34888.700000000004</v>
      </c>
    </row>
    <row r="697" spans="1:28" x14ac:dyDescent="0.35">
      <c r="A697" t="str">
        <f t="shared" si="60"/>
        <v>EMP0696</v>
      </c>
      <c r="B697" t="str" cm="1">
        <f t="array" ref="B697">_xlfn.IFS(
ROW()&lt;=421,"NA",
ROW()&lt;=781,"LATAM",
ROW()&lt;=1021,"EMEA",
TRUE,"APAC"
)</f>
        <v>LATAM</v>
      </c>
      <c r="C697" t="str">
        <f t="shared" si="61"/>
        <v>Mexico</v>
      </c>
      <c r="D697" t="s">
        <v>41</v>
      </c>
      <c r="E697" t="s">
        <v>380</v>
      </c>
      <c r="F697" t="s">
        <v>621</v>
      </c>
      <c r="G697" t="s">
        <v>28</v>
      </c>
      <c r="H697" s="2">
        <v>43807</v>
      </c>
      <c r="I697" t="s">
        <v>29</v>
      </c>
      <c r="J697" t="s">
        <v>42</v>
      </c>
      <c r="K697" t="str">
        <f t="shared" ca="1" si="64"/>
        <v>OK</v>
      </c>
      <c r="L697" t="s">
        <v>622</v>
      </c>
      <c r="M697">
        <v>5</v>
      </c>
      <c r="N697" s="2">
        <v>46073</v>
      </c>
      <c r="O697" s="2" t="s">
        <v>22</v>
      </c>
      <c r="P697" s="4">
        <f t="shared" ca="1" si="62"/>
        <v>6</v>
      </c>
      <c r="Q697" s="4" t="str">
        <f t="shared" ca="1" si="63"/>
        <v>6-10 Years</v>
      </c>
      <c r="R697">
        <f t="shared" ca="1" si="65"/>
        <v>0</v>
      </c>
      <c r="S697" t="s">
        <v>22</v>
      </c>
      <c r="T697">
        <v>3</v>
      </c>
      <c r="U697" t="s">
        <v>1394</v>
      </c>
      <c r="V697" t="s">
        <v>1394</v>
      </c>
      <c r="W697" t="s">
        <v>1394</v>
      </c>
      <c r="X697" s="3">
        <v>3</v>
      </c>
      <c r="Y697" t="s">
        <v>1398</v>
      </c>
      <c r="Z697">
        <v>22670</v>
      </c>
      <c r="AA697">
        <v>0.1</v>
      </c>
      <c r="AB697">
        <v>24937.000000000004</v>
      </c>
    </row>
    <row r="698" spans="1:28" x14ac:dyDescent="0.35">
      <c r="A698" t="str">
        <f t="shared" si="60"/>
        <v>EMP0697</v>
      </c>
      <c r="B698" t="str" cm="1">
        <f t="array" ref="B698">_xlfn.IFS(
ROW()&lt;=421,"NA",
ROW()&lt;=781,"LATAM",
ROW()&lt;=1021,"EMEA",
TRUE,"APAC"
)</f>
        <v>LATAM</v>
      </c>
      <c r="C698" t="str">
        <f t="shared" si="61"/>
        <v>Mexico</v>
      </c>
      <c r="D698" t="s">
        <v>35</v>
      </c>
      <c r="E698" t="s">
        <v>69</v>
      </c>
      <c r="F698" t="s">
        <v>91</v>
      </c>
      <c r="G698" t="s">
        <v>28</v>
      </c>
      <c r="H698" s="2">
        <v>43804</v>
      </c>
      <c r="I698" t="s">
        <v>29</v>
      </c>
      <c r="J698" t="s">
        <v>36</v>
      </c>
      <c r="K698" t="str">
        <f t="shared" ca="1" si="64"/>
        <v>OK</v>
      </c>
      <c r="L698" t="s">
        <v>92</v>
      </c>
      <c r="M698">
        <v>3</v>
      </c>
      <c r="N698" s="2">
        <v>46014</v>
      </c>
      <c r="O698" s="2" t="s">
        <v>22</v>
      </c>
      <c r="P698" s="4">
        <f t="shared" ca="1" si="62"/>
        <v>6</v>
      </c>
      <c r="Q698" s="4" t="str">
        <f t="shared" ca="1" si="63"/>
        <v>6-10 Years</v>
      </c>
      <c r="R698">
        <f t="shared" ca="1" si="65"/>
        <v>0</v>
      </c>
      <c r="S698" t="s">
        <v>22</v>
      </c>
      <c r="T698">
        <v>3</v>
      </c>
      <c r="U698" t="s">
        <v>1396</v>
      </c>
      <c r="V698" t="s">
        <v>1396</v>
      </c>
      <c r="W698" t="s">
        <v>1394</v>
      </c>
      <c r="X698" s="3">
        <v>3</v>
      </c>
      <c r="Y698" t="s">
        <v>1398</v>
      </c>
      <c r="Z698">
        <v>107690</v>
      </c>
      <c r="AA698">
        <v>0.2</v>
      </c>
      <c r="AB698">
        <v>129228</v>
      </c>
    </row>
    <row r="699" spans="1:28" x14ac:dyDescent="0.35">
      <c r="A699" t="str">
        <f t="shared" si="60"/>
        <v>EMP0698</v>
      </c>
      <c r="B699" t="str" cm="1">
        <f t="array" ref="B699">_xlfn.IFS(
ROW()&lt;=421,"NA",
ROW()&lt;=781,"LATAM",
ROW()&lt;=1021,"EMEA",
TRUE,"APAC"
)</f>
        <v>LATAM</v>
      </c>
      <c r="C699" t="str">
        <f t="shared" si="61"/>
        <v>Mexico</v>
      </c>
      <c r="D699" t="s">
        <v>26</v>
      </c>
      <c r="E699" t="s">
        <v>380</v>
      </c>
      <c r="F699" t="s">
        <v>579</v>
      </c>
      <c r="G699" t="s">
        <v>28</v>
      </c>
      <c r="H699" s="2">
        <v>43790</v>
      </c>
      <c r="I699" t="s">
        <v>29</v>
      </c>
      <c r="J699" t="s">
        <v>30</v>
      </c>
      <c r="K699" t="str">
        <f t="shared" ca="1" si="64"/>
        <v>OK</v>
      </c>
      <c r="L699" t="s">
        <v>652</v>
      </c>
      <c r="M699">
        <v>5</v>
      </c>
      <c r="N699" s="2">
        <v>46062</v>
      </c>
      <c r="O699" s="2" t="s">
        <v>22</v>
      </c>
      <c r="P699" s="4">
        <f t="shared" ca="1" si="62"/>
        <v>6</v>
      </c>
      <c r="Q699" s="4" t="str">
        <f t="shared" ca="1" si="63"/>
        <v>6-10 Years</v>
      </c>
      <c r="R699">
        <f t="shared" ca="1" si="65"/>
        <v>0</v>
      </c>
      <c r="S699" t="s">
        <v>22</v>
      </c>
      <c r="T699">
        <v>3</v>
      </c>
      <c r="U699" t="s">
        <v>1394</v>
      </c>
      <c r="V699" t="s">
        <v>1394</v>
      </c>
      <c r="W699" t="s">
        <v>1394</v>
      </c>
      <c r="X699" s="3">
        <v>2</v>
      </c>
      <c r="Y699" t="s">
        <v>1397</v>
      </c>
      <c r="Z699">
        <v>24923</v>
      </c>
      <c r="AA699">
        <v>0.1</v>
      </c>
      <c r="AB699">
        <v>27415.300000000003</v>
      </c>
    </row>
    <row r="700" spans="1:28" x14ac:dyDescent="0.35">
      <c r="A700" t="str">
        <f t="shared" si="60"/>
        <v>EMP0699</v>
      </c>
      <c r="B700" t="str" cm="1">
        <f t="array" ref="B700">_xlfn.IFS(
ROW()&lt;=421,"NA",
ROW()&lt;=781,"LATAM",
ROW()&lt;=1021,"EMEA",
TRUE,"APAC"
)</f>
        <v>LATAM</v>
      </c>
      <c r="C700" t="str">
        <f t="shared" si="61"/>
        <v>Mexico</v>
      </c>
      <c r="D700" t="s">
        <v>41</v>
      </c>
      <c r="E700" t="s">
        <v>380</v>
      </c>
      <c r="F700" t="s">
        <v>782</v>
      </c>
      <c r="G700" t="s">
        <v>28</v>
      </c>
      <c r="H700" s="2">
        <v>43790</v>
      </c>
      <c r="I700" t="s">
        <v>29</v>
      </c>
      <c r="J700" t="s">
        <v>42</v>
      </c>
      <c r="K700" t="str">
        <f t="shared" ca="1" si="64"/>
        <v>OK</v>
      </c>
      <c r="L700" t="s">
        <v>1059</v>
      </c>
      <c r="M700">
        <v>5</v>
      </c>
      <c r="N700" s="2">
        <v>46052</v>
      </c>
      <c r="O700" s="2" t="s">
        <v>22</v>
      </c>
      <c r="P700" s="4">
        <f t="shared" ca="1" si="62"/>
        <v>6</v>
      </c>
      <c r="Q700" s="4" t="str">
        <f t="shared" ca="1" si="63"/>
        <v>6-10 Years</v>
      </c>
      <c r="R700">
        <f t="shared" ca="1" si="65"/>
        <v>0</v>
      </c>
      <c r="S700" t="s">
        <v>22</v>
      </c>
      <c r="T700">
        <v>4</v>
      </c>
      <c r="U700" t="s">
        <v>1394</v>
      </c>
      <c r="V700" t="s">
        <v>1394</v>
      </c>
      <c r="W700" t="s">
        <v>1394</v>
      </c>
      <c r="X700" s="3">
        <v>1</v>
      </c>
      <c r="Y700" t="s">
        <v>1397</v>
      </c>
      <c r="Z700">
        <v>45825</v>
      </c>
      <c r="AA700">
        <v>0.1</v>
      </c>
      <c r="AB700">
        <v>50407.500000000007</v>
      </c>
    </row>
    <row r="701" spans="1:28" x14ac:dyDescent="0.35">
      <c r="A701" t="str">
        <f t="shared" si="60"/>
        <v>EMP0700</v>
      </c>
      <c r="B701" t="str" cm="1">
        <f t="array" ref="B701">_xlfn.IFS(
ROW()&lt;=421,"NA",
ROW()&lt;=781,"LATAM",
ROW()&lt;=1021,"EMEA",
TRUE,"APAC"
)</f>
        <v>LATAM</v>
      </c>
      <c r="C701" t="str">
        <f t="shared" si="61"/>
        <v>Mexico</v>
      </c>
      <c r="D701" t="s">
        <v>32</v>
      </c>
      <c r="E701" t="s">
        <v>380</v>
      </c>
      <c r="F701" t="s">
        <v>786</v>
      </c>
      <c r="G701" t="s">
        <v>28</v>
      </c>
      <c r="H701" s="2">
        <v>43785</v>
      </c>
      <c r="I701" t="s">
        <v>29</v>
      </c>
      <c r="J701" t="s">
        <v>33</v>
      </c>
      <c r="K701" t="str">
        <f t="shared" ca="1" si="64"/>
        <v>OK</v>
      </c>
      <c r="L701" t="s">
        <v>956</v>
      </c>
      <c r="M701">
        <v>5</v>
      </c>
      <c r="N701" s="2">
        <v>46064</v>
      </c>
      <c r="O701" s="2" t="s">
        <v>22</v>
      </c>
      <c r="P701" s="4">
        <f t="shared" ca="1" si="62"/>
        <v>6</v>
      </c>
      <c r="Q701" s="4" t="str">
        <f t="shared" ca="1" si="63"/>
        <v>6-10 Years</v>
      </c>
      <c r="R701">
        <f t="shared" ca="1" si="65"/>
        <v>0</v>
      </c>
      <c r="S701" t="s">
        <v>22</v>
      </c>
      <c r="T701">
        <v>4</v>
      </c>
      <c r="U701" t="s">
        <v>1394</v>
      </c>
      <c r="V701" t="s">
        <v>1394</v>
      </c>
      <c r="W701" t="s">
        <v>1394</v>
      </c>
      <c r="X701" s="3">
        <v>5</v>
      </c>
      <c r="Y701" t="s">
        <v>1395</v>
      </c>
      <c r="Z701">
        <v>38431</v>
      </c>
      <c r="AA701">
        <v>0.1</v>
      </c>
      <c r="AB701">
        <v>42274.100000000006</v>
      </c>
    </row>
    <row r="702" spans="1:28" x14ac:dyDescent="0.35">
      <c r="A702" t="str">
        <f t="shared" si="60"/>
        <v>EMP0701</v>
      </c>
      <c r="B702" t="str" cm="1">
        <f t="array" ref="B702">_xlfn.IFS(
ROW()&lt;=421,"NA",
ROW()&lt;=781,"LATAM",
ROW()&lt;=1021,"EMEA",
TRUE,"APAC"
)</f>
        <v>LATAM</v>
      </c>
      <c r="C702" t="str">
        <f t="shared" si="61"/>
        <v>Mexico</v>
      </c>
      <c r="D702" t="s">
        <v>38</v>
      </c>
      <c r="E702" t="s">
        <v>380</v>
      </c>
      <c r="F702" t="s">
        <v>514</v>
      </c>
      <c r="G702" t="s">
        <v>28</v>
      </c>
      <c r="H702" s="2">
        <v>43784</v>
      </c>
      <c r="I702" t="s">
        <v>29</v>
      </c>
      <c r="J702" t="s">
        <v>39</v>
      </c>
      <c r="K702" t="str">
        <f t="shared" ca="1" si="64"/>
        <v>OK</v>
      </c>
      <c r="L702" t="s">
        <v>907</v>
      </c>
      <c r="M702">
        <v>5</v>
      </c>
      <c r="N702" s="2">
        <v>46059</v>
      </c>
      <c r="O702" s="2" t="s">
        <v>22</v>
      </c>
      <c r="P702" s="4">
        <f t="shared" ca="1" si="62"/>
        <v>6</v>
      </c>
      <c r="Q702" s="4" t="str">
        <f t="shared" ca="1" si="63"/>
        <v>6-10 Years</v>
      </c>
      <c r="R702">
        <f t="shared" ca="1" si="65"/>
        <v>0</v>
      </c>
      <c r="S702" t="s">
        <v>22</v>
      </c>
      <c r="T702">
        <v>4</v>
      </c>
      <c r="U702" t="s">
        <v>1394</v>
      </c>
      <c r="V702" t="s">
        <v>1394</v>
      </c>
      <c r="W702" t="s">
        <v>1394</v>
      </c>
      <c r="X702" s="3">
        <v>2</v>
      </c>
      <c r="Y702" t="s">
        <v>1397</v>
      </c>
      <c r="Z702">
        <v>42614</v>
      </c>
      <c r="AA702">
        <v>0.1</v>
      </c>
      <c r="AB702">
        <v>46875.4</v>
      </c>
    </row>
    <row r="703" spans="1:28" x14ac:dyDescent="0.35">
      <c r="A703" t="str">
        <f t="shared" si="60"/>
        <v>EMP0702</v>
      </c>
      <c r="B703" t="str" cm="1">
        <f t="array" ref="B703">_xlfn.IFS(
ROW()&lt;=421,"NA",
ROW()&lt;=781,"LATAM",
ROW()&lt;=1021,"EMEA",
TRUE,"APAC"
)</f>
        <v>LATAM</v>
      </c>
      <c r="C703" t="str">
        <f t="shared" si="61"/>
        <v>Mexico</v>
      </c>
      <c r="D703" t="s">
        <v>38</v>
      </c>
      <c r="E703" t="s">
        <v>380</v>
      </c>
      <c r="F703" t="s">
        <v>566</v>
      </c>
      <c r="G703" t="s">
        <v>28</v>
      </c>
      <c r="H703" s="2">
        <v>43784</v>
      </c>
      <c r="I703" t="s">
        <v>29</v>
      </c>
      <c r="J703" t="s">
        <v>39</v>
      </c>
      <c r="K703" t="str">
        <f t="shared" ca="1" si="64"/>
        <v>OK</v>
      </c>
      <c r="L703" t="s">
        <v>1291</v>
      </c>
      <c r="M703">
        <v>5</v>
      </c>
      <c r="N703" s="2">
        <v>46020</v>
      </c>
      <c r="O703" s="2" t="s">
        <v>22</v>
      </c>
      <c r="P703" s="4">
        <f t="shared" ca="1" si="62"/>
        <v>6</v>
      </c>
      <c r="Q703" s="4" t="str">
        <f t="shared" ca="1" si="63"/>
        <v>6-10 Years</v>
      </c>
      <c r="R703">
        <f t="shared" ca="1" si="65"/>
        <v>0</v>
      </c>
      <c r="S703" t="s">
        <v>22</v>
      </c>
      <c r="T703">
        <v>3</v>
      </c>
      <c r="U703" t="s">
        <v>1396</v>
      </c>
      <c r="V703" t="s">
        <v>1394</v>
      </c>
      <c r="W703" t="s">
        <v>1394</v>
      </c>
      <c r="X703" s="3">
        <v>1</v>
      </c>
      <c r="Y703" t="s">
        <v>1397</v>
      </c>
      <c r="Z703">
        <v>46797</v>
      </c>
      <c r="AA703">
        <v>0.1</v>
      </c>
      <c r="AB703">
        <v>51476.700000000004</v>
      </c>
    </row>
    <row r="704" spans="1:28" x14ac:dyDescent="0.35">
      <c r="A704" t="str">
        <f t="shared" si="60"/>
        <v>EMP0703</v>
      </c>
      <c r="B704" t="str" cm="1">
        <f t="array" ref="B704">_xlfn.IFS(
ROW()&lt;=421,"NA",
ROW()&lt;=781,"LATAM",
ROW()&lt;=1021,"EMEA",
TRUE,"APAC"
)</f>
        <v>LATAM</v>
      </c>
      <c r="C704" t="str">
        <f t="shared" si="61"/>
        <v>Mexico</v>
      </c>
      <c r="D704" t="s">
        <v>44</v>
      </c>
      <c r="E704" t="s">
        <v>145</v>
      </c>
      <c r="F704" t="s">
        <v>296</v>
      </c>
      <c r="G704" t="s">
        <v>28</v>
      </c>
      <c r="H704" s="2">
        <v>43781</v>
      </c>
      <c r="I704" t="s">
        <v>29</v>
      </c>
      <c r="J704" t="s">
        <v>47</v>
      </c>
      <c r="K704" t="str">
        <f t="shared" ca="1" si="64"/>
        <v>OK</v>
      </c>
      <c r="L704" t="s">
        <v>297</v>
      </c>
      <c r="M704">
        <v>4</v>
      </c>
      <c r="N704" s="2">
        <v>45994</v>
      </c>
      <c r="O704" s="2" t="s">
        <v>22</v>
      </c>
      <c r="P704" s="4">
        <f t="shared" ca="1" si="62"/>
        <v>6</v>
      </c>
      <c r="Q704" s="4" t="str">
        <f t="shared" ca="1" si="63"/>
        <v>6-10 Years</v>
      </c>
      <c r="R704">
        <f t="shared" ca="1" si="65"/>
        <v>0</v>
      </c>
      <c r="S704" t="s">
        <v>22</v>
      </c>
      <c r="T704">
        <v>3</v>
      </c>
      <c r="U704" t="s">
        <v>1394</v>
      </c>
      <c r="V704" t="s">
        <v>1394</v>
      </c>
      <c r="W704" t="s">
        <v>1394</v>
      </c>
      <c r="X704" s="3">
        <v>1</v>
      </c>
      <c r="Y704" t="s">
        <v>1397</v>
      </c>
      <c r="Z704">
        <v>54261</v>
      </c>
      <c r="AA704">
        <v>0.15</v>
      </c>
      <c r="AB704">
        <v>62400.149999999994</v>
      </c>
    </row>
    <row r="705" spans="1:28" x14ac:dyDescent="0.35">
      <c r="A705" t="str">
        <f t="shared" si="60"/>
        <v>EMP0704</v>
      </c>
      <c r="B705" t="str" cm="1">
        <f t="array" ref="B705">_xlfn.IFS(
ROW()&lt;=421,"NA",
ROW()&lt;=781,"LATAM",
ROW()&lt;=1021,"EMEA",
TRUE,"APAC"
)</f>
        <v>LATAM</v>
      </c>
      <c r="C705" t="str">
        <f t="shared" si="61"/>
        <v>Mexico</v>
      </c>
      <c r="D705" t="s">
        <v>32</v>
      </c>
      <c r="E705" t="s">
        <v>145</v>
      </c>
      <c r="F705" t="s">
        <v>303</v>
      </c>
      <c r="G705" t="s">
        <v>28</v>
      </c>
      <c r="H705" s="2">
        <v>43780</v>
      </c>
      <c r="I705" t="s">
        <v>29</v>
      </c>
      <c r="J705" t="s">
        <v>33</v>
      </c>
      <c r="K705" t="str">
        <f t="shared" ca="1" si="64"/>
        <v>OK</v>
      </c>
      <c r="L705" t="s">
        <v>354</v>
      </c>
      <c r="M705">
        <v>4</v>
      </c>
      <c r="N705" s="2">
        <v>46077</v>
      </c>
      <c r="O705" s="2" t="s">
        <v>22</v>
      </c>
      <c r="P705" s="4">
        <f t="shared" ca="1" si="62"/>
        <v>6</v>
      </c>
      <c r="Q705" s="4" t="str">
        <f t="shared" ca="1" si="63"/>
        <v>6-10 Years</v>
      </c>
      <c r="R705">
        <f t="shared" ca="1" si="65"/>
        <v>0</v>
      </c>
      <c r="S705" t="s">
        <v>22</v>
      </c>
      <c r="T705">
        <v>4</v>
      </c>
      <c r="U705" t="s">
        <v>1394</v>
      </c>
      <c r="V705" t="s">
        <v>1394</v>
      </c>
      <c r="W705" t="s">
        <v>1394</v>
      </c>
      <c r="X705" s="3">
        <v>5</v>
      </c>
      <c r="Y705" t="s">
        <v>1395</v>
      </c>
      <c r="Z705">
        <v>81260</v>
      </c>
      <c r="AA705">
        <v>0.15</v>
      </c>
      <c r="AB705">
        <v>93449</v>
      </c>
    </row>
    <row r="706" spans="1:28" x14ac:dyDescent="0.35">
      <c r="A706" t="str">
        <f t="shared" ref="A706:A769" si="66">"EMP"&amp;TEXT(ROW()-1,"0000")</f>
        <v>EMP0705</v>
      </c>
      <c r="B706" t="str" cm="1">
        <f t="array" ref="B706">_xlfn.IFS(
ROW()&lt;=421,"NA",
ROW()&lt;=781,"LATAM",
ROW()&lt;=1021,"EMEA",
TRUE,"APAC"
)</f>
        <v>LATAM</v>
      </c>
      <c r="C706" t="str">
        <f t="shared" ref="C706:C769" si="67">IF(B706="NA","USA",
IF(B706="LATAM","Mexico",
IF(B706="EMEA","Germany","Singapore")))</f>
        <v>Mexico</v>
      </c>
      <c r="D706" t="s">
        <v>44</v>
      </c>
      <c r="E706" t="s">
        <v>380</v>
      </c>
      <c r="F706" t="s">
        <v>854</v>
      </c>
      <c r="G706" t="s">
        <v>28</v>
      </c>
      <c r="H706" s="2">
        <v>43777</v>
      </c>
      <c r="I706" t="s">
        <v>29</v>
      </c>
      <c r="J706" t="s">
        <v>47</v>
      </c>
      <c r="K706" t="str">
        <f t="shared" ca="1" si="64"/>
        <v>OK</v>
      </c>
      <c r="L706" t="s">
        <v>884</v>
      </c>
      <c r="M706">
        <v>5</v>
      </c>
      <c r="N706" s="2">
        <v>46065</v>
      </c>
      <c r="O706" s="2" t="s">
        <v>22</v>
      </c>
      <c r="P706" s="4">
        <f t="shared" ref="P706:P769" ca="1" si="68">IF(H706&gt;TODAY(),
"",
IF(I706="Active",
DATEDIF(H706,TODAY(),"Y"),
DATEDIF(H706,O706,"Y")
))</f>
        <v>6</v>
      </c>
      <c r="Q706" s="4" t="str">
        <f t="shared" ref="Q706:Q769" ca="1" si="69">IF(P706&lt;=2,"0-2 Years",
IF(P706&lt;=5,"3-5 Years",
IF(P706&lt;=10,"6-10 Years","10+ Years")))</f>
        <v>6-10 Years</v>
      </c>
      <c r="R706">
        <f t="shared" ca="1" si="65"/>
        <v>0</v>
      </c>
      <c r="S706" t="s">
        <v>22</v>
      </c>
      <c r="T706">
        <v>4</v>
      </c>
      <c r="U706" t="s">
        <v>1394</v>
      </c>
      <c r="V706" t="s">
        <v>1394</v>
      </c>
      <c r="W706" t="s">
        <v>1394</v>
      </c>
      <c r="X706" s="3">
        <v>2</v>
      </c>
      <c r="Y706" t="s">
        <v>1397</v>
      </c>
      <c r="Z706">
        <v>45105</v>
      </c>
      <c r="AA706">
        <v>0.1</v>
      </c>
      <c r="AB706">
        <v>49615.500000000007</v>
      </c>
    </row>
    <row r="707" spans="1:28" x14ac:dyDescent="0.35">
      <c r="A707" t="str">
        <f t="shared" si="66"/>
        <v>EMP0706</v>
      </c>
      <c r="B707" t="str" cm="1">
        <f t="array" ref="B707">_xlfn.IFS(
ROW()&lt;=421,"NA",
ROW()&lt;=781,"LATAM",
ROW()&lt;=1021,"EMEA",
TRUE,"APAC"
)</f>
        <v>LATAM</v>
      </c>
      <c r="C707" t="str">
        <f t="shared" si="67"/>
        <v>Mexico</v>
      </c>
      <c r="D707" t="s">
        <v>35</v>
      </c>
      <c r="E707" t="s">
        <v>380</v>
      </c>
      <c r="F707" t="s">
        <v>566</v>
      </c>
      <c r="G707" t="s">
        <v>28</v>
      </c>
      <c r="H707" s="2">
        <v>43770</v>
      </c>
      <c r="I707" t="s">
        <v>29</v>
      </c>
      <c r="J707" t="s">
        <v>36</v>
      </c>
      <c r="K707" t="str">
        <f t="shared" ref="K707:K770" ca="1" si="70">IF(
OR(
H707="",
I707="",
AND(I707="Inactive",O707=""),
H707&gt;TODAY(),
Z707="",
F707="",
D707="",
X707&lt;1
),
"⚠ Review",
"OK"
)</f>
        <v>OK</v>
      </c>
      <c r="L707" t="s">
        <v>912</v>
      </c>
      <c r="M707">
        <v>5</v>
      </c>
      <c r="N707" s="2">
        <v>46024</v>
      </c>
      <c r="O707" s="2" t="s">
        <v>22</v>
      </c>
      <c r="P707" s="4">
        <f t="shared" ca="1" si="68"/>
        <v>6</v>
      </c>
      <c r="Q707" s="4" t="str">
        <f t="shared" ca="1" si="69"/>
        <v>6-10 Years</v>
      </c>
      <c r="R707">
        <f t="shared" ref="R707:R770" ca="1" si="71">IF(P707&lt;=2,1,0)</f>
        <v>0</v>
      </c>
      <c r="S707" t="s">
        <v>22</v>
      </c>
      <c r="T707">
        <v>4</v>
      </c>
      <c r="U707" t="s">
        <v>1394</v>
      </c>
      <c r="V707" t="s">
        <v>1394</v>
      </c>
      <c r="W707" t="s">
        <v>1394</v>
      </c>
      <c r="X707" s="3">
        <v>5</v>
      </c>
      <c r="Y707" t="s">
        <v>1395</v>
      </c>
      <c r="Z707">
        <v>34175</v>
      </c>
      <c r="AA707">
        <v>0.1</v>
      </c>
      <c r="AB707">
        <v>37592.5</v>
      </c>
    </row>
    <row r="708" spans="1:28" x14ac:dyDescent="0.35">
      <c r="A708" t="str">
        <f t="shared" si="66"/>
        <v>EMP0707</v>
      </c>
      <c r="B708" t="str" cm="1">
        <f t="array" ref="B708">_xlfn.IFS(
ROW()&lt;=421,"NA",
ROW()&lt;=781,"LATAM",
ROW()&lt;=1021,"EMEA",
TRUE,"APAC"
)</f>
        <v>LATAM</v>
      </c>
      <c r="C708" t="str">
        <f t="shared" si="67"/>
        <v>Mexico</v>
      </c>
      <c r="D708" t="s">
        <v>41</v>
      </c>
      <c r="E708" t="s">
        <v>380</v>
      </c>
      <c r="F708" t="s">
        <v>794</v>
      </c>
      <c r="G708" t="s">
        <v>28</v>
      </c>
      <c r="H708" s="2">
        <v>43765</v>
      </c>
      <c r="I708" t="s">
        <v>29</v>
      </c>
      <c r="J708" t="s">
        <v>42</v>
      </c>
      <c r="K708" t="str">
        <f t="shared" ca="1" si="70"/>
        <v>OK</v>
      </c>
      <c r="L708" t="s">
        <v>795</v>
      </c>
      <c r="M708">
        <v>5</v>
      </c>
      <c r="N708" s="2">
        <v>46013</v>
      </c>
      <c r="O708" s="2" t="s">
        <v>22</v>
      </c>
      <c r="P708" s="4">
        <f t="shared" ca="1" si="68"/>
        <v>6</v>
      </c>
      <c r="Q708" s="4" t="str">
        <f t="shared" ca="1" si="69"/>
        <v>6-10 Years</v>
      </c>
      <c r="R708">
        <f t="shared" ca="1" si="71"/>
        <v>0</v>
      </c>
      <c r="S708" t="s">
        <v>22</v>
      </c>
      <c r="T708">
        <v>3</v>
      </c>
      <c r="U708" t="s">
        <v>1394</v>
      </c>
      <c r="V708" t="s">
        <v>1396</v>
      </c>
      <c r="W708" t="s">
        <v>1394</v>
      </c>
      <c r="X708" s="3">
        <v>3</v>
      </c>
      <c r="Y708" t="s">
        <v>1398</v>
      </c>
      <c r="Z708">
        <v>44589</v>
      </c>
      <c r="AA708">
        <v>0.1</v>
      </c>
      <c r="AB708">
        <v>49047.9</v>
      </c>
    </row>
    <row r="709" spans="1:28" x14ac:dyDescent="0.35">
      <c r="A709" t="str">
        <f t="shared" si="66"/>
        <v>EMP0708</v>
      </c>
      <c r="B709" t="str" cm="1">
        <f t="array" ref="B709">_xlfn.IFS(
ROW()&lt;=421,"NA",
ROW()&lt;=781,"LATAM",
ROW()&lt;=1021,"EMEA",
TRUE,"APAC"
)</f>
        <v>LATAM</v>
      </c>
      <c r="C709" t="str">
        <f t="shared" si="67"/>
        <v>Mexico</v>
      </c>
      <c r="D709" t="s">
        <v>32</v>
      </c>
      <c r="E709" t="s">
        <v>380</v>
      </c>
      <c r="F709" t="s">
        <v>387</v>
      </c>
      <c r="G709" t="s">
        <v>53</v>
      </c>
      <c r="H709" s="2">
        <v>43764</v>
      </c>
      <c r="I709" t="s">
        <v>29</v>
      </c>
      <c r="J709" t="s">
        <v>33</v>
      </c>
      <c r="K709" t="str">
        <f t="shared" ca="1" si="70"/>
        <v>OK</v>
      </c>
      <c r="L709" t="s">
        <v>767</v>
      </c>
      <c r="M709">
        <v>5</v>
      </c>
      <c r="N709" s="2">
        <v>46078</v>
      </c>
      <c r="O709" s="2" t="s">
        <v>22</v>
      </c>
      <c r="P709" s="4">
        <f t="shared" ca="1" si="68"/>
        <v>6</v>
      </c>
      <c r="Q709" s="4" t="str">
        <f t="shared" ca="1" si="69"/>
        <v>6-10 Years</v>
      </c>
      <c r="R709">
        <f t="shared" ca="1" si="71"/>
        <v>0</v>
      </c>
      <c r="S709" t="s">
        <v>22</v>
      </c>
      <c r="T709">
        <v>4</v>
      </c>
      <c r="U709" t="s">
        <v>1394</v>
      </c>
      <c r="V709" t="s">
        <v>1394</v>
      </c>
      <c r="W709" t="s">
        <v>1394</v>
      </c>
      <c r="X709" s="3">
        <v>4</v>
      </c>
      <c r="Y709" t="s">
        <v>1395</v>
      </c>
      <c r="Z709">
        <v>25547</v>
      </c>
      <c r="AA709">
        <v>0.1</v>
      </c>
      <c r="AB709">
        <v>28101.7</v>
      </c>
    </row>
    <row r="710" spans="1:28" x14ac:dyDescent="0.35">
      <c r="A710" t="str">
        <f t="shared" si="66"/>
        <v>EMP0709</v>
      </c>
      <c r="B710" t="str" cm="1">
        <f t="array" ref="B710">_xlfn.IFS(
ROW()&lt;=421,"NA",
ROW()&lt;=781,"LATAM",
ROW()&lt;=1021,"EMEA",
TRUE,"APAC"
)</f>
        <v>LATAM</v>
      </c>
      <c r="C710" t="str">
        <f t="shared" si="67"/>
        <v>Mexico</v>
      </c>
      <c r="D710" t="s">
        <v>41</v>
      </c>
      <c r="E710" t="s">
        <v>380</v>
      </c>
      <c r="F710" t="s">
        <v>642</v>
      </c>
      <c r="G710" t="s">
        <v>53</v>
      </c>
      <c r="H710" s="2">
        <v>43757</v>
      </c>
      <c r="I710" t="s">
        <v>29</v>
      </c>
      <c r="J710" t="s">
        <v>42</v>
      </c>
      <c r="K710" t="str">
        <f t="shared" ca="1" si="70"/>
        <v>OK</v>
      </c>
      <c r="L710" t="s">
        <v>1382</v>
      </c>
      <c r="M710">
        <v>5</v>
      </c>
      <c r="N710" s="2">
        <v>46030</v>
      </c>
      <c r="O710" s="2" t="s">
        <v>22</v>
      </c>
      <c r="P710" s="4">
        <f t="shared" ca="1" si="68"/>
        <v>6</v>
      </c>
      <c r="Q710" s="4" t="str">
        <f t="shared" ca="1" si="69"/>
        <v>6-10 Years</v>
      </c>
      <c r="R710">
        <f t="shared" ca="1" si="71"/>
        <v>0</v>
      </c>
      <c r="S710" t="s">
        <v>22</v>
      </c>
      <c r="T710">
        <v>4</v>
      </c>
      <c r="U710" t="s">
        <v>1394</v>
      </c>
      <c r="V710" t="s">
        <v>1396</v>
      </c>
      <c r="W710" t="s">
        <v>1396</v>
      </c>
      <c r="X710" s="3">
        <v>2</v>
      </c>
      <c r="Y710" t="s">
        <v>1397</v>
      </c>
      <c r="Z710">
        <v>47723</v>
      </c>
      <c r="AA710">
        <v>0.1</v>
      </c>
      <c r="AB710">
        <v>52495.3</v>
      </c>
    </row>
    <row r="711" spans="1:28" x14ac:dyDescent="0.35">
      <c r="A711" t="str">
        <f t="shared" si="66"/>
        <v>EMP0710</v>
      </c>
      <c r="B711" t="str" cm="1">
        <f t="array" ref="B711">_xlfn.IFS(
ROW()&lt;=421,"NA",
ROW()&lt;=781,"LATAM",
ROW()&lt;=1021,"EMEA",
TRUE,"APAC"
)</f>
        <v>LATAM</v>
      </c>
      <c r="C711" t="str">
        <f t="shared" si="67"/>
        <v>Mexico</v>
      </c>
      <c r="D711" t="s">
        <v>26</v>
      </c>
      <c r="E711" t="s">
        <v>69</v>
      </c>
      <c r="F711" t="s">
        <v>72</v>
      </c>
      <c r="G711" t="s">
        <v>28</v>
      </c>
      <c r="H711" s="2">
        <v>43756</v>
      </c>
      <c r="I711" t="s">
        <v>29</v>
      </c>
      <c r="J711" t="s">
        <v>30</v>
      </c>
      <c r="K711" t="str">
        <f t="shared" ca="1" si="70"/>
        <v>OK</v>
      </c>
      <c r="L711" t="s">
        <v>78</v>
      </c>
      <c r="M711">
        <v>3</v>
      </c>
      <c r="N711" s="2">
        <v>46056</v>
      </c>
      <c r="O711" s="2" t="s">
        <v>22</v>
      </c>
      <c r="P711" s="4">
        <f t="shared" ca="1" si="68"/>
        <v>6</v>
      </c>
      <c r="Q711" s="4" t="str">
        <f t="shared" ca="1" si="69"/>
        <v>6-10 Years</v>
      </c>
      <c r="R711">
        <f t="shared" ca="1" si="71"/>
        <v>0</v>
      </c>
      <c r="S711" t="s">
        <v>22</v>
      </c>
      <c r="T711">
        <v>3</v>
      </c>
      <c r="U711" t="s">
        <v>1394</v>
      </c>
      <c r="V711" t="s">
        <v>1394</v>
      </c>
      <c r="W711" t="s">
        <v>1394</v>
      </c>
      <c r="X711" s="3">
        <v>1</v>
      </c>
      <c r="Y711" t="s">
        <v>1397</v>
      </c>
      <c r="Z711">
        <v>91459</v>
      </c>
      <c r="AA711">
        <v>0.2</v>
      </c>
      <c r="AB711">
        <v>109750.8</v>
      </c>
    </row>
    <row r="712" spans="1:28" x14ac:dyDescent="0.35">
      <c r="A712" t="str">
        <f t="shared" si="66"/>
        <v>EMP0711</v>
      </c>
      <c r="B712" t="str" cm="1">
        <f t="array" ref="B712">_xlfn.IFS(
ROW()&lt;=421,"NA",
ROW()&lt;=781,"LATAM",
ROW()&lt;=1021,"EMEA",
TRUE,"APAC"
)</f>
        <v>LATAM</v>
      </c>
      <c r="C712" t="str">
        <f t="shared" si="67"/>
        <v>Mexico</v>
      </c>
      <c r="D712" t="s">
        <v>26</v>
      </c>
      <c r="E712" t="s">
        <v>145</v>
      </c>
      <c r="F712" t="s">
        <v>154</v>
      </c>
      <c r="G712" t="s">
        <v>28</v>
      </c>
      <c r="H712" s="2">
        <v>43750</v>
      </c>
      <c r="I712" t="s">
        <v>29</v>
      </c>
      <c r="J712" t="s">
        <v>30</v>
      </c>
      <c r="K712" t="str">
        <f t="shared" ca="1" si="70"/>
        <v>OK</v>
      </c>
      <c r="L712" t="s">
        <v>155</v>
      </c>
      <c r="M712">
        <v>4</v>
      </c>
      <c r="N712" s="2">
        <v>46067</v>
      </c>
      <c r="O712" s="2" t="s">
        <v>22</v>
      </c>
      <c r="P712" s="4">
        <f t="shared" ca="1" si="68"/>
        <v>6</v>
      </c>
      <c r="Q712" s="4" t="str">
        <f t="shared" ca="1" si="69"/>
        <v>6-10 Years</v>
      </c>
      <c r="R712">
        <f t="shared" ca="1" si="71"/>
        <v>0</v>
      </c>
      <c r="S712" t="s">
        <v>22</v>
      </c>
      <c r="T712">
        <v>2</v>
      </c>
      <c r="U712" t="s">
        <v>1394</v>
      </c>
      <c r="V712" t="s">
        <v>1394</v>
      </c>
      <c r="W712" t="s">
        <v>1394</v>
      </c>
      <c r="X712" s="3">
        <v>5</v>
      </c>
      <c r="Y712" t="s">
        <v>1395</v>
      </c>
      <c r="Z712">
        <v>78685</v>
      </c>
      <c r="AA712">
        <v>0.15</v>
      </c>
      <c r="AB712">
        <v>90487.75</v>
      </c>
    </row>
    <row r="713" spans="1:28" x14ac:dyDescent="0.35">
      <c r="A713" t="str">
        <f t="shared" si="66"/>
        <v>EMP0712</v>
      </c>
      <c r="B713" t="str" cm="1">
        <f t="array" ref="B713">_xlfn.IFS(
ROW()&lt;=421,"NA",
ROW()&lt;=781,"LATAM",
ROW()&lt;=1021,"EMEA",
TRUE,"APAC"
)</f>
        <v>LATAM</v>
      </c>
      <c r="C713" t="str">
        <f t="shared" si="67"/>
        <v>Mexico</v>
      </c>
      <c r="D713" t="s">
        <v>41</v>
      </c>
      <c r="E713" t="s">
        <v>380</v>
      </c>
      <c r="F713" t="s">
        <v>631</v>
      </c>
      <c r="G713" t="s">
        <v>28</v>
      </c>
      <c r="H713" s="2">
        <v>43749</v>
      </c>
      <c r="I713" t="s">
        <v>29</v>
      </c>
      <c r="J713" t="s">
        <v>42</v>
      </c>
      <c r="K713" t="str">
        <f t="shared" ca="1" si="70"/>
        <v>OK</v>
      </c>
      <c r="L713" t="s">
        <v>632</v>
      </c>
      <c r="M713">
        <v>5</v>
      </c>
      <c r="N713" s="2">
        <v>45989</v>
      </c>
      <c r="O713" s="2" t="s">
        <v>22</v>
      </c>
      <c r="P713" s="4">
        <f t="shared" ca="1" si="68"/>
        <v>6</v>
      </c>
      <c r="Q713" s="4" t="str">
        <f t="shared" ca="1" si="69"/>
        <v>6-10 Years</v>
      </c>
      <c r="R713">
        <f t="shared" ca="1" si="71"/>
        <v>0</v>
      </c>
      <c r="S713" t="s">
        <v>22</v>
      </c>
      <c r="T713">
        <v>4</v>
      </c>
      <c r="U713" t="s">
        <v>1394</v>
      </c>
      <c r="V713" t="s">
        <v>1394</v>
      </c>
      <c r="W713" t="s">
        <v>1394</v>
      </c>
      <c r="X713" s="3">
        <v>1</v>
      </c>
      <c r="Y713" t="s">
        <v>1397</v>
      </c>
      <c r="Z713">
        <v>32234</v>
      </c>
      <c r="AA713">
        <v>0.1</v>
      </c>
      <c r="AB713">
        <v>35457.4</v>
      </c>
    </row>
    <row r="714" spans="1:28" x14ac:dyDescent="0.35">
      <c r="A714" t="str">
        <f t="shared" si="66"/>
        <v>EMP0713</v>
      </c>
      <c r="B714" t="str" cm="1">
        <f t="array" ref="B714">_xlfn.IFS(
ROW()&lt;=421,"NA",
ROW()&lt;=781,"LATAM",
ROW()&lt;=1021,"EMEA",
TRUE,"APAC"
)</f>
        <v>LATAM</v>
      </c>
      <c r="C714" t="str">
        <f t="shared" si="67"/>
        <v>Mexico</v>
      </c>
      <c r="D714" t="s">
        <v>38</v>
      </c>
      <c r="E714" t="s">
        <v>380</v>
      </c>
      <c r="F714" t="s">
        <v>669</v>
      </c>
      <c r="G714" t="s">
        <v>53</v>
      </c>
      <c r="H714" s="2">
        <v>43749</v>
      </c>
      <c r="I714" t="s">
        <v>29</v>
      </c>
      <c r="J714" t="s">
        <v>39</v>
      </c>
      <c r="K714" t="str">
        <f t="shared" ca="1" si="70"/>
        <v>OK</v>
      </c>
      <c r="L714" t="s">
        <v>108</v>
      </c>
      <c r="M714">
        <v>5</v>
      </c>
      <c r="N714" s="2">
        <v>46005</v>
      </c>
      <c r="O714" s="2" t="s">
        <v>22</v>
      </c>
      <c r="P714" s="4">
        <f t="shared" ca="1" si="68"/>
        <v>6</v>
      </c>
      <c r="Q714" s="4" t="str">
        <f t="shared" ca="1" si="69"/>
        <v>6-10 Years</v>
      </c>
      <c r="R714">
        <f t="shared" ca="1" si="71"/>
        <v>0</v>
      </c>
      <c r="S714" t="s">
        <v>22</v>
      </c>
      <c r="T714">
        <v>4</v>
      </c>
      <c r="U714" t="s">
        <v>1394</v>
      </c>
      <c r="V714" t="s">
        <v>1394</v>
      </c>
      <c r="W714" t="s">
        <v>1394</v>
      </c>
      <c r="X714" s="3">
        <v>4</v>
      </c>
      <c r="Y714" t="s">
        <v>1395</v>
      </c>
      <c r="Z714">
        <v>38852</v>
      </c>
      <c r="AA714">
        <v>0.1</v>
      </c>
      <c r="AB714">
        <v>42737.200000000004</v>
      </c>
    </row>
    <row r="715" spans="1:28" x14ac:dyDescent="0.35">
      <c r="A715" t="str">
        <f t="shared" si="66"/>
        <v>EMP0714</v>
      </c>
      <c r="B715" t="str" cm="1">
        <f t="array" ref="B715">_xlfn.IFS(
ROW()&lt;=421,"NA",
ROW()&lt;=781,"LATAM",
ROW()&lt;=1021,"EMEA",
TRUE,"APAC"
)</f>
        <v>LATAM</v>
      </c>
      <c r="C715" t="str">
        <f t="shared" si="67"/>
        <v>Mexico</v>
      </c>
      <c r="D715" t="s">
        <v>26</v>
      </c>
      <c r="E715" t="s">
        <v>380</v>
      </c>
      <c r="F715" t="s">
        <v>895</v>
      </c>
      <c r="G715" t="s">
        <v>28</v>
      </c>
      <c r="H715" s="2">
        <v>43746</v>
      </c>
      <c r="I715" t="s">
        <v>29</v>
      </c>
      <c r="J715" t="s">
        <v>30</v>
      </c>
      <c r="K715" t="str">
        <f t="shared" ca="1" si="70"/>
        <v>OK</v>
      </c>
      <c r="L715" t="s">
        <v>1052</v>
      </c>
      <c r="M715">
        <v>5</v>
      </c>
      <c r="N715" s="2">
        <v>46047</v>
      </c>
      <c r="O715" s="2" t="s">
        <v>22</v>
      </c>
      <c r="P715" s="4">
        <f t="shared" ca="1" si="68"/>
        <v>6</v>
      </c>
      <c r="Q715" s="4" t="str">
        <f t="shared" ca="1" si="69"/>
        <v>6-10 Years</v>
      </c>
      <c r="R715">
        <f t="shared" ca="1" si="71"/>
        <v>0</v>
      </c>
      <c r="S715" t="s">
        <v>22</v>
      </c>
      <c r="T715">
        <v>4</v>
      </c>
      <c r="U715" t="s">
        <v>1394</v>
      </c>
      <c r="V715" t="s">
        <v>1394</v>
      </c>
      <c r="W715" t="s">
        <v>1394</v>
      </c>
      <c r="X715" s="3">
        <v>5</v>
      </c>
      <c r="Y715" t="s">
        <v>1395</v>
      </c>
      <c r="Z715">
        <v>32217</v>
      </c>
      <c r="AA715">
        <v>0.1</v>
      </c>
      <c r="AB715">
        <v>35438.700000000004</v>
      </c>
    </row>
    <row r="716" spans="1:28" x14ac:dyDescent="0.35">
      <c r="A716" t="str">
        <f t="shared" si="66"/>
        <v>EMP0715</v>
      </c>
      <c r="B716" t="str" cm="1">
        <f t="array" ref="B716">_xlfn.IFS(
ROW()&lt;=421,"NA",
ROW()&lt;=781,"LATAM",
ROW()&lt;=1021,"EMEA",
TRUE,"APAC"
)</f>
        <v>LATAM</v>
      </c>
      <c r="C716" t="str">
        <f t="shared" si="67"/>
        <v>Mexico</v>
      </c>
      <c r="D716" t="s">
        <v>35</v>
      </c>
      <c r="E716" t="s">
        <v>380</v>
      </c>
      <c r="F716" t="s">
        <v>702</v>
      </c>
      <c r="G716" t="s">
        <v>28</v>
      </c>
      <c r="H716" s="2">
        <v>43745</v>
      </c>
      <c r="I716" t="s">
        <v>29</v>
      </c>
      <c r="J716" t="s">
        <v>36</v>
      </c>
      <c r="K716" t="str">
        <f t="shared" ca="1" si="70"/>
        <v>OK</v>
      </c>
      <c r="L716" t="s">
        <v>912</v>
      </c>
      <c r="M716">
        <v>5</v>
      </c>
      <c r="N716" s="2">
        <v>46054</v>
      </c>
      <c r="O716" s="2" t="s">
        <v>22</v>
      </c>
      <c r="P716" s="4">
        <f t="shared" ca="1" si="68"/>
        <v>6</v>
      </c>
      <c r="Q716" s="4" t="str">
        <f t="shared" ca="1" si="69"/>
        <v>6-10 Years</v>
      </c>
      <c r="R716">
        <f t="shared" ca="1" si="71"/>
        <v>0</v>
      </c>
      <c r="S716" t="s">
        <v>22</v>
      </c>
      <c r="T716">
        <v>3</v>
      </c>
      <c r="U716" t="s">
        <v>1396</v>
      </c>
      <c r="V716" t="s">
        <v>1394</v>
      </c>
      <c r="W716" t="s">
        <v>1394</v>
      </c>
      <c r="X716" s="3">
        <v>3</v>
      </c>
      <c r="Y716" t="s">
        <v>1398</v>
      </c>
      <c r="Z716">
        <v>30464</v>
      </c>
      <c r="AA716">
        <v>0.1</v>
      </c>
      <c r="AB716">
        <v>33510.400000000001</v>
      </c>
    </row>
    <row r="717" spans="1:28" x14ac:dyDescent="0.35">
      <c r="A717" t="str">
        <f t="shared" si="66"/>
        <v>EMP0716</v>
      </c>
      <c r="B717" t="str" cm="1">
        <f t="array" ref="B717">_xlfn.IFS(
ROW()&lt;=421,"NA",
ROW()&lt;=781,"LATAM",
ROW()&lt;=1021,"EMEA",
TRUE,"APAC"
)</f>
        <v>LATAM</v>
      </c>
      <c r="C717" t="str">
        <f t="shared" si="67"/>
        <v>Mexico</v>
      </c>
      <c r="D717" t="s">
        <v>35</v>
      </c>
      <c r="E717" t="s">
        <v>380</v>
      </c>
      <c r="F717" t="s">
        <v>389</v>
      </c>
      <c r="G717" t="s">
        <v>28</v>
      </c>
      <c r="H717" s="2">
        <v>43742</v>
      </c>
      <c r="I717" t="s">
        <v>29</v>
      </c>
      <c r="J717" t="s">
        <v>36</v>
      </c>
      <c r="K717" t="str">
        <f t="shared" ca="1" si="70"/>
        <v>OK</v>
      </c>
      <c r="L717" t="s">
        <v>1069</v>
      </c>
      <c r="M717">
        <v>5</v>
      </c>
      <c r="N717" s="2">
        <v>46035</v>
      </c>
      <c r="O717" s="2" t="s">
        <v>22</v>
      </c>
      <c r="P717" s="4">
        <f t="shared" ca="1" si="68"/>
        <v>6</v>
      </c>
      <c r="Q717" s="4" t="str">
        <f t="shared" ca="1" si="69"/>
        <v>6-10 Years</v>
      </c>
      <c r="R717">
        <f t="shared" ca="1" si="71"/>
        <v>0</v>
      </c>
      <c r="S717" t="s">
        <v>22</v>
      </c>
      <c r="T717">
        <v>2</v>
      </c>
      <c r="U717" t="s">
        <v>1394</v>
      </c>
      <c r="V717" t="s">
        <v>1394</v>
      </c>
      <c r="W717" t="s">
        <v>1394</v>
      </c>
      <c r="X717" s="3">
        <v>1</v>
      </c>
      <c r="Y717" t="s">
        <v>1397</v>
      </c>
      <c r="Z717">
        <v>21680</v>
      </c>
      <c r="AA717">
        <v>0.1</v>
      </c>
      <c r="AB717">
        <v>23848.000000000004</v>
      </c>
    </row>
    <row r="718" spans="1:28" x14ac:dyDescent="0.35">
      <c r="A718" t="str">
        <f t="shared" si="66"/>
        <v>EMP0717</v>
      </c>
      <c r="B718" t="str" cm="1">
        <f t="array" ref="B718">_xlfn.IFS(
ROW()&lt;=421,"NA",
ROW()&lt;=781,"LATAM",
ROW()&lt;=1021,"EMEA",
TRUE,"APAC"
)</f>
        <v>LATAM</v>
      </c>
      <c r="C718" t="str">
        <f t="shared" si="67"/>
        <v>Mexico</v>
      </c>
      <c r="D718" t="s">
        <v>26</v>
      </c>
      <c r="E718" t="s">
        <v>380</v>
      </c>
      <c r="F718" t="s">
        <v>638</v>
      </c>
      <c r="G718" t="s">
        <v>28</v>
      </c>
      <c r="H718" s="2">
        <v>43740</v>
      </c>
      <c r="I718" t="s">
        <v>29</v>
      </c>
      <c r="J718" t="s">
        <v>30</v>
      </c>
      <c r="K718" t="str">
        <f t="shared" ca="1" si="70"/>
        <v>OK</v>
      </c>
      <c r="L718" t="s">
        <v>1289</v>
      </c>
      <c r="M718">
        <v>5</v>
      </c>
      <c r="N718" s="2">
        <v>46037</v>
      </c>
      <c r="O718" s="2" t="s">
        <v>22</v>
      </c>
      <c r="P718" s="4">
        <f t="shared" ca="1" si="68"/>
        <v>6</v>
      </c>
      <c r="Q718" s="4" t="str">
        <f t="shared" ca="1" si="69"/>
        <v>6-10 Years</v>
      </c>
      <c r="R718">
        <f t="shared" ca="1" si="71"/>
        <v>0</v>
      </c>
      <c r="S718" t="s">
        <v>22</v>
      </c>
      <c r="T718">
        <v>5</v>
      </c>
      <c r="U718" t="s">
        <v>1394</v>
      </c>
      <c r="V718" t="s">
        <v>1394</v>
      </c>
      <c r="W718" t="s">
        <v>1394</v>
      </c>
      <c r="X718" s="3">
        <v>1</v>
      </c>
      <c r="Y718" t="s">
        <v>1397</v>
      </c>
      <c r="Z718">
        <v>40588</v>
      </c>
      <c r="AA718">
        <v>0.1</v>
      </c>
      <c r="AB718">
        <v>44646.8</v>
      </c>
    </row>
    <row r="719" spans="1:28" x14ac:dyDescent="0.35">
      <c r="A719" t="str">
        <f t="shared" si="66"/>
        <v>EMP0718</v>
      </c>
      <c r="B719" t="str" cm="1">
        <f t="array" ref="B719">_xlfn.IFS(
ROW()&lt;=421,"NA",
ROW()&lt;=781,"LATAM",
ROW()&lt;=1021,"EMEA",
TRUE,"APAC"
)</f>
        <v>LATAM</v>
      </c>
      <c r="C719" t="str">
        <f t="shared" si="67"/>
        <v>Mexico</v>
      </c>
      <c r="D719" t="s">
        <v>32</v>
      </c>
      <c r="E719" t="s">
        <v>380</v>
      </c>
      <c r="F719" t="s">
        <v>709</v>
      </c>
      <c r="G719" t="s">
        <v>28</v>
      </c>
      <c r="H719" s="2">
        <v>43739</v>
      </c>
      <c r="I719" t="s">
        <v>29</v>
      </c>
      <c r="J719" t="s">
        <v>33</v>
      </c>
      <c r="K719" t="str">
        <f t="shared" ca="1" si="70"/>
        <v>OK</v>
      </c>
      <c r="L719" t="s">
        <v>710</v>
      </c>
      <c r="M719">
        <v>5</v>
      </c>
      <c r="N719" s="2">
        <v>46009</v>
      </c>
      <c r="O719" s="2" t="s">
        <v>22</v>
      </c>
      <c r="P719" s="4">
        <f t="shared" ca="1" si="68"/>
        <v>6</v>
      </c>
      <c r="Q719" s="4" t="str">
        <f t="shared" ca="1" si="69"/>
        <v>6-10 Years</v>
      </c>
      <c r="R719">
        <f t="shared" ca="1" si="71"/>
        <v>0</v>
      </c>
      <c r="S719" t="s">
        <v>22</v>
      </c>
      <c r="T719">
        <v>3</v>
      </c>
      <c r="U719" t="s">
        <v>1394</v>
      </c>
      <c r="V719" t="s">
        <v>1394</v>
      </c>
      <c r="W719" t="s">
        <v>1394</v>
      </c>
      <c r="X719" s="3">
        <v>3</v>
      </c>
      <c r="Y719" t="s">
        <v>1398</v>
      </c>
      <c r="Z719">
        <v>24112</v>
      </c>
      <c r="AA719">
        <v>0.1</v>
      </c>
      <c r="AB719">
        <v>26523.200000000001</v>
      </c>
    </row>
    <row r="720" spans="1:28" x14ac:dyDescent="0.35">
      <c r="A720" t="str">
        <f t="shared" si="66"/>
        <v>EMP0719</v>
      </c>
      <c r="B720" t="str" cm="1">
        <f t="array" ref="B720">_xlfn.IFS(
ROW()&lt;=421,"NA",
ROW()&lt;=781,"LATAM",
ROW()&lt;=1021,"EMEA",
TRUE,"APAC"
)</f>
        <v>LATAM</v>
      </c>
      <c r="C720" t="str">
        <f t="shared" si="67"/>
        <v>Mexico</v>
      </c>
      <c r="D720" t="s">
        <v>26</v>
      </c>
      <c r="E720" t="s">
        <v>145</v>
      </c>
      <c r="F720" t="s">
        <v>282</v>
      </c>
      <c r="G720" t="s">
        <v>28</v>
      </c>
      <c r="H720" s="2">
        <v>43731</v>
      </c>
      <c r="I720" t="s">
        <v>29</v>
      </c>
      <c r="J720" t="s">
        <v>30</v>
      </c>
      <c r="K720" t="str">
        <f t="shared" ca="1" si="70"/>
        <v>OK</v>
      </c>
      <c r="L720" t="s">
        <v>353</v>
      </c>
      <c r="M720">
        <v>4</v>
      </c>
      <c r="N720" s="2">
        <v>46078</v>
      </c>
      <c r="O720" s="2" t="s">
        <v>22</v>
      </c>
      <c r="P720" s="4">
        <f t="shared" ca="1" si="68"/>
        <v>6</v>
      </c>
      <c r="Q720" s="4" t="str">
        <f t="shared" ca="1" si="69"/>
        <v>6-10 Years</v>
      </c>
      <c r="R720">
        <f t="shared" ca="1" si="71"/>
        <v>0</v>
      </c>
      <c r="S720" t="s">
        <v>22</v>
      </c>
      <c r="T720">
        <v>4</v>
      </c>
      <c r="U720" t="s">
        <v>1394</v>
      </c>
      <c r="V720" t="s">
        <v>1396</v>
      </c>
      <c r="W720" t="s">
        <v>1396</v>
      </c>
      <c r="X720" s="3">
        <v>2</v>
      </c>
      <c r="Y720" t="s">
        <v>1397</v>
      </c>
      <c r="Z720">
        <v>76166</v>
      </c>
      <c r="AA720">
        <v>0.15</v>
      </c>
      <c r="AB720">
        <v>87590.9</v>
      </c>
    </row>
    <row r="721" spans="1:28" x14ac:dyDescent="0.35">
      <c r="A721" t="str">
        <f t="shared" si="66"/>
        <v>EMP0720</v>
      </c>
      <c r="B721" t="str" cm="1">
        <f t="array" ref="B721">_xlfn.IFS(
ROW()&lt;=421,"NA",
ROW()&lt;=781,"LATAM",
ROW()&lt;=1021,"EMEA",
TRUE,"APAC"
)</f>
        <v>LATAM</v>
      </c>
      <c r="C721" t="str">
        <f t="shared" si="67"/>
        <v>Mexico</v>
      </c>
      <c r="D721" t="s">
        <v>41</v>
      </c>
      <c r="E721" t="s">
        <v>145</v>
      </c>
      <c r="F721" t="s">
        <v>178</v>
      </c>
      <c r="G721" t="s">
        <v>28</v>
      </c>
      <c r="H721" s="2">
        <v>43721</v>
      </c>
      <c r="I721" t="s">
        <v>29</v>
      </c>
      <c r="J721" t="s">
        <v>42</v>
      </c>
      <c r="K721" t="str">
        <f t="shared" ca="1" si="70"/>
        <v>OK</v>
      </c>
      <c r="L721" t="s">
        <v>259</v>
      </c>
      <c r="M721">
        <v>4</v>
      </c>
      <c r="N721" s="2">
        <v>45998</v>
      </c>
      <c r="O721" s="2" t="s">
        <v>22</v>
      </c>
      <c r="P721" s="4">
        <f t="shared" ca="1" si="68"/>
        <v>6</v>
      </c>
      <c r="Q721" s="4" t="str">
        <f t="shared" ca="1" si="69"/>
        <v>6-10 Years</v>
      </c>
      <c r="R721">
        <f t="shared" ca="1" si="71"/>
        <v>0</v>
      </c>
      <c r="S721" t="s">
        <v>22</v>
      </c>
      <c r="T721">
        <v>4</v>
      </c>
      <c r="U721" t="s">
        <v>1394</v>
      </c>
      <c r="V721" t="s">
        <v>1394</v>
      </c>
      <c r="W721" t="s">
        <v>1394</v>
      </c>
      <c r="X721" s="3">
        <v>5</v>
      </c>
      <c r="Y721" t="s">
        <v>1395</v>
      </c>
      <c r="Z721">
        <v>63842</v>
      </c>
      <c r="AA721">
        <v>0.15</v>
      </c>
      <c r="AB721">
        <v>73418.299999999988</v>
      </c>
    </row>
    <row r="722" spans="1:28" x14ac:dyDescent="0.35">
      <c r="A722" t="str">
        <f t="shared" si="66"/>
        <v>EMP0721</v>
      </c>
      <c r="B722" t="str" cm="1">
        <f t="array" ref="B722">_xlfn.IFS(
ROW()&lt;=421,"NA",
ROW()&lt;=781,"LATAM",
ROW()&lt;=1021,"EMEA",
TRUE,"APAC"
)</f>
        <v>LATAM</v>
      </c>
      <c r="C722" t="str">
        <f t="shared" si="67"/>
        <v>Mexico</v>
      </c>
      <c r="D722" t="s">
        <v>26</v>
      </c>
      <c r="E722" t="s">
        <v>380</v>
      </c>
      <c r="F722" t="s">
        <v>385</v>
      </c>
      <c r="G722" t="s">
        <v>28</v>
      </c>
      <c r="H722" s="2">
        <v>43720</v>
      </c>
      <c r="I722" t="s">
        <v>29</v>
      </c>
      <c r="J722" t="s">
        <v>30</v>
      </c>
      <c r="K722" t="str">
        <f t="shared" ca="1" si="70"/>
        <v>OK</v>
      </c>
      <c r="L722" t="s">
        <v>539</v>
      </c>
      <c r="M722">
        <v>5</v>
      </c>
      <c r="N722" s="2">
        <v>46040</v>
      </c>
      <c r="O722" s="2" t="s">
        <v>22</v>
      </c>
      <c r="P722" s="4">
        <f t="shared" ca="1" si="68"/>
        <v>6</v>
      </c>
      <c r="Q722" s="4" t="str">
        <f t="shared" ca="1" si="69"/>
        <v>6-10 Years</v>
      </c>
      <c r="R722">
        <f t="shared" ca="1" si="71"/>
        <v>0</v>
      </c>
      <c r="S722" t="s">
        <v>22</v>
      </c>
      <c r="T722">
        <v>3</v>
      </c>
      <c r="U722" t="s">
        <v>1394</v>
      </c>
      <c r="V722" t="s">
        <v>1394</v>
      </c>
      <c r="W722" t="s">
        <v>1394</v>
      </c>
      <c r="X722" s="3">
        <v>1</v>
      </c>
      <c r="Y722" t="s">
        <v>1397</v>
      </c>
      <c r="Z722">
        <v>42254</v>
      </c>
      <c r="AA722">
        <v>0.1</v>
      </c>
      <c r="AB722">
        <v>46479.4</v>
      </c>
    </row>
    <row r="723" spans="1:28" x14ac:dyDescent="0.35">
      <c r="A723" t="str">
        <f t="shared" si="66"/>
        <v>EMP0722</v>
      </c>
      <c r="B723" t="str" cm="1">
        <f t="array" ref="B723">_xlfn.IFS(
ROW()&lt;=421,"NA",
ROW()&lt;=781,"LATAM",
ROW()&lt;=1021,"EMEA",
TRUE,"APAC"
)</f>
        <v>LATAM</v>
      </c>
      <c r="C723" t="str">
        <f t="shared" si="67"/>
        <v>Mexico</v>
      </c>
      <c r="D723" t="s">
        <v>44</v>
      </c>
      <c r="E723" t="s">
        <v>380</v>
      </c>
      <c r="F723" t="s">
        <v>531</v>
      </c>
      <c r="G723" t="s">
        <v>28</v>
      </c>
      <c r="H723" s="2">
        <v>43715</v>
      </c>
      <c r="I723" t="s">
        <v>29</v>
      </c>
      <c r="J723" t="s">
        <v>47</v>
      </c>
      <c r="K723" t="str">
        <f t="shared" ca="1" si="70"/>
        <v>OK</v>
      </c>
      <c r="L723" t="s">
        <v>1218</v>
      </c>
      <c r="M723">
        <v>5</v>
      </c>
      <c r="N723" s="2">
        <v>46040</v>
      </c>
      <c r="O723" s="2" t="s">
        <v>22</v>
      </c>
      <c r="P723" s="4">
        <f t="shared" ca="1" si="68"/>
        <v>6</v>
      </c>
      <c r="Q723" s="4" t="str">
        <f t="shared" ca="1" si="69"/>
        <v>6-10 Years</v>
      </c>
      <c r="R723">
        <f t="shared" ca="1" si="71"/>
        <v>0</v>
      </c>
      <c r="S723" t="s">
        <v>22</v>
      </c>
      <c r="T723">
        <v>3</v>
      </c>
      <c r="U723" t="s">
        <v>1394</v>
      </c>
      <c r="V723" t="s">
        <v>1394</v>
      </c>
      <c r="W723" t="s">
        <v>1394</v>
      </c>
      <c r="X723" s="3">
        <v>5</v>
      </c>
      <c r="Y723" t="s">
        <v>1395</v>
      </c>
      <c r="Z723">
        <v>28035</v>
      </c>
      <c r="AA723">
        <v>0.1</v>
      </c>
      <c r="AB723">
        <v>30838.500000000004</v>
      </c>
    </row>
    <row r="724" spans="1:28" x14ac:dyDescent="0.35">
      <c r="A724" t="str">
        <f t="shared" si="66"/>
        <v>EMP0723</v>
      </c>
      <c r="B724" t="str" cm="1">
        <f t="array" ref="B724">_xlfn.IFS(
ROW()&lt;=421,"NA",
ROW()&lt;=781,"LATAM",
ROW()&lt;=1021,"EMEA",
TRUE,"APAC"
)</f>
        <v>LATAM</v>
      </c>
      <c r="C724" t="str">
        <f t="shared" si="67"/>
        <v>Mexico</v>
      </c>
      <c r="D724" t="s">
        <v>26</v>
      </c>
      <c r="E724" t="s">
        <v>145</v>
      </c>
      <c r="F724" t="s">
        <v>185</v>
      </c>
      <c r="G724" t="s">
        <v>28</v>
      </c>
      <c r="H724" s="2">
        <v>43714</v>
      </c>
      <c r="I724" t="s">
        <v>29</v>
      </c>
      <c r="J724" t="s">
        <v>30</v>
      </c>
      <c r="K724" t="str">
        <f t="shared" ca="1" si="70"/>
        <v>OK</v>
      </c>
      <c r="L724" t="s">
        <v>186</v>
      </c>
      <c r="M724">
        <v>4</v>
      </c>
      <c r="N724" s="2">
        <v>46063</v>
      </c>
      <c r="O724" s="2" t="s">
        <v>22</v>
      </c>
      <c r="P724" s="4">
        <f t="shared" ca="1" si="68"/>
        <v>6</v>
      </c>
      <c r="Q724" s="4" t="str">
        <f t="shared" ca="1" si="69"/>
        <v>6-10 Years</v>
      </c>
      <c r="R724">
        <f t="shared" ca="1" si="71"/>
        <v>0</v>
      </c>
      <c r="S724" t="s">
        <v>22</v>
      </c>
      <c r="T724">
        <v>4</v>
      </c>
      <c r="U724" t="s">
        <v>1394</v>
      </c>
      <c r="V724" t="s">
        <v>1394</v>
      </c>
      <c r="W724" t="s">
        <v>1394</v>
      </c>
      <c r="X724" s="3">
        <v>3</v>
      </c>
      <c r="Y724" t="s">
        <v>1398</v>
      </c>
      <c r="Z724">
        <v>77538</v>
      </c>
      <c r="AA724">
        <v>0.15</v>
      </c>
      <c r="AB724">
        <v>89168.7</v>
      </c>
    </row>
    <row r="725" spans="1:28" x14ac:dyDescent="0.35">
      <c r="A725" t="str">
        <f t="shared" si="66"/>
        <v>EMP0724</v>
      </c>
      <c r="B725" t="str" cm="1">
        <f t="array" ref="B725">_xlfn.IFS(
ROW()&lt;=421,"NA",
ROW()&lt;=781,"LATAM",
ROW()&lt;=1021,"EMEA",
TRUE,"APAC"
)</f>
        <v>LATAM</v>
      </c>
      <c r="C725" t="str">
        <f t="shared" si="67"/>
        <v>Mexico</v>
      </c>
      <c r="D725" t="s">
        <v>44</v>
      </c>
      <c r="E725" t="s">
        <v>145</v>
      </c>
      <c r="F725" t="s">
        <v>371</v>
      </c>
      <c r="G725" t="s">
        <v>28</v>
      </c>
      <c r="H725" s="2">
        <v>43713</v>
      </c>
      <c r="I725" t="s">
        <v>29</v>
      </c>
      <c r="J725" t="s">
        <v>47</v>
      </c>
      <c r="K725" t="str">
        <f t="shared" ca="1" si="70"/>
        <v>OK</v>
      </c>
      <c r="L725" t="s">
        <v>372</v>
      </c>
      <c r="M725">
        <v>4</v>
      </c>
      <c r="N725" s="2">
        <v>46074</v>
      </c>
      <c r="O725" s="2" t="s">
        <v>22</v>
      </c>
      <c r="P725" s="4">
        <f t="shared" ca="1" si="68"/>
        <v>6</v>
      </c>
      <c r="Q725" s="4" t="str">
        <f t="shared" ca="1" si="69"/>
        <v>6-10 Years</v>
      </c>
      <c r="R725">
        <f t="shared" ca="1" si="71"/>
        <v>0</v>
      </c>
      <c r="S725" t="s">
        <v>22</v>
      </c>
      <c r="T725">
        <v>4</v>
      </c>
      <c r="U725" t="s">
        <v>1394</v>
      </c>
      <c r="V725" t="s">
        <v>1394</v>
      </c>
      <c r="W725" t="s">
        <v>1394</v>
      </c>
      <c r="X725" s="3">
        <v>1</v>
      </c>
      <c r="Y725" t="s">
        <v>1397</v>
      </c>
      <c r="Z725">
        <v>62804</v>
      </c>
      <c r="AA725">
        <v>0.15</v>
      </c>
      <c r="AB725">
        <v>72224.599999999991</v>
      </c>
    </row>
    <row r="726" spans="1:28" x14ac:dyDescent="0.35">
      <c r="A726" t="str">
        <f t="shared" si="66"/>
        <v>EMP0725</v>
      </c>
      <c r="B726" t="str" cm="1">
        <f t="array" ref="B726">_xlfn.IFS(
ROW()&lt;=421,"NA",
ROW()&lt;=781,"LATAM",
ROW()&lt;=1021,"EMEA",
TRUE,"APAC"
)</f>
        <v>LATAM</v>
      </c>
      <c r="C726" t="str">
        <f t="shared" si="67"/>
        <v>Mexico</v>
      </c>
      <c r="D726" t="s">
        <v>41</v>
      </c>
      <c r="E726" t="s">
        <v>380</v>
      </c>
      <c r="F726" t="s">
        <v>381</v>
      </c>
      <c r="G726" t="s">
        <v>28</v>
      </c>
      <c r="H726" s="2">
        <v>43713</v>
      </c>
      <c r="I726" t="s">
        <v>29</v>
      </c>
      <c r="J726" t="s">
        <v>42</v>
      </c>
      <c r="K726" t="str">
        <f t="shared" ca="1" si="70"/>
        <v>OK</v>
      </c>
      <c r="L726" t="s">
        <v>560</v>
      </c>
      <c r="M726">
        <v>5</v>
      </c>
      <c r="N726" s="2">
        <v>46009</v>
      </c>
      <c r="O726" s="2" t="s">
        <v>22</v>
      </c>
      <c r="P726" s="4">
        <f t="shared" ca="1" si="68"/>
        <v>6</v>
      </c>
      <c r="Q726" s="4" t="str">
        <f t="shared" ca="1" si="69"/>
        <v>6-10 Years</v>
      </c>
      <c r="R726">
        <f t="shared" ca="1" si="71"/>
        <v>0</v>
      </c>
      <c r="S726" t="s">
        <v>22</v>
      </c>
      <c r="T726">
        <v>3</v>
      </c>
      <c r="U726" t="s">
        <v>1394</v>
      </c>
      <c r="V726" t="s">
        <v>1394</v>
      </c>
      <c r="W726" t="s">
        <v>1394</v>
      </c>
      <c r="X726" s="3">
        <v>1</v>
      </c>
      <c r="Y726" t="s">
        <v>1397</v>
      </c>
      <c r="Z726">
        <v>30819</v>
      </c>
      <c r="AA726">
        <v>0.1</v>
      </c>
      <c r="AB726">
        <v>33900.9</v>
      </c>
    </row>
    <row r="727" spans="1:28" x14ac:dyDescent="0.35">
      <c r="A727" t="str">
        <f t="shared" si="66"/>
        <v>EMP0726</v>
      </c>
      <c r="B727" t="str" cm="1">
        <f t="array" ref="B727">_xlfn.IFS(
ROW()&lt;=421,"NA",
ROW()&lt;=781,"LATAM",
ROW()&lt;=1021,"EMEA",
TRUE,"APAC"
)</f>
        <v>LATAM</v>
      </c>
      <c r="C727" t="str">
        <f t="shared" si="67"/>
        <v>Mexico</v>
      </c>
      <c r="D727" t="s">
        <v>35</v>
      </c>
      <c r="E727" t="s">
        <v>380</v>
      </c>
      <c r="F727" t="s">
        <v>761</v>
      </c>
      <c r="G727" t="s">
        <v>28</v>
      </c>
      <c r="H727" s="2">
        <v>43712</v>
      </c>
      <c r="I727" t="s">
        <v>29</v>
      </c>
      <c r="J727" t="s">
        <v>36</v>
      </c>
      <c r="K727" t="str">
        <f t="shared" ca="1" si="70"/>
        <v>OK</v>
      </c>
      <c r="L727" t="s">
        <v>1092</v>
      </c>
      <c r="M727">
        <v>5</v>
      </c>
      <c r="N727" s="2">
        <v>46058</v>
      </c>
      <c r="O727" s="2" t="s">
        <v>22</v>
      </c>
      <c r="P727" s="4">
        <f t="shared" ca="1" si="68"/>
        <v>6</v>
      </c>
      <c r="Q727" s="4" t="str">
        <f t="shared" ca="1" si="69"/>
        <v>6-10 Years</v>
      </c>
      <c r="R727">
        <f t="shared" ca="1" si="71"/>
        <v>0</v>
      </c>
      <c r="S727" t="s">
        <v>22</v>
      </c>
      <c r="T727">
        <v>3</v>
      </c>
      <c r="U727" t="s">
        <v>1394</v>
      </c>
      <c r="V727" t="s">
        <v>1394</v>
      </c>
      <c r="W727" t="s">
        <v>1394</v>
      </c>
      <c r="X727" s="3">
        <v>4</v>
      </c>
      <c r="Y727" t="s">
        <v>1395</v>
      </c>
      <c r="Z727">
        <v>35534</v>
      </c>
      <c r="AA727">
        <v>0.1</v>
      </c>
      <c r="AB727">
        <v>39087.4</v>
      </c>
    </row>
    <row r="728" spans="1:28" x14ac:dyDescent="0.35">
      <c r="A728" t="str">
        <f t="shared" si="66"/>
        <v>EMP0727</v>
      </c>
      <c r="B728" t="str" cm="1">
        <f t="array" ref="B728">_xlfn.IFS(
ROW()&lt;=421,"NA",
ROW()&lt;=781,"LATAM",
ROW()&lt;=1021,"EMEA",
TRUE,"APAC"
)</f>
        <v>LATAM</v>
      </c>
      <c r="C728" t="str">
        <f t="shared" si="67"/>
        <v>Mexico</v>
      </c>
      <c r="D728" t="s">
        <v>38</v>
      </c>
      <c r="E728" t="s">
        <v>380</v>
      </c>
      <c r="F728" t="s">
        <v>406</v>
      </c>
      <c r="G728" t="s">
        <v>28</v>
      </c>
      <c r="H728" s="2">
        <v>43709</v>
      </c>
      <c r="I728" t="s">
        <v>57</v>
      </c>
      <c r="J728" t="s">
        <v>39</v>
      </c>
      <c r="K728" t="str">
        <f t="shared" ca="1" si="70"/>
        <v>OK</v>
      </c>
      <c r="L728" t="s">
        <v>605</v>
      </c>
      <c r="M728">
        <v>5</v>
      </c>
      <c r="N728" s="2">
        <v>46033</v>
      </c>
      <c r="O728" s="2">
        <v>45824</v>
      </c>
      <c r="P728" s="4">
        <f t="shared" ca="1" si="68"/>
        <v>5</v>
      </c>
      <c r="Q728" s="4" t="str">
        <f t="shared" ca="1" si="69"/>
        <v>3-5 Years</v>
      </c>
      <c r="R728">
        <f t="shared" ca="1" si="71"/>
        <v>0</v>
      </c>
      <c r="S728" t="s">
        <v>23</v>
      </c>
      <c r="T728">
        <v>3</v>
      </c>
      <c r="U728" t="s">
        <v>1396</v>
      </c>
      <c r="V728" t="s">
        <v>1394</v>
      </c>
      <c r="W728" t="s">
        <v>1394</v>
      </c>
      <c r="X728" s="3">
        <v>3</v>
      </c>
      <c r="Y728" t="s">
        <v>1398</v>
      </c>
      <c r="Z728">
        <v>38399</v>
      </c>
      <c r="AA728">
        <v>0.1</v>
      </c>
      <c r="AB728">
        <v>42238.9</v>
      </c>
    </row>
    <row r="729" spans="1:28" x14ac:dyDescent="0.35">
      <c r="A729" t="str">
        <f t="shared" si="66"/>
        <v>EMP0728</v>
      </c>
      <c r="B729" t="str" cm="1">
        <f t="array" ref="B729">_xlfn.IFS(
ROW()&lt;=421,"NA",
ROW()&lt;=781,"LATAM",
ROW()&lt;=1021,"EMEA",
TRUE,"APAC"
)</f>
        <v>LATAM</v>
      </c>
      <c r="C729" t="str">
        <f t="shared" si="67"/>
        <v>Mexico</v>
      </c>
      <c r="D729" t="s">
        <v>26</v>
      </c>
      <c r="E729" t="s">
        <v>145</v>
      </c>
      <c r="F729" t="s">
        <v>166</v>
      </c>
      <c r="G729" t="s">
        <v>28</v>
      </c>
      <c r="H729" s="2">
        <v>43702</v>
      </c>
      <c r="I729" t="s">
        <v>29</v>
      </c>
      <c r="J729" t="s">
        <v>30</v>
      </c>
      <c r="K729" t="str">
        <f t="shared" ca="1" si="70"/>
        <v>OK</v>
      </c>
      <c r="L729" t="s">
        <v>373</v>
      </c>
      <c r="M729">
        <v>4</v>
      </c>
      <c r="N729" s="2">
        <v>46045</v>
      </c>
      <c r="O729" s="2" t="s">
        <v>22</v>
      </c>
      <c r="P729" s="4">
        <f t="shared" ca="1" si="68"/>
        <v>6</v>
      </c>
      <c r="Q729" s="4" t="str">
        <f t="shared" ca="1" si="69"/>
        <v>6-10 Years</v>
      </c>
      <c r="R729">
        <f t="shared" ca="1" si="71"/>
        <v>0</v>
      </c>
      <c r="S729" t="s">
        <v>22</v>
      </c>
      <c r="T729">
        <v>3</v>
      </c>
      <c r="U729" t="s">
        <v>1394</v>
      </c>
      <c r="V729" t="s">
        <v>1396</v>
      </c>
      <c r="W729" t="s">
        <v>1396</v>
      </c>
      <c r="X729" s="3">
        <v>5</v>
      </c>
      <c r="Y729" t="s">
        <v>1395</v>
      </c>
      <c r="Z729">
        <v>69533</v>
      </c>
      <c r="AA729">
        <v>0.15</v>
      </c>
      <c r="AB729">
        <v>79962.95</v>
      </c>
    </row>
    <row r="730" spans="1:28" x14ac:dyDescent="0.35">
      <c r="A730" t="str">
        <f t="shared" si="66"/>
        <v>EMP0729</v>
      </c>
      <c r="B730" t="str" cm="1">
        <f t="array" ref="B730">_xlfn.IFS(
ROW()&lt;=421,"NA",
ROW()&lt;=781,"LATAM",
ROW()&lt;=1021,"EMEA",
TRUE,"APAC"
)</f>
        <v>LATAM</v>
      </c>
      <c r="C730" t="str">
        <f t="shared" si="67"/>
        <v>Mexico</v>
      </c>
      <c r="D730" t="s">
        <v>32</v>
      </c>
      <c r="E730" t="s">
        <v>380</v>
      </c>
      <c r="F730" t="s">
        <v>621</v>
      </c>
      <c r="G730" t="s">
        <v>28</v>
      </c>
      <c r="H730" s="2">
        <v>43696</v>
      </c>
      <c r="I730" t="s">
        <v>29</v>
      </c>
      <c r="J730" t="s">
        <v>33</v>
      </c>
      <c r="K730" t="str">
        <f t="shared" ca="1" si="70"/>
        <v>OK</v>
      </c>
      <c r="L730" t="s">
        <v>1025</v>
      </c>
      <c r="M730">
        <v>5</v>
      </c>
      <c r="N730" s="2">
        <v>46046</v>
      </c>
      <c r="O730" s="2" t="s">
        <v>22</v>
      </c>
      <c r="P730" s="4">
        <f t="shared" ca="1" si="68"/>
        <v>6</v>
      </c>
      <c r="Q730" s="4" t="str">
        <f t="shared" ca="1" si="69"/>
        <v>6-10 Years</v>
      </c>
      <c r="R730">
        <f t="shared" ca="1" si="71"/>
        <v>0</v>
      </c>
      <c r="S730" t="s">
        <v>22</v>
      </c>
      <c r="T730">
        <v>5</v>
      </c>
      <c r="U730" t="s">
        <v>1394</v>
      </c>
      <c r="V730" t="s">
        <v>1394</v>
      </c>
      <c r="W730" t="s">
        <v>1394</v>
      </c>
      <c r="X730" s="3">
        <v>3</v>
      </c>
      <c r="Y730" t="s">
        <v>1398</v>
      </c>
      <c r="Z730">
        <v>42748</v>
      </c>
      <c r="AA730">
        <v>0.1</v>
      </c>
      <c r="AB730">
        <v>47022.8</v>
      </c>
    </row>
    <row r="731" spans="1:28" x14ac:dyDescent="0.35">
      <c r="A731" t="str">
        <f t="shared" si="66"/>
        <v>EMP0730</v>
      </c>
      <c r="B731" t="str" cm="1">
        <f t="array" ref="B731">_xlfn.IFS(
ROW()&lt;=421,"NA",
ROW()&lt;=781,"LATAM",
ROW()&lt;=1021,"EMEA",
TRUE,"APAC"
)</f>
        <v>LATAM</v>
      </c>
      <c r="C731" t="str">
        <f t="shared" si="67"/>
        <v>Mexico</v>
      </c>
      <c r="D731" t="s">
        <v>38</v>
      </c>
      <c r="E731" t="s">
        <v>380</v>
      </c>
      <c r="F731" t="s">
        <v>740</v>
      </c>
      <c r="G731" t="s">
        <v>28</v>
      </c>
      <c r="H731" s="2">
        <v>43695</v>
      </c>
      <c r="I731" t="s">
        <v>29</v>
      </c>
      <c r="J731" t="s">
        <v>39</v>
      </c>
      <c r="K731" t="str">
        <f t="shared" ca="1" si="70"/>
        <v>OK</v>
      </c>
      <c r="L731" t="s">
        <v>121</v>
      </c>
      <c r="M731">
        <v>5</v>
      </c>
      <c r="N731" s="2">
        <v>46058</v>
      </c>
      <c r="O731" s="2" t="s">
        <v>22</v>
      </c>
      <c r="P731" s="4">
        <f t="shared" ca="1" si="68"/>
        <v>6</v>
      </c>
      <c r="Q731" s="4" t="str">
        <f t="shared" ca="1" si="69"/>
        <v>6-10 Years</v>
      </c>
      <c r="R731">
        <f t="shared" ca="1" si="71"/>
        <v>0</v>
      </c>
      <c r="S731" t="s">
        <v>22</v>
      </c>
      <c r="T731">
        <v>2</v>
      </c>
      <c r="U731" t="s">
        <v>1394</v>
      </c>
      <c r="V731" t="s">
        <v>1396</v>
      </c>
      <c r="W731" t="s">
        <v>1396</v>
      </c>
      <c r="X731" s="3">
        <v>1</v>
      </c>
      <c r="Y731" t="s">
        <v>1397</v>
      </c>
      <c r="Z731">
        <v>31840</v>
      </c>
      <c r="AA731">
        <v>0.1</v>
      </c>
      <c r="AB731">
        <v>35024</v>
      </c>
    </row>
    <row r="732" spans="1:28" x14ac:dyDescent="0.35">
      <c r="A732" t="str">
        <f t="shared" si="66"/>
        <v>EMP0731</v>
      </c>
      <c r="B732" t="str" cm="1">
        <f t="array" ref="B732">_xlfn.IFS(
ROW()&lt;=421,"NA",
ROW()&lt;=781,"LATAM",
ROW()&lt;=1021,"EMEA",
TRUE,"APAC"
)</f>
        <v>LATAM</v>
      </c>
      <c r="C732" t="str">
        <f t="shared" si="67"/>
        <v>Mexico</v>
      </c>
      <c r="D732" t="s">
        <v>38</v>
      </c>
      <c r="E732" t="s">
        <v>380</v>
      </c>
      <c r="F732" t="s">
        <v>761</v>
      </c>
      <c r="G732" t="s">
        <v>28</v>
      </c>
      <c r="H732" s="2">
        <v>43694</v>
      </c>
      <c r="I732" t="s">
        <v>29</v>
      </c>
      <c r="J732" t="s">
        <v>39</v>
      </c>
      <c r="K732" t="str">
        <f t="shared" ca="1" si="70"/>
        <v>OK</v>
      </c>
      <c r="L732" t="s">
        <v>1252</v>
      </c>
      <c r="M732">
        <v>5</v>
      </c>
      <c r="N732" s="2">
        <v>45990</v>
      </c>
      <c r="O732" s="2" t="s">
        <v>22</v>
      </c>
      <c r="P732" s="4">
        <f t="shared" ca="1" si="68"/>
        <v>6</v>
      </c>
      <c r="Q732" s="4" t="str">
        <f t="shared" ca="1" si="69"/>
        <v>6-10 Years</v>
      </c>
      <c r="R732">
        <f t="shared" ca="1" si="71"/>
        <v>0</v>
      </c>
      <c r="S732" t="s">
        <v>22</v>
      </c>
      <c r="T732">
        <v>3</v>
      </c>
      <c r="U732" t="s">
        <v>1394</v>
      </c>
      <c r="V732" t="s">
        <v>1394</v>
      </c>
      <c r="W732" t="s">
        <v>1394</v>
      </c>
      <c r="X732" s="3">
        <v>5</v>
      </c>
      <c r="Y732" t="s">
        <v>1395</v>
      </c>
      <c r="Z732">
        <v>30270</v>
      </c>
      <c r="AA732">
        <v>0.1</v>
      </c>
      <c r="AB732">
        <v>33297</v>
      </c>
    </row>
    <row r="733" spans="1:28" x14ac:dyDescent="0.35">
      <c r="A733" t="str">
        <f t="shared" si="66"/>
        <v>EMP0732</v>
      </c>
      <c r="B733" t="str" cm="1">
        <f t="array" ref="B733">_xlfn.IFS(
ROW()&lt;=421,"NA",
ROW()&lt;=781,"LATAM",
ROW()&lt;=1021,"EMEA",
TRUE,"APAC"
)</f>
        <v>LATAM</v>
      </c>
      <c r="C733" t="str">
        <f t="shared" si="67"/>
        <v>Mexico</v>
      </c>
      <c r="D733" t="s">
        <v>35</v>
      </c>
      <c r="E733" t="s">
        <v>380</v>
      </c>
      <c r="F733" t="s">
        <v>436</v>
      </c>
      <c r="G733" t="s">
        <v>28</v>
      </c>
      <c r="H733" s="2">
        <v>43689</v>
      </c>
      <c r="I733" t="s">
        <v>29</v>
      </c>
      <c r="J733" t="s">
        <v>36</v>
      </c>
      <c r="K733" t="str">
        <f t="shared" ca="1" si="70"/>
        <v>OK</v>
      </c>
      <c r="L733" t="s">
        <v>316</v>
      </c>
      <c r="M733">
        <v>5</v>
      </c>
      <c r="N733" s="2">
        <v>46025</v>
      </c>
      <c r="O733" s="2" t="s">
        <v>22</v>
      </c>
      <c r="P733" s="4">
        <f t="shared" ca="1" si="68"/>
        <v>6</v>
      </c>
      <c r="Q733" s="4" t="str">
        <f t="shared" ca="1" si="69"/>
        <v>6-10 Years</v>
      </c>
      <c r="R733">
        <f t="shared" ca="1" si="71"/>
        <v>0</v>
      </c>
      <c r="S733" t="s">
        <v>22</v>
      </c>
      <c r="T733">
        <v>5</v>
      </c>
      <c r="U733" t="s">
        <v>1394</v>
      </c>
      <c r="V733" t="s">
        <v>1394</v>
      </c>
      <c r="W733" t="s">
        <v>1394</v>
      </c>
      <c r="X733" s="3">
        <v>2</v>
      </c>
      <c r="Y733" t="s">
        <v>1397</v>
      </c>
      <c r="Z733">
        <v>48398</v>
      </c>
      <c r="AA733">
        <v>0.1</v>
      </c>
      <c r="AB733">
        <v>53237.8</v>
      </c>
    </row>
    <row r="734" spans="1:28" x14ac:dyDescent="0.35">
      <c r="A734" t="str">
        <f t="shared" si="66"/>
        <v>EMP0733</v>
      </c>
      <c r="B734" t="str" cm="1">
        <f t="array" ref="B734">_xlfn.IFS(
ROW()&lt;=421,"NA",
ROW()&lt;=781,"LATAM",
ROW()&lt;=1021,"EMEA",
TRUE,"APAC"
)</f>
        <v>LATAM</v>
      </c>
      <c r="C734" t="str">
        <f t="shared" si="67"/>
        <v>Mexico</v>
      </c>
      <c r="D734" t="s">
        <v>26</v>
      </c>
      <c r="E734" t="s">
        <v>380</v>
      </c>
      <c r="F734" t="s">
        <v>476</v>
      </c>
      <c r="G734" t="s">
        <v>28</v>
      </c>
      <c r="H734" s="2">
        <v>43688</v>
      </c>
      <c r="I734" t="s">
        <v>29</v>
      </c>
      <c r="J734" t="s">
        <v>30</v>
      </c>
      <c r="K734" t="str">
        <f t="shared" ca="1" si="70"/>
        <v>OK</v>
      </c>
      <c r="L734" t="s">
        <v>477</v>
      </c>
      <c r="M734">
        <v>5</v>
      </c>
      <c r="N734" s="2">
        <v>46024</v>
      </c>
      <c r="O734" s="2" t="s">
        <v>22</v>
      </c>
      <c r="P734" s="4">
        <f t="shared" ca="1" si="68"/>
        <v>6</v>
      </c>
      <c r="Q734" s="4" t="str">
        <f t="shared" ca="1" si="69"/>
        <v>6-10 Years</v>
      </c>
      <c r="R734">
        <f t="shared" ca="1" si="71"/>
        <v>0</v>
      </c>
      <c r="S734" t="s">
        <v>22</v>
      </c>
      <c r="T734">
        <v>3</v>
      </c>
      <c r="U734" t="s">
        <v>1394</v>
      </c>
      <c r="V734" t="s">
        <v>1394</v>
      </c>
      <c r="W734" t="s">
        <v>1394</v>
      </c>
      <c r="X734" s="3">
        <v>5</v>
      </c>
      <c r="Y734" t="s">
        <v>1395</v>
      </c>
      <c r="Z734">
        <v>34487</v>
      </c>
      <c r="AA734">
        <v>0.1</v>
      </c>
      <c r="AB734">
        <v>37935.700000000004</v>
      </c>
    </row>
    <row r="735" spans="1:28" x14ac:dyDescent="0.35">
      <c r="A735" t="str">
        <f t="shared" si="66"/>
        <v>EMP0734</v>
      </c>
      <c r="B735" t="str" cm="1">
        <f t="array" ref="B735">_xlfn.IFS(
ROW()&lt;=421,"NA",
ROW()&lt;=781,"LATAM",
ROW()&lt;=1021,"EMEA",
TRUE,"APAC"
)</f>
        <v>LATAM</v>
      </c>
      <c r="C735" t="str">
        <f t="shared" si="67"/>
        <v>Mexico</v>
      </c>
      <c r="D735" t="s">
        <v>26</v>
      </c>
      <c r="E735" t="s">
        <v>380</v>
      </c>
      <c r="F735" t="s">
        <v>389</v>
      </c>
      <c r="G735" t="s">
        <v>28</v>
      </c>
      <c r="H735" s="2">
        <v>43680</v>
      </c>
      <c r="I735" t="s">
        <v>29</v>
      </c>
      <c r="J735" t="s">
        <v>30</v>
      </c>
      <c r="K735" t="str">
        <f t="shared" ca="1" si="70"/>
        <v>OK</v>
      </c>
      <c r="L735" t="s">
        <v>390</v>
      </c>
      <c r="M735">
        <v>5</v>
      </c>
      <c r="N735" s="2">
        <v>45999</v>
      </c>
      <c r="O735" s="2" t="s">
        <v>22</v>
      </c>
      <c r="P735" s="4">
        <f t="shared" ca="1" si="68"/>
        <v>6</v>
      </c>
      <c r="Q735" s="4" t="str">
        <f t="shared" ca="1" si="69"/>
        <v>6-10 Years</v>
      </c>
      <c r="R735">
        <f t="shared" ca="1" si="71"/>
        <v>0</v>
      </c>
      <c r="S735" t="s">
        <v>22</v>
      </c>
      <c r="T735">
        <v>2</v>
      </c>
      <c r="U735" t="s">
        <v>1394</v>
      </c>
      <c r="V735" t="s">
        <v>1394</v>
      </c>
      <c r="W735" t="s">
        <v>1394</v>
      </c>
      <c r="X735" s="3">
        <v>1</v>
      </c>
      <c r="Y735" t="s">
        <v>1397</v>
      </c>
      <c r="Z735">
        <v>29573</v>
      </c>
      <c r="AA735">
        <v>0.1</v>
      </c>
      <c r="AB735">
        <v>32530.300000000003</v>
      </c>
    </row>
    <row r="736" spans="1:28" x14ac:dyDescent="0.35">
      <c r="A736" t="str">
        <f t="shared" si="66"/>
        <v>EMP0735</v>
      </c>
      <c r="B736" t="str" cm="1">
        <f t="array" ref="B736">_xlfn.IFS(
ROW()&lt;=421,"NA",
ROW()&lt;=781,"LATAM",
ROW()&lt;=1021,"EMEA",
TRUE,"APAC"
)</f>
        <v>LATAM</v>
      </c>
      <c r="C736" t="str">
        <f t="shared" si="67"/>
        <v>Mexico</v>
      </c>
      <c r="D736" t="s">
        <v>32</v>
      </c>
      <c r="E736" t="s">
        <v>380</v>
      </c>
      <c r="F736" t="s">
        <v>968</v>
      </c>
      <c r="G736" t="s">
        <v>28</v>
      </c>
      <c r="H736" s="2">
        <v>43679</v>
      </c>
      <c r="I736" t="s">
        <v>29</v>
      </c>
      <c r="J736" t="s">
        <v>33</v>
      </c>
      <c r="K736" t="str">
        <f t="shared" ca="1" si="70"/>
        <v>OK</v>
      </c>
      <c r="L736" t="s">
        <v>1193</v>
      </c>
      <c r="M736">
        <v>5</v>
      </c>
      <c r="N736" s="2">
        <v>46032</v>
      </c>
      <c r="O736" s="2" t="s">
        <v>22</v>
      </c>
      <c r="P736" s="4">
        <f t="shared" ca="1" si="68"/>
        <v>6</v>
      </c>
      <c r="Q736" s="4" t="str">
        <f t="shared" ca="1" si="69"/>
        <v>6-10 Years</v>
      </c>
      <c r="R736">
        <f t="shared" ca="1" si="71"/>
        <v>0</v>
      </c>
      <c r="S736" t="s">
        <v>22</v>
      </c>
      <c r="T736">
        <v>5</v>
      </c>
      <c r="U736" t="s">
        <v>1396</v>
      </c>
      <c r="V736" t="s">
        <v>1394</v>
      </c>
      <c r="W736" t="s">
        <v>1394</v>
      </c>
      <c r="X736" s="3">
        <v>4</v>
      </c>
      <c r="Y736" t="s">
        <v>1395</v>
      </c>
      <c r="Z736">
        <v>37277</v>
      </c>
      <c r="AA736">
        <v>0.1</v>
      </c>
      <c r="AB736">
        <v>41004.700000000004</v>
      </c>
    </row>
    <row r="737" spans="1:28" x14ac:dyDescent="0.35">
      <c r="A737" t="str">
        <f t="shared" si="66"/>
        <v>EMP0736</v>
      </c>
      <c r="B737" t="str" cm="1">
        <f t="array" ref="B737">_xlfn.IFS(
ROW()&lt;=421,"NA",
ROW()&lt;=781,"LATAM",
ROW()&lt;=1021,"EMEA",
TRUE,"APAC"
)</f>
        <v>LATAM</v>
      </c>
      <c r="C737" t="str">
        <f t="shared" si="67"/>
        <v>Mexico</v>
      </c>
      <c r="D737" t="s">
        <v>41</v>
      </c>
      <c r="E737" t="s">
        <v>380</v>
      </c>
      <c r="F737" t="s">
        <v>474</v>
      </c>
      <c r="G737" t="s">
        <v>28</v>
      </c>
      <c r="H737" s="2">
        <v>43669</v>
      </c>
      <c r="I737" t="s">
        <v>29</v>
      </c>
      <c r="J737" t="s">
        <v>42</v>
      </c>
      <c r="K737" t="str">
        <f t="shared" ca="1" si="70"/>
        <v>OK</v>
      </c>
      <c r="L737" t="s">
        <v>1196</v>
      </c>
      <c r="M737">
        <v>5</v>
      </c>
      <c r="N737" s="2">
        <v>46072</v>
      </c>
      <c r="O737" s="2" t="s">
        <v>22</v>
      </c>
      <c r="P737" s="4">
        <f t="shared" ca="1" si="68"/>
        <v>6</v>
      </c>
      <c r="Q737" s="4" t="str">
        <f t="shared" ca="1" si="69"/>
        <v>6-10 Years</v>
      </c>
      <c r="R737">
        <f t="shared" ca="1" si="71"/>
        <v>0</v>
      </c>
      <c r="S737" t="s">
        <v>22</v>
      </c>
      <c r="T737">
        <v>3</v>
      </c>
      <c r="U737" t="s">
        <v>1394</v>
      </c>
      <c r="V737" t="s">
        <v>1394</v>
      </c>
      <c r="W737" t="s">
        <v>1394</v>
      </c>
      <c r="X737" s="3">
        <v>1</v>
      </c>
      <c r="Y737" t="s">
        <v>1397</v>
      </c>
      <c r="Z737">
        <v>23730</v>
      </c>
      <c r="AA737">
        <v>0.1</v>
      </c>
      <c r="AB737">
        <v>26103.000000000004</v>
      </c>
    </row>
    <row r="738" spans="1:28" x14ac:dyDescent="0.35">
      <c r="A738" t="str">
        <f t="shared" si="66"/>
        <v>EMP0737</v>
      </c>
      <c r="B738" t="str" cm="1">
        <f t="array" ref="B738">_xlfn.IFS(
ROW()&lt;=421,"NA",
ROW()&lt;=781,"LATAM",
ROW()&lt;=1021,"EMEA",
TRUE,"APAC"
)</f>
        <v>LATAM</v>
      </c>
      <c r="C738" t="str">
        <f t="shared" si="67"/>
        <v>Mexico</v>
      </c>
      <c r="D738" t="s">
        <v>41</v>
      </c>
      <c r="E738" t="s">
        <v>380</v>
      </c>
      <c r="F738" t="s">
        <v>420</v>
      </c>
      <c r="G738" t="s">
        <v>28</v>
      </c>
      <c r="H738" s="2">
        <v>43668</v>
      </c>
      <c r="I738" t="s">
        <v>29</v>
      </c>
      <c r="J738" t="s">
        <v>42</v>
      </c>
      <c r="K738" t="str">
        <f t="shared" ca="1" si="70"/>
        <v>OK</v>
      </c>
      <c r="L738" t="s">
        <v>848</v>
      </c>
      <c r="M738">
        <v>5</v>
      </c>
      <c r="N738" s="2">
        <v>46013</v>
      </c>
      <c r="O738" s="2" t="s">
        <v>22</v>
      </c>
      <c r="P738" s="4">
        <f t="shared" ca="1" si="68"/>
        <v>6</v>
      </c>
      <c r="Q738" s="4" t="str">
        <f t="shared" ca="1" si="69"/>
        <v>6-10 Years</v>
      </c>
      <c r="R738">
        <f t="shared" ca="1" si="71"/>
        <v>0</v>
      </c>
      <c r="S738" t="s">
        <v>22</v>
      </c>
      <c r="T738">
        <v>4</v>
      </c>
      <c r="U738" t="s">
        <v>1394</v>
      </c>
      <c r="V738" t="s">
        <v>1394</v>
      </c>
      <c r="W738" t="s">
        <v>1394</v>
      </c>
      <c r="X738" s="3">
        <v>1</v>
      </c>
      <c r="Y738" t="s">
        <v>1397</v>
      </c>
      <c r="Z738">
        <v>45647</v>
      </c>
      <c r="AA738">
        <v>0.1</v>
      </c>
      <c r="AB738">
        <v>50211.700000000004</v>
      </c>
    </row>
    <row r="739" spans="1:28" x14ac:dyDescent="0.35">
      <c r="A739" t="str">
        <f t="shared" si="66"/>
        <v>EMP0738</v>
      </c>
      <c r="B739" t="str" cm="1">
        <f t="array" ref="B739">_xlfn.IFS(
ROW()&lt;=421,"NA",
ROW()&lt;=781,"LATAM",
ROW()&lt;=1021,"EMEA",
TRUE,"APAC"
)</f>
        <v>LATAM</v>
      </c>
      <c r="C739" t="str">
        <f t="shared" si="67"/>
        <v>Mexico</v>
      </c>
      <c r="D739" t="s">
        <v>26</v>
      </c>
      <c r="E739" t="s">
        <v>380</v>
      </c>
      <c r="F739" t="s">
        <v>447</v>
      </c>
      <c r="G739" t="s">
        <v>28</v>
      </c>
      <c r="H739" s="2">
        <v>43662</v>
      </c>
      <c r="I739" t="s">
        <v>29</v>
      </c>
      <c r="J739" t="s">
        <v>30</v>
      </c>
      <c r="K739" t="str">
        <f t="shared" ca="1" si="70"/>
        <v>OK</v>
      </c>
      <c r="L739" t="s">
        <v>774</v>
      </c>
      <c r="M739">
        <v>5</v>
      </c>
      <c r="N739" s="2">
        <v>46041</v>
      </c>
      <c r="O739" s="2" t="s">
        <v>22</v>
      </c>
      <c r="P739" s="4">
        <f t="shared" ca="1" si="68"/>
        <v>6</v>
      </c>
      <c r="Q739" s="4" t="str">
        <f t="shared" ca="1" si="69"/>
        <v>6-10 Years</v>
      </c>
      <c r="R739">
        <f t="shared" ca="1" si="71"/>
        <v>0</v>
      </c>
      <c r="S739" t="s">
        <v>22</v>
      </c>
      <c r="T739">
        <v>5</v>
      </c>
      <c r="U739" t="s">
        <v>1394</v>
      </c>
      <c r="V739" t="s">
        <v>1394</v>
      </c>
      <c r="W739" t="s">
        <v>1394</v>
      </c>
      <c r="X739" s="3">
        <v>3</v>
      </c>
      <c r="Y739" t="s">
        <v>1398</v>
      </c>
      <c r="Z739">
        <v>30790</v>
      </c>
      <c r="AA739">
        <v>0.1</v>
      </c>
      <c r="AB739">
        <v>33869</v>
      </c>
    </row>
    <row r="740" spans="1:28" x14ac:dyDescent="0.35">
      <c r="A740" t="str">
        <f t="shared" si="66"/>
        <v>EMP0739</v>
      </c>
      <c r="B740" t="str" cm="1">
        <f t="array" ref="B740">_xlfn.IFS(
ROW()&lt;=421,"NA",
ROW()&lt;=781,"LATAM",
ROW()&lt;=1021,"EMEA",
TRUE,"APAC"
)</f>
        <v>LATAM</v>
      </c>
      <c r="C740" t="str">
        <f t="shared" si="67"/>
        <v>Mexico</v>
      </c>
      <c r="D740" t="s">
        <v>38</v>
      </c>
      <c r="E740" t="s">
        <v>380</v>
      </c>
      <c r="F740" t="s">
        <v>577</v>
      </c>
      <c r="G740" t="s">
        <v>28</v>
      </c>
      <c r="H740" s="2">
        <v>43656</v>
      </c>
      <c r="I740" t="s">
        <v>57</v>
      </c>
      <c r="J740" t="s">
        <v>39</v>
      </c>
      <c r="K740" t="str">
        <f t="shared" ca="1" si="70"/>
        <v>OK</v>
      </c>
      <c r="L740" t="s">
        <v>578</v>
      </c>
      <c r="M740">
        <v>5</v>
      </c>
      <c r="N740" s="2">
        <v>45989</v>
      </c>
      <c r="O740" s="2">
        <v>45184</v>
      </c>
      <c r="P740" s="4">
        <f t="shared" ca="1" si="68"/>
        <v>4</v>
      </c>
      <c r="Q740" s="4" t="str">
        <f t="shared" ca="1" si="69"/>
        <v>3-5 Years</v>
      </c>
      <c r="R740">
        <f t="shared" ca="1" si="71"/>
        <v>0</v>
      </c>
      <c r="S740" t="s">
        <v>23</v>
      </c>
      <c r="T740">
        <v>4</v>
      </c>
      <c r="U740" t="s">
        <v>1394</v>
      </c>
      <c r="V740" t="s">
        <v>1394</v>
      </c>
      <c r="W740" t="s">
        <v>1394</v>
      </c>
      <c r="X740" s="3">
        <v>2</v>
      </c>
      <c r="Y740" t="s">
        <v>1397</v>
      </c>
      <c r="Z740">
        <v>21011</v>
      </c>
      <c r="AA740">
        <v>0.1</v>
      </c>
      <c r="AB740">
        <v>23112.100000000002</v>
      </c>
    </row>
    <row r="741" spans="1:28" x14ac:dyDescent="0.35">
      <c r="A741" t="str">
        <f t="shared" si="66"/>
        <v>EMP0740</v>
      </c>
      <c r="B741" t="str" cm="1">
        <f t="array" ref="B741">_xlfn.IFS(
ROW()&lt;=421,"NA",
ROW()&lt;=781,"LATAM",
ROW()&lt;=1021,"EMEA",
TRUE,"APAC"
)</f>
        <v>LATAM</v>
      </c>
      <c r="C741" t="str">
        <f t="shared" si="67"/>
        <v>Mexico</v>
      </c>
      <c r="D741" t="s">
        <v>44</v>
      </c>
      <c r="E741" t="s">
        <v>380</v>
      </c>
      <c r="F741" t="s">
        <v>1065</v>
      </c>
      <c r="G741" t="s">
        <v>53</v>
      </c>
      <c r="H741" s="2">
        <v>43655</v>
      </c>
      <c r="I741" t="s">
        <v>29</v>
      </c>
      <c r="J741" t="s">
        <v>47</v>
      </c>
      <c r="K741" t="str">
        <f t="shared" ca="1" si="70"/>
        <v>OK</v>
      </c>
      <c r="L741" t="s">
        <v>1066</v>
      </c>
      <c r="M741">
        <v>5</v>
      </c>
      <c r="N741" s="2">
        <v>46045</v>
      </c>
      <c r="O741" s="2" t="s">
        <v>22</v>
      </c>
      <c r="P741" s="4">
        <f t="shared" ca="1" si="68"/>
        <v>6</v>
      </c>
      <c r="Q741" s="4" t="str">
        <f t="shared" ca="1" si="69"/>
        <v>6-10 Years</v>
      </c>
      <c r="R741">
        <f t="shared" ca="1" si="71"/>
        <v>0</v>
      </c>
      <c r="S741" t="s">
        <v>22</v>
      </c>
      <c r="T741">
        <v>4</v>
      </c>
      <c r="U741" t="s">
        <v>1394</v>
      </c>
      <c r="V741" t="s">
        <v>1394</v>
      </c>
      <c r="W741" t="s">
        <v>1394</v>
      </c>
      <c r="X741" s="3">
        <v>4</v>
      </c>
      <c r="Y741" t="s">
        <v>1395</v>
      </c>
      <c r="Z741">
        <v>47338</v>
      </c>
      <c r="AA741">
        <v>0.1</v>
      </c>
      <c r="AB741">
        <v>52071.8</v>
      </c>
    </row>
    <row r="742" spans="1:28" x14ac:dyDescent="0.35">
      <c r="A742" t="str">
        <f t="shared" si="66"/>
        <v>EMP0741</v>
      </c>
      <c r="B742" t="str" cm="1">
        <f t="array" ref="B742">_xlfn.IFS(
ROW()&lt;=421,"NA",
ROW()&lt;=781,"LATAM",
ROW()&lt;=1021,"EMEA",
TRUE,"APAC"
)</f>
        <v>LATAM</v>
      </c>
      <c r="C742" t="str">
        <f t="shared" si="67"/>
        <v>Mexico</v>
      </c>
      <c r="D742" t="s">
        <v>38</v>
      </c>
      <c r="E742" t="s">
        <v>380</v>
      </c>
      <c r="F742" t="s">
        <v>628</v>
      </c>
      <c r="G742" t="s">
        <v>28</v>
      </c>
      <c r="H742" s="2">
        <v>43651</v>
      </c>
      <c r="I742" t="s">
        <v>29</v>
      </c>
      <c r="J742" t="s">
        <v>39</v>
      </c>
      <c r="K742" t="str">
        <f t="shared" ca="1" si="70"/>
        <v>OK</v>
      </c>
      <c r="L742" t="s">
        <v>1363</v>
      </c>
      <c r="M742">
        <v>5</v>
      </c>
      <c r="N742" s="2">
        <v>46051</v>
      </c>
      <c r="O742" s="2" t="s">
        <v>22</v>
      </c>
      <c r="P742" s="4">
        <f t="shared" ca="1" si="68"/>
        <v>6</v>
      </c>
      <c r="Q742" s="4" t="str">
        <f t="shared" ca="1" si="69"/>
        <v>6-10 Years</v>
      </c>
      <c r="R742">
        <f t="shared" ca="1" si="71"/>
        <v>0</v>
      </c>
      <c r="S742" t="s">
        <v>22</v>
      </c>
      <c r="T742">
        <v>3</v>
      </c>
      <c r="U742" t="s">
        <v>1394</v>
      </c>
      <c r="V742" t="s">
        <v>1394</v>
      </c>
      <c r="W742" t="s">
        <v>1394</v>
      </c>
      <c r="X742" s="3">
        <v>4</v>
      </c>
      <c r="Y742" t="s">
        <v>1395</v>
      </c>
      <c r="Z742">
        <v>33706</v>
      </c>
      <c r="AA742">
        <v>0.1</v>
      </c>
      <c r="AB742">
        <v>37076.600000000006</v>
      </c>
    </row>
    <row r="743" spans="1:28" x14ac:dyDescent="0.35">
      <c r="A743" t="str">
        <f t="shared" si="66"/>
        <v>EMP0742</v>
      </c>
      <c r="B743" t="str" cm="1">
        <f t="array" ref="B743">_xlfn.IFS(
ROW()&lt;=421,"NA",
ROW()&lt;=781,"LATAM",
ROW()&lt;=1021,"EMEA",
TRUE,"APAC"
)</f>
        <v>LATAM</v>
      </c>
      <c r="C743" t="str">
        <f t="shared" si="67"/>
        <v>Mexico</v>
      </c>
      <c r="D743" t="s">
        <v>26</v>
      </c>
      <c r="E743" t="s">
        <v>380</v>
      </c>
      <c r="F743" t="s">
        <v>589</v>
      </c>
      <c r="G743" t="s">
        <v>28</v>
      </c>
      <c r="H743" s="2">
        <v>43649</v>
      </c>
      <c r="I743" t="s">
        <v>29</v>
      </c>
      <c r="J743" t="s">
        <v>30</v>
      </c>
      <c r="K743" t="str">
        <f t="shared" ca="1" si="70"/>
        <v>OK</v>
      </c>
      <c r="L743" t="s">
        <v>1172</v>
      </c>
      <c r="M743">
        <v>5</v>
      </c>
      <c r="N743" s="2">
        <v>45997</v>
      </c>
      <c r="O743" s="2" t="s">
        <v>22</v>
      </c>
      <c r="P743" s="4">
        <f t="shared" ca="1" si="68"/>
        <v>6</v>
      </c>
      <c r="Q743" s="4" t="str">
        <f t="shared" ca="1" si="69"/>
        <v>6-10 Years</v>
      </c>
      <c r="R743">
        <f t="shared" ca="1" si="71"/>
        <v>0</v>
      </c>
      <c r="S743" t="s">
        <v>22</v>
      </c>
      <c r="T743">
        <v>4</v>
      </c>
      <c r="U743" t="s">
        <v>1396</v>
      </c>
      <c r="V743" t="s">
        <v>1394</v>
      </c>
      <c r="W743" t="s">
        <v>1394</v>
      </c>
      <c r="X743" s="3">
        <v>1</v>
      </c>
      <c r="Y743" t="s">
        <v>1397</v>
      </c>
      <c r="Z743">
        <v>37790</v>
      </c>
      <c r="AA743">
        <v>0.1</v>
      </c>
      <c r="AB743">
        <v>41569</v>
      </c>
    </row>
    <row r="744" spans="1:28" x14ac:dyDescent="0.35">
      <c r="A744" t="str">
        <f t="shared" si="66"/>
        <v>EMP0743</v>
      </c>
      <c r="B744" t="str" cm="1">
        <f t="array" ref="B744">_xlfn.IFS(
ROW()&lt;=421,"NA",
ROW()&lt;=781,"LATAM",
ROW()&lt;=1021,"EMEA",
TRUE,"APAC"
)</f>
        <v>LATAM</v>
      </c>
      <c r="C744" t="str">
        <f t="shared" si="67"/>
        <v>Mexico</v>
      </c>
      <c r="D744" t="s">
        <v>35</v>
      </c>
      <c r="E744" t="s">
        <v>380</v>
      </c>
      <c r="F744" t="s">
        <v>709</v>
      </c>
      <c r="G744" t="s">
        <v>28</v>
      </c>
      <c r="H744" s="2">
        <v>43648</v>
      </c>
      <c r="I744" t="s">
        <v>29</v>
      </c>
      <c r="J744" t="s">
        <v>36</v>
      </c>
      <c r="K744" t="str">
        <f t="shared" ca="1" si="70"/>
        <v>OK</v>
      </c>
      <c r="L744" t="s">
        <v>1272</v>
      </c>
      <c r="M744">
        <v>5</v>
      </c>
      <c r="N744" s="2">
        <v>46017</v>
      </c>
      <c r="O744" s="2" t="s">
        <v>22</v>
      </c>
      <c r="P744" s="4">
        <f t="shared" ca="1" si="68"/>
        <v>6</v>
      </c>
      <c r="Q744" s="4" t="str">
        <f t="shared" ca="1" si="69"/>
        <v>6-10 Years</v>
      </c>
      <c r="R744">
        <f t="shared" ca="1" si="71"/>
        <v>0</v>
      </c>
      <c r="S744" t="s">
        <v>22</v>
      </c>
      <c r="T744">
        <v>3</v>
      </c>
      <c r="U744" t="s">
        <v>1394</v>
      </c>
      <c r="V744" t="s">
        <v>1394</v>
      </c>
      <c r="W744" t="s">
        <v>1394</v>
      </c>
      <c r="X744" s="3">
        <v>2</v>
      </c>
      <c r="Y744" t="s">
        <v>1397</v>
      </c>
      <c r="Z744">
        <v>25880</v>
      </c>
      <c r="AA744">
        <v>0.1</v>
      </c>
      <c r="AB744">
        <v>28468.000000000004</v>
      </c>
    </row>
    <row r="745" spans="1:28" x14ac:dyDescent="0.35">
      <c r="A745" t="str">
        <f t="shared" si="66"/>
        <v>EMP0744</v>
      </c>
      <c r="B745" t="str" cm="1">
        <f t="array" ref="B745">_xlfn.IFS(
ROW()&lt;=421,"NA",
ROW()&lt;=781,"LATAM",
ROW()&lt;=1021,"EMEA",
TRUE,"APAC"
)</f>
        <v>LATAM</v>
      </c>
      <c r="C745" t="str">
        <f t="shared" si="67"/>
        <v>Mexico</v>
      </c>
      <c r="D745" t="s">
        <v>44</v>
      </c>
      <c r="E745" t="s">
        <v>380</v>
      </c>
      <c r="F745" t="s">
        <v>823</v>
      </c>
      <c r="G745" t="s">
        <v>28</v>
      </c>
      <c r="H745" s="2">
        <v>43641</v>
      </c>
      <c r="I745" t="s">
        <v>29</v>
      </c>
      <c r="J745" t="s">
        <v>47</v>
      </c>
      <c r="K745" t="str">
        <f t="shared" ca="1" si="70"/>
        <v>OK</v>
      </c>
      <c r="L745" t="s">
        <v>824</v>
      </c>
      <c r="M745">
        <v>5</v>
      </c>
      <c r="N745" s="2">
        <v>46004</v>
      </c>
      <c r="O745" s="2" t="s">
        <v>22</v>
      </c>
      <c r="P745" s="4">
        <f t="shared" ca="1" si="68"/>
        <v>6</v>
      </c>
      <c r="Q745" s="4" t="str">
        <f t="shared" ca="1" si="69"/>
        <v>6-10 Years</v>
      </c>
      <c r="R745">
        <f t="shared" ca="1" si="71"/>
        <v>0</v>
      </c>
      <c r="S745" t="s">
        <v>22</v>
      </c>
      <c r="T745">
        <v>2</v>
      </c>
      <c r="U745" t="s">
        <v>1394</v>
      </c>
      <c r="V745" t="s">
        <v>1394</v>
      </c>
      <c r="W745" t="s">
        <v>1394</v>
      </c>
      <c r="X745" s="3">
        <v>3</v>
      </c>
      <c r="Y745" t="s">
        <v>1398</v>
      </c>
      <c r="Z745">
        <v>44931</v>
      </c>
      <c r="AA745">
        <v>0.1</v>
      </c>
      <c r="AB745">
        <v>49424.100000000006</v>
      </c>
    </row>
    <row r="746" spans="1:28" x14ac:dyDescent="0.35">
      <c r="A746" t="str">
        <f t="shared" si="66"/>
        <v>EMP0745</v>
      </c>
      <c r="B746" t="str" cm="1">
        <f t="array" ref="B746">_xlfn.IFS(
ROW()&lt;=421,"NA",
ROW()&lt;=781,"LATAM",
ROW()&lt;=1021,"EMEA",
TRUE,"APAC"
)</f>
        <v>LATAM</v>
      </c>
      <c r="C746" t="str">
        <f t="shared" si="67"/>
        <v>Mexico</v>
      </c>
      <c r="D746" t="s">
        <v>38</v>
      </c>
      <c r="E746" t="s">
        <v>380</v>
      </c>
      <c r="F746" t="s">
        <v>740</v>
      </c>
      <c r="G746" t="s">
        <v>53</v>
      </c>
      <c r="H746" s="2">
        <v>43638</v>
      </c>
      <c r="I746" t="s">
        <v>29</v>
      </c>
      <c r="J746" t="s">
        <v>39</v>
      </c>
      <c r="K746" t="str">
        <f t="shared" ca="1" si="70"/>
        <v>OK</v>
      </c>
      <c r="L746" t="s">
        <v>1033</v>
      </c>
      <c r="M746">
        <v>5</v>
      </c>
      <c r="N746" s="2">
        <v>46056</v>
      </c>
      <c r="O746" s="2" t="s">
        <v>22</v>
      </c>
      <c r="P746" s="4">
        <f t="shared" ca="1" si="68"/>
        <v>6</v>
      </c>
      <c r="Q746" s="4" t="str">
        <f t="shared" ca="1" si="69"/>
        <v>6-10 Years</v>
      </c>
      <c r="R746">
        <f t="shared" ca="1" si="71"/>
        <v>0</v>
      </c>
      <c r="S746" t="s">
        <v>22</v>
      </c>
      <c r="T746">
        <v>4</v>
      </c>
      <c r="U746" t="s">
        <v>1394</v>
      </c>
      <c r="V746" t="s">
        <v>1394</v>
      </c>
      <c r="W746" t="s">
        <v>1394</v>
      </c>
      <c r="X746" s="3">
        <v>2</v>
      </c>
      <c r="Y746" t="s">
        <v>1397</v>
      </c>
      <c r="Z746">
        <v>34421</v>
      </c>
      <c r="AA746">
        <v>0.1</v>
      </c>
      <c r="AB746">
        <v>37863.100000000006</v>
      </c>
    </row>
    <row r="747" spans="1:28" x14ac:dyDescent="0.35">
      <c r="A747" t="str">
        <f t="shared" si="66"/>
        <v>EMP0746</v>
      </c>
      <c r="B747" t="str" cm="1">
        <f t="array" ref="B747">_xlfn.IFS(
ROW()&lt;=421,"NA",
ROW()&lt;=781,"LATAM",
ROW()&lt;=1021,"EMEA",
TRUE,"APAC"
)</f>
        <v>LATAM</v>
      </c>
      <c r="C747" t="str">
        <f t="shared" si="67"/>
        <v>Mexico</v>
      </c>
      <c r="D747" t="s">
        <v>32</v>
      </c>
      <c r="E747" t="s">
        <v>380</v>
      </c>
      <c r="F747" t="s">
        <v>983</v>
      </c>
      <c r="G747" t="s">
        <v>28</v>
      </c>
      <c r="H747" s="2">
        <v>43627</v>
      </c>
      <c r="I747" t="s">
        <v>29</v>
      </c>
      <c r="J747" t="s">
        <v>33</v>
      </c>
      <c r="K747" t="str">
        <f t="shared" ca="1" si="70"/>
        <v>OK</v>
      </c>
      <c r="L747" t="s">
        <v>1265</v>
      </c>
      <c r="M747">
        <v>5</v>
      </c>
      <c r="N747" s="2">
        <v>45995</v>
      </c>
      <c r="O747" s="2" t="s">
        <v>22</v>
      </c>
      <c r="P747" s="4">
        <f t="shared" ca="1" si="68"/>
        <v>6</v>
      </c>
      <c r="Q747" s="4" t="str">
        <f t="shared" ca="1" si="69"/>
        <v>6-10 Years</v>
      </c>
      <c r="R747">
        <f t="shared" ca="1" si="71"/>
        <v>0</v>
      </c>
      <c r="S747" t="s">
        <v>22</v>
      </c>
      <c r="T747">
        <v>4</v>
      </c>
      <c r="U747" t="s">
        <v>1394</v>
      </c>
      <c r="V747" t="s">
        <v>1394</v>
      </c>
      <c r="W747" t="s">
        <v>1394</v>
      </c>
      <c r="X747" s="3">
        <v>3</v>
      </c>
      <c r="Y747" t="s">
        <v>1398</v>
      </c>
      <c r="Z747">
        <v>24482</v>
      </c>
      <c r="AA747">
        <v>0.1</v>
      </c>
      <c r="AB747">
        <v>26930.2</v>
      </c>
    </row>
    <row r="748" spans="1:28" x14ac:dyDescent="0.35">
      <c r="A748" t="str">
        <f t="shared" si="66"/>
        <v>EMP0747</v>
      </c>
      <c r="B748" t="str" cm="1">
        <f t="array" ref="B748">_xlfn.IFS(
ROW()&lt;=421,"NA",
ROW()&lt;=781,"LATAM",
ROW()&lt;=1021,"EMEA",
TRUE,"APAC"
)</f>
        <v>LATAM</v>
      </c>
      <c r="C748" t="str">
        <f t="shared" si="67"/>
        <v>Mexico</v>
      </c>
      <c r="D748" t="s">
        <v>32</v>
      </c>
      <c r="E748" t="s">
        <v>380</v>
      </c>
      <c r="F748" t="s">
        <v>458</v>
      </c>
      <c r="G748" t="s">
        <v>28</v>
      </c>
      <c r="H748" s="2">
        <v>43626</v>
      </c>
      <c r="I748" t="s">
        <v>29</v>
      </c>
      <c r="J748" t="s">
        <v>33</v>
      </c>
      <c r="K748" t="str">
        <f t="shared" ca="1" si="70"/>
        <v>OK</v>
      </c>
      <c r="L748" t="s">
        <v>718</v>
      </c>
      <c r="M748">
        <v>5</v>
      </c>
      <c r="N748" s="2">
        <v>46050</v>
      </c>
      <c r="O748" s="2" t="s">
        <v>22</v>
      </c>
      <c r="P748" s="4">
        <f t="shared" ca="1" si="68"/>
        <v>6</v>
      </c>
      <c r="Q748" s="4" t="str">
        <f t="shared" ca="1" si="69"/>
        <v>6-10 Years</v>
      </c>
      <c r="R748">
        <f t="shared" ca="1" si="71"/>
        <v>0</v>
      </c>
      <c r="S748" t="s">
        <v>22</v>
      </c>
      <c r="T748">
        <v>4</v>
      </c>
      <c r="U748" t="s">
        <v>1394</v>
      </c>
      <c r="V748" t="s">
        <v>1396</v>
      </c>
      <c r="W748" t="s">
        <v>1394</v>
      </c>
      <c r="X748" s="3">
        <v>3</v>
      </c>
      <c r="Y748" t="s">
        <v>1398</v>
      </c>
      <c r="Z748">
        <v>35696</v>
      </c>
      <c r="AA748">
        <v>0.1</v>
      </c>
      <c r="AB748">
        <v>39265.600000000006</v>
      </c>
    </row>
    <row r="749" spans="1:28" x14ac:dyDescent="0.35">
      <c r="A749" t="str">
        <f t="shared" si="66"/>
        <v>EMP0748</v>
      </c>
      <c r="B749" t="str" cm="1">
        <f t="array" ref="B749">_xlfn.IFS(
ROW()&lt;=421,"NA",
ROW()&lt;=781,"LATAM",
ROW()&lt;=1021,"EMEA",
TRUE,"APAC"
)</f>
        <v>LATAM</v>
      </c>
      <c r="C749" t="str">
        <f t="shared" si="67"/>
        <v>Mexico</v>
      </c>
      <c r="E749" t="s">
        <v>380</v>
      </c>
      <c r="F749" t="s">
        <v>424</v>
      </c>
      <c r="G749" t="s">
        <v>53</v>
      </c>
      <c r="H749" s="2">
        <v>43624</v>
      </c>
      <c r="I749" t="s">
        <v>57</v>
      </c>
      <c r="J749" t="s">
        <v>47</v>
      </c>
      <c r="K749" t="str">
        <f t="shared" ca="1" si="70"/>
        <v>⚠ Review</v>
      </c>
      <c r="L749" t="s">
        <v>433</v>
      </c>
      <c r="M749">
        <v>5</v>
      </c>
      <c r="N749" s="2">
        <v>46065</v>
      </c>
      <c r="O749" s="2">
        <v>45237</v>
      </c>
      <c r="P749" s="4">
        <f t="shared" ca="1" si="68"/>
        <v>4</v>
      </c>
      <c r="Q749" s="4" t="str">
        <f t="shared" ca="1" si="69"/>
        <v>3-5 Years</v>
      </c>
      <c r="R749">
        <f t="shared" ca="1" si="71"/>
        <v>0</v>
      </c>
      <c r="S749" t="s">
        <v>23</v>
      </c>
      <c r="T749">
        <v>5</v>
      </c>
      <c r="U749" t="s">
        <v>1394</v>
      </c>
      <c r="V749" t="s">
        <v>1394</v>
      </c>
      <c r="W749" t="s">
        <v>1394</v>
      </c>
      <c r="X749" s="3">
        <v>4</v>
      </c>
      <c r="Y749" t="s">
        <v>1395</v>
      </c>
      <c r="Z749">
        <v>24217</v>
      </c>
      <c r="AA749">
        <v>0.1</v>
      </c>
      <c r="AB749">
        <v>26638.7</v>
      </c>
    </row>
    <row r="750" spans="1:28" x14ac:dyDescent="0.35">
      <c r="A750" t="str">
        <f t="shared" si="66"/>
        <v>EMP0749</v>
      </c>
      <c r="B750" t="str" cm="1">
        <f t="array" ref="B750">_xlfn.IFS(
ROW()&lt;=421,"NA",
ROW()&lt;=781,"LATAM",
ROW()&lt;=1021,"EMEA",
TRUE,"APAC"
)</f>
        <v>LATAM</v>
      </c>
      <c r="C750" t="str">
        <f t="shared" si="67"/>
        <v>Mexico</v>
      </c>
      <c r="D750" t="s">
        <v>35</v>
      </c>
      <c r="E750" t="s">
        <v>380</v>
      </c>
      <c r="F750" t="s">
        <v>460</v>
      </c>
      <c r="G750" t="s">
        <v>28</v>
      </c>
      <c r="H750" s="2">
        <v>43624</v>
      </c>
      <c r="I750" t="s">
        <v>29</v>
      </c>
      <c r="J750" t="s">
        <v>36</v>
      </c>
      <c r="K750" t="str">
        <f t="shared" ca="1" si="70"/>
        <v>OK</v>
      </c>
      <c r="L750" t="s">
        <v>527</v>
      </c>
      <c r="M750">
        <v>5</v>
      </c>
      <c r="N750" s="2">
        <v>46057</v>
      </c>
      <c r="O750" s="2" t="s">
        <v>22</v>
      </c>
      <c r="P750" s="4">
        <f t="shared" ca="1" si="68"/>
        <v>6</v>
      </c>
      <c r="Q750" s="4" t="str">
        <f t="shared" ca="1" si="69"/>
        <v>6-10 Years</v>
      </c>
      <c r="R750">
        <f t="shared" ca="1" si="71"/>
        <v>0</v>
      </c>
      <c r="S750" t="s">
        <v>22</v>
      </c>
      <c r="T750">
        <v>4</v>
      </c>
      <c r="U750" t="s">
        <v>1396</v>
      </c>
      <c r="V750" t="s">
        <v>1394</v>
      </c>
      <c r="W750" t="s">
        <v>1394</v>
      </c>
      <c r="X750" s="3">
        <v>1</v>
      </c>
      <c r="Y750" t="s">
        <v>1397</v>
      </c>
      <c r="Z750">
        <v>41841</v>
      </c>
      <c r="AA750">
        <v>0.1</v>
      </c>
      <c r="AB750">
        <v>46025.100000000006</v>
      </c>
    </row>
    <row r="751" spans="1:28" x14ac:dyDescent="0.35">
      <c r="A751" t="str">
        <f t="shared" si="66"/>
        <v>EMP0750</v>
      </c>
      <c r="B751" t="str" cm="1">
        <f t="array" ref="B751">_xlfn.IFS(
ROW()&lt;=421,"NA",
ROW()&lt;=781,"LATAM",
ROW()&lt;=1021,"EMEA",
TRUE,"APAC"
)</f>
        <v>LATAM</v>
      </c>
      <c r="C751" t="str">
        <f t="shared" si="67"/>
        <v>Mexico</v>
      </c>
      <c r="D751" t="s">
        <v>35</v>
      </c>
      <c r="E751" t="s">
        <v>69</v>
      </c>
      <c r="F751" t="s">
        <v>81</v>
      </c>
      <c r="G751" t="s">
        <v>28</v>
      </c>
      <c r="H751" s="2">
        <v>43623</v>
      </c>
      <c r="I751" t="s">
        <v>29</v>
      </c>
      <c r="J751" t="s">
        <v>36</v>
      </c>
      <c r="K751" t="str">
        <f t="shared" ca="1" si="70"/>
        <v>OK</v>
      </c>
      <c r="L751" t="s">
        <v>82</v>
      </c>
      <c r="M751">
        <v>3</v>
      </c>
      <c r="N751" s="2">
        <v>46069</v>
      </c>
      <c r="O751" s="2" t="s">
        <v>22</v>
      </c>
      <c r="P751" s="4">
        <f t="shared" ca="1" si="68"/>
        <v>6</v>
      </c>
      <c r="Q751" s="4" t="str">
        <f t="shared" ca="1" si="69"/>
        <v>6-10 Years</v>
      </c>
      <c r="R751">
        <f t="shared" ca="1" si="71"/>
        <v>0</v>
      </c>
      <c r="S751" t="s">
        <v>22</v>
      </c>
      <c r="T751">
        <v>3</v>
      </c>
      <c r="U751" t="s">
        <v>1394</v>
      </c>
      <c r="V751" t="s">
        <v>1394</v>
      </c>
      <c r="W751" t="s">
        <v>1394</v>
      </c>
      <c r="X751" s="3">
        <v>3</v>
      </c>
      <c r="Y751" t="s">
        <v>1398</v>
      </c>
      <c r="Z751">
        <v>131871</v>
      </c>
      <c r="AA751">
        <v>0.2</v>
      </c>
      <c r="AB751">
        <v>158245.19999999998</v>
      </c>
    </row>
    <row r="752" spans="1:28" x14ac:dyDescent="0.35">
      <c r="A752" t="str">
        <f t="shared" si="66"/>
        <v>EMP0751</v>
      </c>
      <c r="B752" t="str" cm="1">
        <f t="array" ref="B752">_xlfn.IFS(
ROW()&lt;=421,"NA",
ROW()&lt;=781,"LATAM",
ROW()&lt;=1021,"EMEA",
TRUE,"APAC"
)</f>
        <v>LATAM</v>
      </c>
      <c r="C752" t="str">
        <f t="shared" si="67"/>
        <v>Mexico</v>
      </c>
      <c r="D752" t="s">
        <v>38</v>
      </c>
      <c r="E752" t="s">
        <v>380</v>
      </c>
      <c r="F752" t="s">
        <v>484</v>
      </c>
      <c r="G752" t="s">
        <v>28</v>
      </c>
      <c r="H752" s="2">
        <v>43623</v>
      </c>
      <c r="I752" t="s">
        <v>29</v>
      </c>
      <c r="J752" t="s">
        <v>39</v>
      </c>
      <c r="K752" t="str">
        <f t="shared" ca="1" si="70"/>
        <v>OK</v>
      </c>
      <c r="L752" t="s">
        <v>978</v>
      </c>
      <c r="M752">
        <v>5</v>
      </c>
      <c r="N752" s="2">
        <v>46012</v>
      </c>
      <c r="O752" s="2" t="s">
        <v>22</v>
      </c>
      <c r="P752" s="4">
        <f t="shared" ca="1" si="68"/>
        <v>6</v>
      </c>
      <c r="Q752" s="4" t="str">
        <f t="shared" ca="1" si="69"/>
        <v>6-10 Years</v>
      </c>
      <c r="R752">
        <f t="shared" ca="1" si="71"/>
        <v>0</v>
      </c>
      <c r="S752" t="s">
        <v>22</v>
      </c>
      <c r="T752">
        <v>5</v>
      </c>
      <c r="U752" t="s">
        <v>1394</v>
      </c>
      <c r="V752" t="s">
        <v>1394</v>
      </c>
      <c r="W752" t="s">
        <v>1394</v>
      </c>
      <c r="X752" s="3">
        <v>4</v>
      </c>
      <c r="Y752" t="s">
        <v>1395</v>
      </c>
      <c r="Z752">
        <v>33970</v>
      </c>
      <c r="AA752">
        <v>0.1</v>
      </c>
      <c r="AB752">
        <v>37367</v>
      </c>
    </row>
    <row r="753" spans="1:28" x14ac:dyDescent="0.35">
      <c r="A753" t="str">
        <f t="shared" si="66"/>
        <v>EMP0752</v>
      </c>
      <c r="B753" t="str" cm="1">
        <f t="array" ref="B753">_xlfn.IFS(
ROW()&lt;=421,"NA",
ROW()&lt;=781,"LATAM",
ROW()&lt;=1021,"EMEA",
TRUE,"APAC"
)</f>
        <v>LATAM</v>
      </c>
      <c r="C753" t="str">
        <f t="shared" si="67"/>
        <v>Mexico</v>
      </c>
      <c r="D753" t="s">
        <v>38</v>
      </c>
      <c r="E753" t="s">
        <v>380</v>
      </c>
      <c r="F753" t="s">
        <v>638</v>
      </c>
      <c r="G753" t="s">
        <v>28</v>
      </c>
      <c r="H753" s="2">
        <v>43620</v>
      </c>
      <c r="I753" t="s">
        <v>29</v>
      </c>
      <c r="J753" t="s">
        <v>39</v>
      </c>
      <c r="K753" t="str">
        <f t="shared" ca="1" si="70"/>
        <v>OK</v>
      </c>
      <c r="L753" t="s">
        <v>639</v>
      </c>
      <c r="M753">
        <v>5</v>
      </c>
      <c r="N753" s="2">
        <v>46074</v>
      </c>
      <c r="O753" s="2" t="s">
        <v>22</v>
      </c>
      <c r="P753" s="4">
        <f t="shared" ca="1" si="68"/>
        <v>6</v>
      </c>
      <c r="Q753" s="4" t="str">
        <f t="shared" ca="1" si="69"/>
        <v>6-10 Years</v>
      </c>
      <c r="R753">
        <f t="shared" ca="1" si="71"/>
        <v>0</v>
      </c>
      <c r="S753" t="s">
        <v>22</v>
      </c>
      <c r="T753">
        <v>4</v>
      </c>
      <c r="U753" t="s">
        <v>1394</v>
      </c>
      <c r="V753" t="s">
        <v>1394</v>
      </c>
      <c r="W753" t="s">
        <v>1394</v>
      </c>
      <c r="X753" s="3">
        <v>3</v>
      </c>
      <c r="Y753" t="s">
        <v>1398</v>
      </c>
      <c r="Z753">
        <v>31432</v>
      </c>
      <c r="AA753">
        <v>0.1</v>
      </c>
      <c r="AB753">
        <v>34575.200000000004</v>
      </c>
    </row>
    <row r="754" spans="1:28" x14ac:dyDescent="0.35">
      <c r="A754" t="str">
        <f t="shared" si="66"/>
        <v>EMP0753</v>
      </c>
      <c r="B754" t="str" cm="1">
        <f t="array" ref="B754">_xlfn.IFS(
ROW()&lt;=421,"NA",
ROW()&lt;=781,"LATAM",
ROW()&lt;=1021,"EMEA",
TRUE,"APAC"
)</f>
        <v>LATAM</v>
      </c>
      <c r="C754" t="str">
        <f t="shared" si="67"/>
        <v>Mexico</v>
      </c>
      <c r="D754" t="s">
        <v>41</v>
      </c>
      <c r="E754" t="s">
        <v>380</v>
      </c>
      <c r="F754" t="s">
        <v>570</v>
      </c>
      <c r="G754" t="s">
        <v>28</v>
      </c>
      <c r="H754" s="2">
        <v>43617</v>
      </c>
      <c r="I754" t="s">
        <v>29</v>
      </c>
      <c r="J754" t="s">
        <v>42</v>
      </c>
      <c r="K754" t="str">
        <f t="shared" ca="1" si="70"/>
        <v>OK</v>
      </c>
      <c r="L754" t="s">
        <v>697</v>
      </c>
      <c r="M754">
        <v>5</v>
      </c>
      <c r="N754" s="2">
        <v>46063</v>
      </c>
      <c r="O754" s="2" t="s">
        <v>22</v>
      </c>
      <c r="P754" s="4">
        <f t="shared" ca="1" si="68"/>
        <v>6</v>
      </c>
      <c r="Q754" s="4" t="str">
        <f t="shared" ca="1" si="69"/>
        <v>6-10 Years</v>
      </c>
      <c r="R754">
        <f t="shared" ca="1" si="71"/>
        <v>0</v>
      </c>
      <c r="S754" t="s">
        <v>22</v>
      </c>
      <c r="T754">
        <v>3</v>
      </c>
      <c r="U754" t="s">
        <v>1394</v>
      </c>
      <c r="V754" t="s">
        <v>1394</v>
      </c>
      <c r="W754" t="s">
        <v>1394</v>
      </c>
      <c r="X754" s="3">
        <v>1</v>
      </c>
      <c r="Y754" t="s">
        <v>1397</v>
      </c>
      <c r="Z754">
        <v>28139</v>
      </c>
      <c r="AA754">
        <v>0.1</v>
      </c>
      <c r="AB754">
        <v>30952.9</v>
      </c>
    </row>
    <row r="755" spans="1:28" x14ac:dyDescent="0.35">
      <c r="A755" t="str">
        <f t="shared" si="66"/>
        <v>EMP0754</v>
      </c>
      <c r="B755" t="str" cm="1">
        <f t="array" ref="B755">_xlfn.IFS(
ROW()&lt;=421,"NA",
ROW()&lt;=781,"LATAM",
ROW()&lt;=1021,"EMEA",
TRUE,"APAC"
)</f>
        <v>LATAM</v>
      </c>
      <c r="C755" t="str">
        <f t="shared" si="67"/>
        <v>Mexico</v>
      </c>
      <c r="D755" t="s">
        <v>35</v>
      </c>
      <c r="E755" t="s">
        <v>380</v>
      </c>
      <c r="F755" t="s">
        <v>933</v>
      </c>
      <c r="G755" t="s">
        <v>28</v>
      </c>
      <c r="H755" s="2">
        <v>43607</v>
      </c>
      <c r="I755" t="s">
        <v>29</v>
      </c>
      <c r="J755" t="s">
        <v>36</v>
      </c>
      <c r="K755" t="str">
        <f t="shared" ca="1" si="70"/>
        <v>OK</v>
      </c>
      <c r="L755" t="s">
        <v>937</v>
      </c>
      <c r="M755">
        <v>5</v>
      </c>
      <c r="N755" s="2">
        <v>46066</v>
      </c>
      <c r="O755" s="2" t="s">
        <v>22</v>
      </c>
      <c r="P755" s="4">
        <f t="shared" ca="1" si="68"/>
        <v>6</v>
      </c>
      <c r="Q755" s="4" t="str">
        <f t="shared" ca="1" si="69"/>
        <v>6-10 Years</v>
      </c>
      <c r="R755">
        <f t="shared" ca="1" si="71"/>
        <v>0</v>
      </c>
      <c r="S755" t="s">
        <v>22</v>
      </c>
      <c r="T755">
        <v>3</v>
      </c>
      <c r="U755" t="s">
        <v>1394</v>
      </c>
      <c r="V755" t="s">
        <v>1394</v>
      </c>
      <c r="W755" t="s">
        <v>1394</v>
      </c>
      <c r="X755" s="3">
        <v>2</v>
      </c>
      <c r="Y755" t="s">
        <v>1397</v>
      </c>
      <c r="Z755">
        <v>46024</v>
      </c>
      <c r="AA755">
        <v>0.1</v>
      </c>
      <c r="AB755">
        <v>50626.400000000001</v>
      </c>
    </row>
    <row r="756" spans="1:28" x14ac:dyDescent="0.35">
      <c r="A756" t="str">
        <f t="shared" si="66"/>
        <v>EMP0755</v>
      </c>
      <c r="B756" t="str" cm="1">
        <f t="array" ref="B756">_xlfn.IFS(
ROW()&lt;=421,"NA",
ROW()&lt;=781,"LATAM",
ROW()&lt;=1021,"EMEA",
TRUE,"APAC"
)</f>
        <v>LATAM</v>
      </c>
      <c r="C756" t="str">
        <f t="shared" si="67"/>
        <v>Mexico</v>
      </c>
      <c r="D756" t="s">
        <v>26</v>
      </c>
      <c r="E756" t="s">
        <v>380</v>
      </c>
      <c r="F756" t="s">
        <v>794</v>
      </c>
      <c r="G756" t="s">
        <v>28</v>
      </c>
      <c r="H756" s="2">
        <v>43607</v>
      </c>
      <c r="I756" t="s">
        <v>29</v>
      </c>
      <c r="J756" t="s">
        <v>30</v>
      </c>
      <c r="K756" t="str">
        <f t="shared" ca="1" si="70"/>
        <v>OK</v>
      </c>
      <c r="L756" t="s">
        <v>1198</v>
      </c>
      <c r="M756">
        <v>5</v>
      </c>
      <c r="N756" s="2">
        <v>46068</v>
      </c>
      <c r="O756" s="2" t="s">
        <v>22</v>
      </c>
      <c r="P756" s="4">
        <f t="shared" ca="1" si="68"/>
        <v>6</v>
      </c>
      <c r="Q756" s="4" t="str">
        <f t="shared" ca="1" si="69"/>
        <v>6-10 Years</v>
      </c>
      <c r="R756">
        <f t="shared" ca="1" si="71"/>
        <v>0</v>
      </c>
      <c r="S756" t="s">
        <v>22</v>
      </c>
      <c r="T756">
        <v>5</v>
      </c>
      <c r="U756" t="s">
        <v>1394</v>
      </c>
      <c r="V756" t="s">
        <v>1394</v>
      </c>
      <c r="W756" t="s">
        <v>1394</v>
      </c>
      <c r="X756" s="3">
        <v>2</v>
      </c>
      <c r="Y756" t="s">
        <v>1397</v>
      </c>
      <c r="Z756">
        <v>21628</v>
      </c>
      <c r="AA756">
        <v>0.1</v>
      </c>
      <c r="AB756">
        <v>23790.800000000003</v>
      </c>
    </row>
    <row r="757" spans="1:28" x14ac:dyDescent="0.35">
      <c r="A757" t="str">
        <f t="shared" si="66"/>
        <v>EMP0756</v>
      </c>
      <c r="B757" t="str" cm="1">
        <f t="array" ref="B757">_xlfn.IFS(
ROW()&lt;=421,"NA",
ROW()&lt;=781,"LATAM",
ROW()&lt;=1021,"EMEA",
TRUE,"APAC"
)</f>
        <v>LATAM</v>
      </c>
      <c r="C757" t="str">
        <f t="shared" si="67"/>
        <v>Mexico</v>
      </c>
      <c r="D757" t="s">
        <v>26</v>
      </c>
      <c r="E757" t="s">
        <v>380</v>
      </c>
      <c r="F757" t="s">
        <v>595</v>
      </c>
      <c r="G757" t="s">
        <v>28</v>
      </c>
      <c r="H757" s="2">
        <v>43605</v>
      </c>
      <c r="I757" t="s">
        <v>29</v>
      </c>
      <c r="J757" t="s">
        <v>30</v>
      </c>
      <c r="K757" t="str">
        <f t="shared" ca="1" si="70"/>
        <v>OK</v>
      </c>
      <c r="L757" t="s">
        <v>1144</v>
      </c>
      <c r="M757">
        <v>5</v>
      </c>
      <c r="N757" s="2">
        <v>46031</v>
      </c>
      <c r="O757" s="2" t="s">
        <v>22</v>
      </c>
      <c r="P757" s="4">
        <f t="shared" ca="1" si="68"/>
        <v>6</v>
      </c>
      <c r="Q757" s="4" t="str">
        <f t="shared" ca="1" si="69"/>
        <v>6-10 Years</v>
      </c>
      <c r="R757">
        <f t="shared" ca="1" si="71"/>
        <v>0</v>
      </c>
      <c r="S757" t="s">
        <v>22</v>
      </c>
      <c r="T757">
        <v>4</v>
      </c>
      <c r="U757" t="s">
        <v>1394</v>
      </c>
      <c r="V757" t="s">
        <v>1396</v>
      </c>
      <c r="W757" t="s">
        <v>1394</v>
      </c>
      <c r="X757" s="3">
        <v>4</v>
      </c>
      <c r="Y757" t="s">
        <v>1395</v>
      </c>
      <c r="Z757">
        <v>32785</v>
      </c>
      <c r="AA757">
        <v>0.1</v>
      </c>
      <c r="AB757">
        <v>36063.5</v>
      </c>
    </row>
    <row r="758" spans="1:28" x14ac:dyDescent="0.35">
      <c r="A758" t="str">
        <f t="shared" si="66"/>
        <v>EMP0757</v>
      </c>
      <c r="B758" t="str" cm="1">
        <f t="array" ref="B758">_xlfn.IFS(
ROW()&lt;=421,"NA",
ROW()&lt;=781,"LATAM",
ROW()&lt;=1021,"EMEA",
TRUE,"APAC"
)</f>
        <v>LATAM</v>
      </c>
      <c r="C758" t="str">
        <f t="shared" si="67"/>
        <v>Mexico</v>
      </c>
      <c r="D758" t="s">
        <v>26</v>
      </c>
      <c r="E758" t="s">
        <v>69</v>
      </c>
      <c r="F758" t="s">
        <v>94</v>
      </c>
      <c r="G758" t="s">
        <v>53</v>
      </c>
      <c r="H758" s="2">
        <v>43600</v>
      </c>
      <c r="I758" t="s">
        <v>29</v>
      </c>
      <c r="J758" t="s">
        <v>30</v>
      </c>
      <c r="K758" t="str">
        <f t="shared" ca="1" si="70"/>
        <v>OK</v>
      </c>
      <c r="L758" t="s">
        <v>137</v>
      </c>
      <c r="M758">
        <v>3</v>
      </c>
      <c r="N758" s="2">
        <v>46014</v>
      </c>
      <c r="O758" s="2" t="s">
        <v>22</v>
      </c>
      <c r="P758" s="4">
        <f t="shared" ca="1" si="68"/>
        <v>6</v>
      </c>
      <c r="Q758" s="4" t="str">
        <f t="shared" ca="1" si="69"/>
        <v>6-10 Years</v>
      </c>
      <c r="R758">
        <f t="shared" ca="1" si="71"/>
        <v>0</v>
      </c>
      <c r="S758" t="s">
        <v>22</v>
      </c>
      <c r="T758">
        <v>4</v>
      </c>
      <c r="U758" t="s">
        <v>1396</v>
      </c>
      <c r="V758" t="s">
        <v>1394</v>
      </c>
      <c r="W758" t="s">
        <v>1394</v>
      </c>
      <c r="X758" s="3">
        <v>2</v>
      </c>
      <c r="Y758" t="s">
        <v>1397</v>
      </c>
      <c r="Z758">
        <v>130775</v>
      </c>
      <c r="AA758">
        <v>0.2</v>
      </c>
      <c r="AB758">
        <v>156930</v>
      </c>
    </row>
    <row r="759" spans="1:28" x14ac:dyDescent="0.35">
      <c r="A759" t="str">
        <f t="shared" si="66"/>
        <v>EMP0758</v>
      </c>
      <c r="B759" t="str" cm="1">
        <f t="array" ref="B759">_xlfn.IFS(
ROW()&lt;=421,"NA",
ROW()&lt;=781,"LATAM",
ROW()&lt;=1021,"EMEA",
TRUE,"APAC"
)</f>
        <v>LATAM</v>
      </c>
      <c r="C759" t="str">
        <f t="shared" si="67"/>
        <v>Mexico</v>
      </c>
      <c r="D759" t="s">
        <v>35</v>
      </c>
      <c r="E759" t="s">
        <v>380</v>
      </c>
      <c r="F759" t="s">
        <v>541</v>
      </c>
      <c r="G759" t="s">
        <v>28</v>
      </c>
      <c r="H759" s="2">
        <v>43599</v>
      </c>
      <c r="I759" t="s">
        <v>29</v>
      </c>
      <c r="J759" t="s">
        <v>36</v>
      </c>
      <c r="K759" t="str">
        <f t="shared" ca="1" si="70"/>
        <v>OK</v>
      </c>
      <c r="L759" t="s">
        <v>1146</v>
      </c>
      <c r="M759">
        <v>5</v>
      </c>
      <c r="N759" s="2">
        <v>46012</v>
      </c>
      <c r="O759" s="2" t="s">
        <v>22</v>
      </c>
      <c r="P759" s="4">
        <f t="shared" ca="1" si="68"/>
        <v>6</v>
      </c>
      <c r="Q759" s="4" t="str">
        <f t="shared" ca="1" si="69"/>
        <v>6-10 Years</v>
      </c>
      <c r="R759">
        <f t="shared" ca="1" si="71"/>
        <v>0</v>
      </c>
      <c r="S759" t="s">
        <v>22</v>
      </c>
      <c r="T759">
        <v>4</v>
      </c>
      <c r="U759" t="s">
        <v>1396</v>
      </c>
      <c r="V759" t="s">
        <v>1394</v>
      </c>
      <c r="W759" t="s">
        <v>1394</v>
      </c>
      <c r="X759" s="3">
        <v>4</v>
      </c>
      <c r="Y759" t="s">
        <v>1395</v>
      </c>
      <c r="Z759">
        <v>23873</v>
      </c>
      <c r="AA759">
        <v>0.1</v>
      </c>
      <c r="AB759">
        <v>26260.300000000003</v>
      </c>
    </row>
    <row r="760" spans="1:28" x14ac:dyDescent="0.35">
      <c r="A760" t="str">
        <f t="shared" si="66"/>
        <v>EMP0759</v>
      </c>
      <c r="B760" t="str" cm="1">
        <f t="array" ref="B760">_xlfn.IFS(
ROW()&lt;=421,"NA",
ROW()&lt;=781,"LATAM",
ROW()&lt;=1021,"EMEA",
TRUE,"APAC"
)</f>
        <v>LATAM</v>
      </c>
      <c r="C760" t="str">
        <f t="shared" si="67"/>
        <v>Mexico</v>
      </c>
      <c r="D760" t="s">
        <v>44</v>
      </c>
      <c r="E760" t="s">
        <v>380</v>
      </c>
      <c r="F760" t="s">
        <v>990</v>
      </c>
      <c r="G760" t="s">
        <v>28</v>
      </c>
      <c r="H760" s="2">
        <v>43597</v>
      </c>
      <c r="I760" t="s">
        <v>29</v>
      </c>
      <c r="J760" t="s">
        <v>47</v>
      </c>
      <c r="K760" t="str">
        <f t="shared" ca="1" si="70"/>
        <v>OK</v>
      </c>
      <c r="L760" t="s">
        <v>1318</v>
      </c>
      <c r="M760">
        <v>5</v>
      </c>
      <c r="N760" s="2">
        <v>46040</v>
      </c>
      <c r="O760" s="2" t="s">
        <v>22</v>
      </c>
      <c r="P760" s="4">
        <f t="shared" ca="1" si="68"/>
        <v>6</v>
      </c>
      <c r="Q760" s="4" t="str">
        <f t="shared" ca="1" si="69"/>
        <v>6-10 Years</v>
      </c>
      <c r="R760">
        <f t="shared" ca="1" si="71"/>
        <v>0</v>
      </c>
      <c r="S760" t="s">
        <v>22</v>
      </c>
      <c r="T760">
        <v>4</v>
      </c>
      <c r="U760" t="s">
        <v>1394</v>
      </c>
      <c r="V760" t="s">
        <v>1394</v>
      </c>
      <c r="W760" t="s">
        <v>1394</v>
      </c>
      <c r="X760" s="3">
        <v>3</v>
      </c>
      <c r="Y760" t="s">
        <v>1398</v>
      </c>
      <c r="Z760">
        <v>44203</v>
      </c>
      <c r="AA760">
        <v>0.1</v>
      </c>
      <c r="AB760">
        <v>48623.3</v>
      </c>
    </row>
    <row r="761" spans="1:28" x14ac:dyDescent="0.35">
      <c r="A761" t="str">
        <f t="shared" si="66"/>
        <v>EMP0760</v>
      </c>
      <c r="B761" t="str" cm="1">
        <f t="array" ref="B761">_xlfn.IFS(
ROW()&lt;=421,"NA",
ROW()&lt;=781,"LATAM",
ROW()&lt;=1021,"EMEA",
TRUE,"APAC"
)</f>
        <v>LATAM</v>
      </c>
      <c r="C761" t="str">
        <f t="shared" si="67"/>
        <v>Mexico</v>
      </c>
      <c r="D761" t="s">
        <v>26</v>
      </c>
      <c r="E761" t="s">
        <v>380</v>
      </c>
      <c r="F761" t="s">
        <v>658</v>
      </c>
      <c r="G761" t="s">
        <v>28</v>
      </c>
      <c r="H761" s="2">
        <v>43595</v>
      </c>
      <c r="I761" t="s">
        <v>29</v>
      </c>
      <c r="J761" t="s">
        <v>30</v>
      </c>
      <c r="K761" t="str">
        <f t="shared" ca="1" si="70"/>
        <v>OK</v>
      </c>
      <c r="L761" t="s">
        <v>659</v>
      </c>
      <c r="M761">
        <v>5</v>
      </c>
      <c r="N761" s="2">
        <v>46049</v>
      </c>
      <c r="O761" s="2" t="s">
        <v>22</v>
      </c>
      <c r="P761" s="4">
        <f t="shared" ca="1" si="68"/>
        <v>6</v>
      </c>
      <c r="Q761" s="4" t="str">
        <f t="shared" ca="1" si="69"/>
        <v>6-10 Years</v>
      </c>
      <c r="R761">
        <f t="shared" ca="1" si="71"/>
        <v>0</v>
      </c>
      <c r="S761" t="s">
        <v>22</v>
      </c>
      <c r="T761">
        <v>5</v>
      </c>
      <c r="U761" t="s">
        <v>1396</v>
      </c>
      <c r="V761" t="s">
        <v>1394</v>
      </c>
      <c r="W761" t="s">
        <v>1394</v>
      </c>
      <c r="X761" s="3">
        <v>5</v>
      </c>
      <c r="Y761" t="s">
        <v>1395</v>
      </c>
      <c r="Z761">
        <v>44884</v>
      </c>
      <c r="AA761">
        <v>0.1</v>
      </c>
      <c r="AB761">
        <v>49372.4</v>
      </c>
    </row>
    <row r="762" spans="1:28" x14ac:dyDescent="0.35">
      <c r="A762" t="str">
        <f t="shared" si="66"/>
        <v>EMP0761</v>
      </c>
      <c r="B762" t="str" cm="1">
        <f t="array" ref="B762">_xlfn.IFS(
ROW()&lt;=421,"NA",
ROW()&lt;=781,"LATAM",
ROW()&lt;=1021,"EMEA",
TRUE,"APAC"
)</f>
        <v>LATAM</v>
      </c>
      <c r="C762" t="str">
        <f t="shared" si="67"/>
        <v>Mexico</v>
      </c>
      <c r="D762" t="s">
        <v>32</v>
      </c>
      <c r="E762" t="s">
        <v>380</v>
      </c>
      <c r="F762" t="s">
        <v>790</v>
      </c>
      <c r="G762" t="s">
        <v>28</v>
      </c>
      <c r="H762" s="2">
        <v>43594</v>
      </c>
      <c r="I762" t="s">
        <v>29</v>
      </c>
      <c r="J762" t="s">
        <v>33</v>
      </c>
      <c r="K762" t="str">
        <f t="shared" ca="1" si="70"/>
        <v>OK</v>
      </c>
      <c r="L762" t="s">
        <v>791</v>
      </c>
      <c r="M762">
        <v>5</v>
      </c>
      <c r="N762" s="2">
        <v>46069</v>
      </c>
      <c r="O762" s="2" t="s">
        <v>22</v>
      </c>
      <c r="P762" s="4">
        <f t="shared" ca="1" si="68"/>
        <v>6</v>
      </c>
      <c r="Q762" s="4" t="str">
        <f t="shared" ca="1" si="69"/>
        <v>6-10 Years</v>
      </c>
      <c r="R762">
        <f t="shared" ca="1" si="71"/>
        <v>0</v>
      </c>
      <c r="S762" t="s">
        <v>22</v>
      </c>
      <c r="T762">
        <v>3</v>
      </c>
      <c r="U762" t="s">
        <v>1394</v>
      </c>
      <c r="V762" t="s">
        <v>1394</v>
      </c>
      <c r="W762" t="s">
        <v>1394</v>
      </c>
      <c r="X762" s="3">
        <v>5</v>
      </c>
      <c r="Y762" t="s">
        <v>1395</v>
      </c>
      <c r="Z762">
        <v>37599</v>
      </c>
      <c r="AA762">
        <v>0.1</v>
      </c>
      <c r="AB762">
        <v>41358.9</v>
      </c>
    </row>
    <row r="763" spans="1:28" x14ac:dyDescent="0.35">
      <c r="A763" t="str">
        <f t="shared" si="66"/>
        <v>EMP0762</v>
      </c>
      <c r="B763" t="str" cm="1">
        <f t="array" ref="B763">_xlfn.IFS(
ROW()&lt;=421,"NA",
ROW()&lt;=781,"LATAM",
ROW()&lt;=1021,"EMEA",
TRUE,"APAC"
)</f>
        <v>LATAM</v>
      </c>
      <c r="C763" t="str">
        <f t="shared" si="67"/>
        <v>Mexico</v>
      </c>
      <c r="D763" t="s">
        <v>44</v>
      </c>
      <c r="E763" t="s">
        <v>380</v>
      </c>
      <c r="F763" t="s">
        <v>631</v>
      </c>
      <c r="G763" t="s">
        <v>28</v>
      </c>
      <c r="H763" s="2">
        <v>43592</v>
      </c>
      <c r="I763" t="s">
        <v>29</v>
      </c>
      <c r="J763" t="s">
        <v>47</v>
      </c>
      <c r="K763" t="str">
        <f t="shared" ca="1" si="70"/>
        <v>OK</v>
      </c>
      <c r="L763" t="s">
        <v>671</v>
      </c>
      <c r="M763">
        <v>5</v>
      </c>
      <c r="N763" s="2">
        <v>46064</v>
      </c>
      <c r="O763" s="2" t="s">
        <v>22</v>
      </c>
      <c r="P763" s="4">
        <f t="shared" ca="1" si="68"/>
        <v>6</v>
      </c>
      <c r="Q763" s="4" t="str">
        <f t="shared" ca="1" si="69"/>
        <v>6-10 Years</v>
      </c>
      <c r="R763">
        <f t="shared" ca="1" si="71"/>
        <v>0</v>
      </c>
      <c r="S763" t="s">
        <v>22</v>
      </c>
      <c r="T763">
        <v>4</v>
      </c>
      <c r="U763" t="s">
        <v>1394</v>
      </c>
      <c r="V763" t="s">
        <v>1396</v>
      </c>
      <c r="W763" t="s">
        <v>1396</v>
      </c>
      <c r="X763" s="3">
        <v>3</v>
      </c>
      <c r="Y763" t="s">
        <v>1398</v>
      </c>
      <c r="Z763">
        <v>36688</v>
      </c>
      <c r="AA763">
        <v>0.1</v>
      </c>
      <c r="AB763">
        <v>40356.800000000003</v>
      </c>
    </row>
    <row r="764" spans="1:28" x14ac:dyDescent="0.35">
      <c r="A764" t="str">
        <f t="shared" si="66"/>
        <v>EMP0763</v>
      </c>
      <c r="B764" t="str" cm="1">
        <f t="array" ref="B764">_xlfn.IFS(
ROW()&lt;=421,"NA",
ROW()&lt;=781,"LATAM",
ROW()&lt;=1021,"EMEA",
TRUE,"APAC"
)</f>
        <v>LATAM</v>
      </c>
      <c r="C764" t="str">
        <f t="shared" si="67"/>
        <v>Mexico</v>
      </c>
      <c r="D764" t="s">
        <v>35</v>
      </c>
      <c r="E764" t="s">
        <v>380</v>
      </c>
      <c r="F764" t="s">
        <v>514</v>
      </c>
      <c r="G764" t="s">
        <v>28</v>
      </c>
      <c r="H764" s="2">
        <v>43587</v>
      </c>
      <c r="I764" t="s">
        <v>29</v>
      </c>
      <c r="J764" t="s">
        <v>36</v>
      </c>
      <c r="K764" t="str">
        <f t="shared" ca="1" si="70"/>
        <v>OK</v>
      </c>
      <c r="L764" t="s">
        <v>819</v>
      </c>
      <c r="M764">
        <v>5</v>
      </c>
      <c r="N764" s="2">
        <v>46019</v>
      </c>
      <c r="O764" s="2" t="s">
        <v>22</v>
      </c>
      <c r="P764" s="4">
        <f t="shared" ca="1" si="68"/>
        <v>6</v>
      </c>
      <c r="Q764" s="4" t="str">
        <f t="shared" ca="1" si="69"/>
        <v>6-10 Years</v>
      </c>
      <c r="R764">
        <f t="shared" ca="1" si="71"/>
        <v>0</v>
      </c>
      <c r="S764" t="s">
        <v>22</v>
      </c>
      <c r="T764">
        <v>3</v>
      </c>
      <c r="U764" t="s">
        <v>1394</v>
      </c>
      <c r="V764" t="s">
        <v>1394</v>
      </c>
      <c r="W764" t="s">
        <v>1394</v>
      </c>
      <c r="X764" s="3">
        <v>3</v>
      </c>
      <c r="Y764" t="s">
        <v>1398</v>
      </c>
      <c r="Z764">
        <v>48756</v>
      </c>
      <c r="AA764">
        <v>0.1</v>
      </c>
      <c r="AB764">
        <v>53631.600000000006</v>
      </c>
    </row>
    <row r="765" spans="1:28" x14ac:dyDescent="0.35">
      <c r="A765" t="str">
        <f t="shared" si="66"/>
        <v>EMP0764</v>
      </c>
      <c r="B765" t="str" cm="1">
        <f t="array" ref="B765">_xlfn.IFS(
ROW()&lt;=421,"NA",
ROW()&lt;=781,"LATAM",
ROW()&lt;=1021,"EMEA",
TRUE,"APAC"
)</f>
        <v>LATAM</v>
      </c>
      <c r="C765" t="str">
        <f t="shared" si="67"/>
        <v>Mexico</v>
      </c>
      <c r="D765" t="s">
        <v>41</v>
      </c>
      <c r="E765" t="s">
        <v>145</v>
      </c>
      <c r="F765" t="s">
        <v>228</v>
      </c>
      <c r="G765" t="s">
        <v>28</v>
      </c>
      <c r="H765" s="2">
        <v>43580</v>
      </c>
      <c r="I765" t="s">
        <v>29</v>
      </c>
      <c r="J765" t="s">
        <v>42</v>
      </c>
      <c r="K765" t="str">
        <f t="shared" ca="1" si="70"/>
        <v>OK</v>
      </c>
      <c r="L765" t="s">
        <v>229</v>
      </c>
      <c r="M765">
        <v>4</v>
      </c>
      <c r="N765" s="2">
        <v>46039</v>
      </c>
      <c r="O765" s="2" t="s">
        <v>22</v>
      </c>
      <c r="P765" s="4">
        <f t="shared" ca="1" si="68"/>
        <v>6</v>
      </c>
      <c r="Q765" s="4" t="str">
        <f t="shared" ca="1" si="69"/>
        <v>6-10 Years</v>
      </c>
      <c r="R765">
        <f t="shared" ca="1" si="71"/>
        <v>0</v>
      </c>
      <c r="S765" t="s">
        <v>22</v>
      </c>
      <c r="T765">
        <v>4</v>
      </c>
      <c r="U765" t="s">
        <v>1394</v>
      </c>
      <c r="V765" t="s">
        <v>1396</v>
      </c>
      <c r="W765" t="s">
        <v>1394</v>
      </c>
      <c r="X765" s="3">
        <v>3</v>
      </c>
      <c r="Y765" t="s">
        <v>1398</v>
      </c>
      <c r="Z765">
        <v>50615</v>
      </c>
      <c r="AA765">
        <v>0.15</v>
      </c>
      <c r="AB765">
        <v>58207.249999999993</v>
      </c>
    </row>
    <row r="766" spans="1:28" x14ac:dyDescent="0.35">
      <c r="A766" t="str">
        <f t="shared" si="66"/>
        <v>EMP0765</v>
      </c>
      <c r="B766" t="str" cm="1">
        <f t="array" ref="B766">_xlfn.IFS(
ROW()&lt;=421,"NA",
ROW()&lt;=781,"LATAM",
ROW()&lt;=1021,"EMEA",
TRUE,"APAC"
)</f>
        <v>LATAM</v>
      </c>
      <c r="C766" t="str">
        <f t="shared" si="67"/>
        <v>Mexico</v>
      </c>
      <c r="D766" t="s">
        <v>32</v>
      </c>
      <c r="E766" t="s">
        <v>145</v>
      </c>
      <c r="F766" t="s">
        <v>306</v>
      </c>
      <c r="G766" t="s">
        <v>28</v>
      </c>
      <c r="H766" s="2">
        <v>43573</v>
      </c>
      <c r="I766" t="s">
        <v>29</v>
      </c>
      <c r="J766" t="s">
        <v>33</v>
      </c>
      <c r="K766" t="str">
        <f t="shared" ca="1" si="70"/>
        <v>OK</v>
      </c>
      <c r="L766" t="s">
        <v>307</v>
      </c>
      <c r="M766">
        <v>4</v>
      </c>
      <c r="N766" s="2">
        <v>45994</v>
      </c>
      <c r="O766" s="2" t="s">
        <v>22</v>
      </c>
      <c r="P766" s="4">
        <f t="shared" ca="1" si="68"/>
        <v>6</v>
      </c>
      <c r="Q766" s="4" t="str">
        <f t="shared" ca="1" si="69"/>
        <v>6-10 Years</v>
      </c>
      <c r="R766">
        <f t="shared" ca="1" si="71"/>
        <v>0</v>
      </c>
      <c r="S766" t="s">
        <v>22</v>
      </c>
      <c r="T766">
        <v>3</v>
      </c>
      <c r="U766" t="s">
        <v>1394</v>
      </c>
      <c r="V766" t="s">
        <v>1394</v>
      </c>
      <c r="W766" t="s">
        <v>1394</v>
      </c>
      <c r="X766" s="3">
        <v>3</v>
      </c>
      <c r="Y766" t="s">
        <v>1398</v>
      </c>
      <c r="Z766">
        <v>64340</v>
      </c>
      <c r="AA766">
        <v>0.15</v>
      </c>
      <c r="AB766">
        <v>73991</v>
      </c>
    </row>
    <row r="767" spans="1:28" x14ac:dyDescent="0.35">
      <c r="A767" t="str">
        <f t="shared" si="66"/>
        <v>EMP0766</v>
      </c>
      <c r="B767" t="str" cm="1">
        <f t="array" ref="B767">_xlfn.IFS(
ROW()&lt;=421,"NA",
ROW()&lt;=781,"LATAM",
ROW()&lt;=1021,"EMEA",
TRUE,"APAC"
)</f>
        <v>LATAM</v>
      </c>
      <c r="C767" t="str">
        <f t="shared" si="67"/>
        <v>Mexico</v>
      </c>
      <c r="D767" t="s">
        <v>38</v>
      </c>
      <c r="E767" t="s">
        <v>380</v>
      </c>
      <c r="F767" t="s">
        <v>468</v>
      </c>
      <c r="G767" t="s">
        <v>28</v>
      </c>
      <c r="H767" s="2">
        <v>43570</v>
      </c>
      <c r="I767" t="s">
        <v>57</v>
      </c>
      <c r="J767" t="s">
        <v>39</v>
      </c>
      <c r="K767" t="str">
        <f t="shared" ca="1" si="70"/>
        <v>OK</v>
      </c>
      <c r="L767" t="s">
        <v>996</v>
      </c>
      <c r="M767">
        <v>5</v>
      </c>
      <c r="N767" s="2">
        <v>45988</v>
      </c>
      <c r="O767" s="2">
        <v>45107</v>
      </c>
      <c r="P767" s="4">
        <f t="shared" ca="1" si="68"/>
        <v>4</v>
      </c>
      <c r="Q767" s="4" t="str">
        <f t="shared" ca="1" si="69"/>
        <v>3-5 Years</v>
      </c>
      <c r="R767">
        <f t="shared" ca="1" si="71"/>
        <v>0</v>
      </c>
      <c r="S767" t="s">
        <v>23</v>
      </c>
      <c r="T767">
        <v>3</v>
      </c>
      <c r="U767" t="s">
        <v>1396</v>
      </c>
      <c r="V767" t="s">
        <v>1394</v>
      </c>
      <c r="W767" t="s">
        <v>1394</v>
      </c>
      <c r="X767" s="3">
        <v>1</v>
      </c>
      <c r="Y767" t="s">
        <v>1397</v>
      </c>
      <c r="Z767">
        <v>28576</v>
      </c>
      <c r="AA767">
        <v>0.1</v>
      </c>
      <c r="AB767">
        <v>31433.600000000002</v>
      </c>
    </row>
    <row r="768" spans="1:28" x14ac:dyDescent="0.35">
      <c r="A768" t="str">
        <f t="shared" si="66"/>
        <v>EMP0767</v>
      </c>
      <c r="B768" t="str" cm="1">
        <f t="array" ref="B768">_xlfn.IFS(
ROW()&lt;=421,"NA",
ROW()&lt;=781,"LATAM",
ROW()&lt;=1021,"EMEA",
TRUE,"APAC"
)</f>
        <v>LATAM</v>
      </c>
      <c r="C768" t="str">
        <f t="shared" si="67"/>
        <v>Mexico</v>
      </c>
      <c r="D768" t="s">
        <v>32</v>
      </c>
      <c r="E768" t="s">
        <v>380</v>
      </c>
      <c r="F768" t="s">
        <v>854</v>
      </c>
      <c r="G768" t="s">
        <v>28</v>
      </c>
      <c r="H768" s="2">
        <v>43562</v>
      </c>
      <c r="I768" t="s">
        <v>57</v>
      </c>
      <c r="J768" t="s">
        <v>33</v>
      </c>
      <c r="K768" t="str">
        <f t="shared" ca="1" si="70"/>
        <v>OK</v>
      </c>
      <c r="L768" t="s">
        <v>976</v>
      </c>
      <c r="M768">
        <v>5</v>
      </c>
      <c r="N768" s="2">
        <v>46030</v>
      </c>
      <c r="O768" s="2">
        <v>45497</v>
      </c>
      <c r="P768" s="4">
        <f t="shared" ca="1" si="68"/>
        <v>5</v>
      </c>
      <c r="Q768" s="4" t="str">
        <f t="shared" ca="1" si="69"/>
        <v>3-5 Years</v>
      </c>
      <c r="R768">
        <f t="shared" ca="1" si="71"/>
        <v>0</v>
      </c>
      <c r="S768" t="s">
        <v>23</v>
      </c>
      <c r="T768">
        <v>2</v>
      </c>
      <c r="U768" t="s">
        <v>1394</v>
      </c>
      <c r="V768" t="s">
        <v>1394</v>
      </c>
      <c r="W768" t="s">
        <v>1394</v>
      </c>
      <c r="X768" s="3">
        <v>2</v>
      </c>
      <c r="Y768" t="s">
        <v>1397</v>
      </c>
      <c r="Z768">
        <v>28413</v>
      </c>
      <c r="AA768">
        <v>0.1</v>
      </c>
      <c r="AB768">
        <v>31254.300000000003</v>
      </c>
    </row>
    <row r="769" spans="1:28" x14ac:dyDescent="0.35">
      <c r="A769" t="str">
        <f t="shared" si="66"/>
        <v>EMP0768</v>
      </c>
      <c r="B769" t="str" cm="1">
        <f t="array" ref="B769">_xlfn.IFS(
ROW()&lt;=421,"NA",
ROW()&lt;=781,"LATAM",
ROW()&lt;=1021,"EMEA",
TRUE,"APAC"
)</f>
        <v>LATAM</v>
      </c>
      <c r="C769" t="str">
        <f t="shared" si="67"/>
        <v>Mexico</v>
      </c>
      <c r="D769" t="s">
        <v>41</v>
      </c>
      <c r="E769" t="s">
        <v>380</v>
      </c>
      <c r="F769" t="s">
        <v>933</v>
      </c>
      <c r="G769" t="s">
        <v>28</v>
      </c>
      <c r="H769" s="2">
        <v>43559</v>
      </c>
      <c r="I769" t="s">
        <v>29</v>
      </c>
      <c r="J769" t="s">
        <v>42</v>
      </c>
      <c r="K769" t="str">
        <f t="shared" ca="1" si="70"/>
        <v>OK</v>
      </c>
      <c r="L769" t="s">
        <v>1176</v>
      </c>
      <c r="M769">
        <v>5</v>
      </c>
      <c r="N769" s="2">
        <v>45993</v>
      </c>
      <c r="O769" s="2" t="s">
        <v>22</v>
      </c>
      <c r="P769" s="4">
        <f t="shared" ca="1" si="68"/>
        <v>6</v>
      </c>
      <c r="Q769" s="4" t="str">
        <f t="shared" ca="1" si="69"/>
        <v>6-10 Years</v>
      </c>
      <c r="R769">
        <f t="shared" ca="1" si="71"/>
        <v>0</v>
      </c>
      <c r="S769" t="s">
        <v>22</v>
      </c>
      <c r="T769">
        <v>4</v>
      </c>
      <c r="U769" t="s">
        <v>1394</v>
      </c>
      <c r="V769" t="s">
        <v>1394</v>
      </c>
      <c r="W769" t="s">
        <v>1394</v>
      </c>
      <c r="X769" s="3">
        <v>2</v>
      </c>
      <c r="Y769" t="s">
        <v>1397</v>
      </c>
      <c r="Z769">
        <v>27134</v>
      </c>
      <c r="AA769">
        <v>0.1</v>
      </c>
      <c r="AB769">
        <v>29847.4</v>
      </c>
    </row>
    <row r="770" spans="1:28" x14ac:dyDescent="0.35">
      <c r="A770" t="str">
        <f t="shared" ref="A770:A833" si="72">"EMP"&amp;TEXT(ROW()-1,"0000")</f>
        <v>EMP0769</v>
      </c>
      <c r="B770" t="str" cm="1">
        <f t="array" ref="B770">_xlfn.IFS(
ROW()&lt;=421,"NA",
ROW()&lt;=781,"LATAM",
ROW()&lt;=1021,"EMEA",
TRUE,"APAC"
)</f>
        <v>LATAM</v>
      </c>
      <c r="C770" t="str">
        <f t="shared" ref="C770:C833" si="73">IF(B770="NA","USA",
IF(B770="LATAM","Mexico",
IF(B770="EMEA","Germany","Singapore")))</f>
        <v>Mexico</v>
      </c>
      <c r="D770" t="s">
        <v>38</v>
      </c>
      <c r="E770" t="s">
        <v>27</v>
      </c>
      <c r="F770" t="s">
        <v>22</v>
      </c>
      <c r="G770" t="s">
        <v>28</v>
      </c>
      <c r="H770" s="2">
        <v>43557</v>
      </c>
      <c r="I770" t="s">
        <v>29</v>
      </c>
      <c r="J770" t="s">
        <v>39</v>
      </c>
      <c r="K770" t="str">
        <f t="shared" ca="1" si="70"/>
        <v>⚠ Review</v>
      </c>
      <c r="L770" t="s">
        <v>40</v>
      </c>
      <c r="M770">
        <v>1</v>
      </c>
      <c r="N770" s="2">
        <v>46004</v>
      </c>
      <c r="O770" s="2" t="s">
        <v>22</v>
      </c>
      <c r="P770" s="4">
        <f t="shared" ref="P770:P833" ca="1" si="74">IF(H770&gt;TODAY(),
"",
IF(I770="Active",
DATEDIF(H770,TODAY(),"Y"),
DATEDIF(H770,O770,"Y")
))</f>
        <v>6</v>
      </c>
      <c r="Q770" s="4" t="str">
        <f t="shared" ref="Q770:Q833" ca="1" si="75">IF(P770&lt;=2,"0-2 Years",
IF(P770&lt;=5,"3-5 Years",
IF(P770&lt;=10,"6-10 Years","10+ Years")))</f>
        <v>6-10 Years</v>
      </c>
      <c r="R770">
        <f t="shared" ca="1" si="71"/>
        <v>0</v>
      </c>
      <c r="S770" t="s">
        <v>22</v>
      </c>
      <c r="T770">
        <v>3</v>
      </c>
      <c r="U770" t="s">
        <v>1394</v>
      </c>
      <c r="V770" t="s">
        <v>1394</v>
      </c>
      <c r="W770" t="s">
        <v>1394</v>
      </c>
      <c r="X770" s="3">
        <v>1</v>
      </c>
      <c r="Y770" t="s">
        <v>1397</v>
      </c>
      <c r="Z770">
        <v>219932</v>
      </c>
      <c r="AA770">
        <v>0.3</v>
      </c>
      <c r="AB770">
        <v>285911.60000000003</v>
      </c>
    </row>
    <row r="771" spans="1:28" x14ac:dyDescent="0.35">
      <c r="A771" t="str">
        <f t="shared" si="72"/>
        <v>EMP0770</v>
      </c>
      <c r="B771" t="str" cm="1">
        <f t="array" ref="B771">_xlfn.IFS(
ROW()&lt;=421,"NA",
ROW()&lt;=781,"LATAM",
ROW()&lt;=1021,"EMEA",
TRUE,"APAC"
)</f>
        <v>LATAM</v>
      </c>
      <c r="C771" t="str">
        <f t="shared" si="73"/>
        <v>Mexico</v>
      </c>
      <c r="D771" t="s">
        <v>44</v>
      </c>
      <c r="E771" t="s">
        <v>69</v>
      </c>
      <c r="F771" t="s">
        <v>86</v>
      </c>
      <c r="G771" t="s">
        <v>28</v>
      </c>
      <c r="H771" s="2">
        <v>43557</v>
      </c>
      <c r="I771" t="s">
        <v>29</v>
      </c>
      <c r="J771" t="s">
        <v>47</v>
      </c>
      <c r="K771" t="str">
        <f t="shared" ref="K771:K834" ca="1" si="76">IF(
OR(
H771="",
I771="",
AND(I771="Inactive",O771=""),
H771&gt;TODAY(),
Z771="",
F771="",
D771="",
X771&lt;1
),
"⚠ Review",
"OK"
)</f>
        <v>OK</v>
      </c>
      <c r="L771" t="s">
        <v>136</v>
      </c>
      <c r="M771">
        <v>3</v>
      </c>
      <c r="N771" s="2">
        <v>46012</v>
      </c>
      <c r="O771" s="2" t="s">
        <v>22</v>
      </c>
      <c r="P771" s="4">
        <f t="shared" ca="1" si="74"/>
        <v>6</v>
      </c>
      <c r="Q771" s="4" t="str">
        <f t="shared" ca="1" si="75"/>
        <v>6-10 Years</v>
      </c>
      <c r="R771">
        <f t="shared" ref="R771:R834" ca="1" si="77">IF(P771&lt;=2,1,0)</f>
        <v>0</v>
      </c>
      <c r="S771" t="s">
        <v>22</v>
      </c>
      <c r="T771">
        <v>3</v>
      </c>
      <c r="U771" t="s">
        <v>1394</v>
      </c>
      <c r="V771" t="s">
        <v>1394</v>
      </c>
      <c r="W771" t="s">
        <v>1394</v>
      </c>
      <c r="X771" s="3">
        <v>4</v>
      </c>
      <c r="Y771" t="s">
        <v>1395</v>
      </c>
      <c r="Z771">
        <v>137955</v>
      </c>
      <c r="AA771">
        <v>0.2</v>
      </c>
      <c r="AB771">
        <v>165546</v>
      </c>
    </row>
    <row r="772" spans="1:28" x14ac:dyDescent="0.35">
      <c r="A772" t="str">
        <f t="shared" si="72"/>
        <v>EMP0771</v>
      </c>
      <c r="B772" t="str" cm="1">
        <f t="array" ref="B772">_xlfn.IFS(
ROW()&lt;=421,"NA",
ROW()&lt;=781,"LATAM",
ROW()&lt;=1021,"EMEA",
TRUE,"APAC"
)</f>
        <v>LATAM</v>
      </c>
      <c r="C772" t="str">
        <f t="shared" si="73"/>
        <v>Mexico</v>
      </c>
      <c r="D772" t="s">
        <v>35</v>
      </c>
      <c r="E772" t="s">
        <v>380</v>
      </c>
      <c r="F772" t="s">
        <v>518</v>
      </c>
      <c r="G772" t="s">
        <v>28</v>
      </c>
      <c r="H772" s="2">
        <v>43557</v>
      </c>
      <c r="I772" t="s">
        <v>29</v>
      </c>
      <c r="J772" t="s">
        <v>36</v>
      </c>
      <c r="K772" t="str">
        <f t="shared" ca="1" si="76"/>
        <v>OK</v>
      </c>
      <c r="L772" t="s">
        <v>519</v>
      </c>
      <c r="M772">
        <v>5</v>
      </c>
      <c r="N772" s="2">
        <v>46035</v>
      </c>
      <c r="O772" s="2" t="s">
        <v>22</v>
      </c>
      <c r="P772" s="4">
        <f t="shared" ca="1" si="74"/>
        <v>6</v>
      </c>
      <c r="Q772" s="4" t="str">
        <f t="shared" ca="1" si="75"/>
        <v>6-10 Years</v>
      </c>
      <c r="R772">
        <f t="shared" ca="1" si="77"/>
        <v>0</v>
      </c>
      <c r="S772" t="s">
        <v>22</v>
      </c>
      <c r="T772">
        <v>2</v>
      </c>
      <c r="U772" t="s">
        <v>1394</v>
      </c>
      <c r="V772" t="s">
        <v>1394</v>
      </c>
      <c r="W772" t="s">
        <v>1394</v>
      </c>
      <c r="X772" s="3">
        <v>2</v>
      </c>
      <c r="Y772" t="s">
        <v>1397</v>
      </c>
      <c r="Z772">
        <v>28016</v>
      </c>
      <c r="AA772">
        <v>0.1</v>
      </c>
      <c r="AB772">
        <v>30817.600000000002</v>
      </c>
    </row>
    <row r="773" spans="1:28" x14ac:dyDescent="0.35">
      <c r="A773" t="str">
        <f t="shared" si="72"/>
        <v>EMP0772</v>
      </c>
      <c r="B773" t="str" cm="1">
        <f t="array" ref="B773">_xlfn.IFS(
ROW()&lt;=421,"NA",
ROW()&lt;=781,"LATAM",
ROW()&lt;=1021,"EMEA",
TRUE,"APAC"
)</f>
        <v>LATAM</v>
      </c>
      <c r="C773" t="str">
        <f t="shared" si="73"/>
        <v>Mexico</v>
      </c>
      <c r="D773" t="s">
        <v>32</v>
      </c>
      <c r="E773" t="s">
        <v>380</v>
      </c>
      <c r="F773" t="s">
        <v>471</v>
      </c>
      <c r="G773" t="s">
        <v>28</v>
      </c>
      <c r="H773" s="2">
        <v>43557</v>
      </c>
      <c r="I773" t="s">
        <v>29</v>
      </c>
      <c r="J773" t="s">
        <v>33</v>
      </c>
      <c r="K773" t="str">
        <f t="shared" ca="1" si="76"/>
        <v>OK</v>
      </c>
      <c r="L773" t="s">
        <v>1056</v>
      </c>
      <c r="M773">
        <v>5</v>
      </c>
      <c r="N773" s="2">
        <v>45992</v>
      </c>
      <c r="O773" s="2" t="s">
        <v>22</v>
      </c>
      <c r="P773" s="4">
        <f t="shared" ca="1" si="74"/>
        <v>6</v>
      </c>
      <c r="Q773" s="4" t="str">
        <f t="shared" ca="1" si="75"/>
        <v>6-10 Years</v>
      </c>
      <c r="R773">
        <f t="shared" ca="1" si="77"/>
        <v>0</v>
      </c>
      <c r="S773" t="s">
        <v>22</v>
      </c>
      <c r="T773">
        <v>4</v>
      </c>
      <c r="U773" t="s">
        <v>1396</v>
      </c>
      <c r="V773" t="s">
        <v>1394</v>
      </c>
      <c r="W773" t="s">
        <v>1394</v>
      </c>
      <c r="X773" s="3">
        <v>1</v>
      </c>
      <c r="Y773" t="s">
        <v>1397</v>
      </c>
      <c r="Z773">
        <v>46268</v>
      </c>
      <c r="AA773">
        <v>0.1</v>
      </c>
      <c r="AB773">
        <v>50894.8</v>
      </c>
    </row>
    <row r="774" spans="1:28" x14ac:dyDescent="0.35">
      <c r="A774" t="str">
        <f t="shared" si="72"/>
        <v>EMP0773</v>
      </c>
      <c r="B774" t="str" cm="1">
        <f t="array" ref="B774">_xlfn.IFS(
ROW()&lt;=421,"NA",
ROW()&lt;=781,"LATAM",
ROW()&lt;=1021,"EMEA",
TRUE,"APAC"
)</f>
        <v>LATAM</v>
      </c>
      <c r="C774" t="str">
        <f t="shared" si="73"/>
        <v>Mexico</v>
      </c>
      <c r="D774" t="s">
        <v>35</v>
      </c>
      <c r="E774" t="s">
        <v>380</v>
      </c>
      <c r="F774" t="s">
        <v>749</v>
      </c>
      <c r="G774" t="s">
        <v>28</v>
      </c>
      <c r="H774" s="2">
        <v>43550</v>
      </c>
      <c r="I774" t="s">
        <v>29</v>
      </c>
      <c r="J774" t="s">
        <v>36</v>
      </c>
      <c r="K774" t="str">
        <f t="shared" ca="1" si="76"/>
        <v>OK</v>
      </c>
      <c r="L774" t="s">
        <v>1232</v>
      </c>
      <c r="M774">
        <v>5</v>
      </c>
      <c r="N774" s="2">
        <v>46075</v>
      </c>
      <c r="O774" s="2" t="s">
        <v>22</v>
      </c>
      <c r="P774" s="4">
        <f t="shared" ca="1" si="74"/>
        <v>6</v>
      </c>
      <c r="Q774" s="4" t="str">
        <f t="shared" ca="1" si="75"/>
        <v>6-10 Years</v>
      </c>
      <c r="R774">
        <f t="shared" ca="1" si="77"/>
        <v>0</v>
      </c>
      <c r="S774" t="s">
        <v>22</v>
      </c>
      <c r="T774">
        <v>3</v>
      </c>
      <c r="U774" t="s">
        <v>1394</v>
      </c>
      <c r="V774" t="s">
        <v>1394</v>
      </c>
      <c r="W774" t="s">
        <v>1394</v>
      </c>
      <c r="X774" s="3">
        <v>4</v>
      </c>
      <c r="Y774" t="s">
        <v>1395</v>
      </c>
      <c r="Z774">
        <v>35685</v>
      </c>
      <c r="AA774">
        <v>0.1</v>
      </c>
      <c r="AB774">
        <v>39253.5</v>
      </c>
    </row>
    <row r="775" spans="1:28" x14ac:dyDescent="0.35">
      <c r="A775" t="str">
        <f t="shared" si="72"/>
        <v>EMP0774</v>
      </c>
      <c r="B775" t="str" cm="1">
        <f t="array" ref="B775">_xlfn.IFS(
ROW()&lt;=421,"NA",
ROW()&lt;=781,"LATAM",
ROW()&lt;=1021,"EMEA",
TRUE,"APAC"
)</f>
        <v>LATAM</v>
      </c>
      <c r="C775" t="str">
        <f t="shared" si="73"/>
        <v>Mexico</v>
      </c>
      <c r="D775" t="s">
        <v>44</v>
      </c>
      <c r="E775" t="s">
        <v>380</v>
      </c>
      <c r="F775" t="s">
        <v>495</v>
      </c>
      <c r="G775" t="s">
        <v>28</v>
      </c>
      <c r="H775" s="2">
        <v>43549</v>
      </c>
      <c r="I775" t="s">
        <v>29</v>
      </c>
      <c r="J775" t="s">
        <v>47</v>
      </c>
      <c r="K775" t="str">
        <f t="shared" ca="1" si="76"/>
        <v>OK</v>
      </c>
      <c r="L775" t="s">
        <v>238</v>
      </c>
      <c r="M775">
        <v>5</v>
      </c>
      <c r="N775" s="2">
        <v>46010</v>
      </c>
      <c r="O775" s="2" t="s">
        <v>22</v>
      </c>
      <c r="P775" s="4">
        <f t="shared" ca="1" si="74"/>
        <v>6</v>
      </c>
      <c r="Q775" s="4" t="str">
        <f t="shared" ca="1" si="75"/>
        <v>6-10 Years</v>
      </c>
      <c r="R775">
        <f t="shared" ca="1" si="77"/>
        <v>0</v>
      </c>
      <c r="S775" t="s">
        <v>22</v>
      </c>
      <c r="T775">
        <v>4</v>
      </c>
      <c r="U775" t="s">
        <v>1394</v>
      </c>
      <c r="V775" t="s">
        <v>1394</v>
      </c>
      <c r="W775" t="s">
        <v>1394</v>
      </c>
      <c r="X775" s="3">
        <v>1</v>
      </c>
      <c r="Y775" t="s">
        <v>1397</v>
      </c>
      <c r="Z775">
        <v>47396</v>
      </c>
      <c r="AA775">
        <v>0.1</v>
      </c>
      <c r="AB775">
        <v>52135.600000000006</v>
      </c>
    </row>
    <row r="776" spans="1:28" x14ac:dyDescent="0.35">
      <c r="A776" t="str">
        <f t="shared" si="72"/>
        <v>EMP0775</v>
      </c>
      <c r="B776" t="str" cm="1">
        <f t="array" ref="B776">_xlfn.IFS(
ROW()&lt;=421,"NA",
ROW()&lt;=781,"LATAM",
ROW()&lt;=1021,"EMEA",
TRUE,"APAC"
)</f>
        <v>LATAM</v>
      </c>
      <c r="C776" t="str">
        <f t="shared" si="73"/>
        <v>Mexico</v>
      </c>
      <c r="D776" t="s">
        <v>35</v>
      </c>
      <c r="E776" t="s">
        <v>380</v>
      </c>
      <c r="F776" t="s">
        <v>495</v>
      </c>
      <c r="G776" t="s">
        <v>28</v>
      </c>
      <c r="H776" s="2">
        <v>43540</v>
      </c>
      <c r="I776" t="s">
        <v>29</v>
      </c>
      <c r="J776" t="s">
        <v>36</v>
      </c>
      <c r="K776" t="str">
        <f t="shared" ca="1" si="76"/>
        <v>OK</v>
      </c>
      <c r="L776" t="s">
        <v>847</v>
      </c>
      <c r="M776">
        <v>5</v>
      </c>
      <c r="N776" s="2">
        <v>46068</v>
      </c>
      <c r="O776" s="2" t="s">
        <v>22</v>
      </c>
      <c r="P776" s="4">
        <f t="shared" ca="1" si="74"/>
        <v>6</v>
      </c>
      <c r="Q776" s="4" t="str">
        <f t="shared" ca="1" si="75"/>
        <v>6-10 Years</v>
      </c>
      <c r="R776">
        <f t="shared" ca="1" si="77"/>
        <v>0</v>
      </c>
      <c r="S776" t="s">
        <v>22</v>
      </c>
      <c r="T776">
        <v>3</v>
      </c>
      <c r="U776" t="s">
        <v>1394</v>
      </c>
      <c r="V776" t="s">
        <v>1394</v>
      </c>
      <c r="W776" t="s">
        <v>1394</v>
      </c>
      <c r="X776" s="3">
        <v>2</v>
      </c>
      <c r="Y776" t="s">
        <v>1397</v>
      </c>
      <c r="Z776">
        <v>21292</v>
      </c>
      <c r="AA776">
        <v>0.1</v>
      </c>
      <c r="AB776">
        <v>23421.200000000001</v>
      </c>
    </row>
    <row r="777" spans="1:28" x14ac:dyDescent="0.35">
      <c r="A777" t="str">
        <f t="shared" si="72"/>
        <v>EMP0776</v>
      </c>
      <c r="B777" t="str" cm="1">
        <f t="array" ref="B777">_xlfn.IFS(
ROW()&lt;=421,"NA",
ROW()&lt;=781,"LATAM",
ROW()&lt;=1021,"EMEA",
TRUE,"APAC"
)</f>
        <v>LATAM</v>
      </c>
      <c r="C777" t="str">
        <f t="shared" si="73"/>
        <v>Mexico</v>
      </c>
      <c r="D777" t="s">
        <v>44</v>
      </c>
      <c r="E777" t="s">
        <v>380</v>
      </c>
      <c r="F777" t="s">
        <v>968</v>
      </c>
      <c r="G777" t="s">
        <v>28</v>
      </c>
      <c r="H777" s="2">
        <v>43540</v>
      </c>
      <c r="I777" t="s">
        <v>29</v>
      </c>
      <c r="J777" t="s">
        <v>47</v>
      </c>
      <c r="K777" t="str">
        <f t="shared" ca="1" si="76"/>
        <v>OK</v>
      </c>
      <c r="L777" t="s">
        <v>1160</v>
      </c>
      <c r="M777">
        <v>5</v>
      </c>
      <c r="N777" s="2">
        <v>46056</v>
      </c>
      <c r="O777" s="2" t="s">
        <v>22</v>
      </c>
      <c r="P777" s="4">
        <f t="shared" ca="1" si="74"/>
        <v>6</v>
      </c>
      <c r="Q777" s="4" t="str">
        <f t="shared" ca="1" si="75"/>
        <v>6-10 Years</v>
      </c>
      <c r="R777">
        <f t="shared" ca="1" si="77"/>
        <v>0</v>
      </c>
      <c r="S777" t="s">
        <v>22</v>
      </c>
      <c r="T777">
        <v>2</v>
      </c>
      <c r="U777" t="s">
        <v>1394</v>
      </c>
      <c r="V777" t="s">
        <v>1394</v>
      </c>
      <c r="W777" t="s">
        <v>1394</v>
      </c>
      <c r="X777" s="3">
        <v>4</v>
      </c>
      <c r="Y777" t="s">
        <v>1395</v>
      </c>
      <c r="Z777">
        <v>38234</v>
      </c>
      <c r="AA777">
        <v>0.1</v>
      </c>
      <c r="AB777">
        <v>42057.4</v>
      </c>
    </row>
    <row r="778" spans="1:28" x14ac:dyDescent="0.35">
      <c r="A778" t="str">
        <f t="shared" si="72"/>
        <v>EMP0777</v>
      </c>
      <c r="B778" t="str" cm="1">
        <f t="array" ref="B778">_xlfn.IFS(
ROW()&lt;=421,"NA",
ROW()&lt;=781,"LATAM",
ROW()&lt;=1021,"EMEA",
TRUE,"APAC"
)</f>
        <v>LATAM</v>
      </c>
      <c r="C778" t="str">
        <f t="shared" si="73"/>
        <v>Mexico</v>
      </c>
      <c r="D778" t="s">
        <v>41</v>
      </c>
      <c r="E778" t="s">
        <v>380</v>
      </c>
      <c r="F778" t="s">
        <v>512</v>
      </c>
      <c r="G778" t="s">
        <v>28</v>
      </c>
      <c r="H778" s="2">
        <v>43532</v>
      </c>
      <c r="I778" t="s">
        <v>29</v>
      </c>
      <c r="J778" t="s">
        <v>42</v>
      </c>
      <c r="K778" t="str">
        <f t="shared" ca="1" si="76"/>
        <v>OK</v>
      </c>
      <c r="L778" t="s">
        <v>1369</v>
      </c>
      <c r="M778">
        <v>5</v>
      </c>
      <c r="N778" s="2">
        <v>46055</v>
      </c>
      <c r="O778" s="2" t="s">
        <v>22</v>
      </c>
      <c r="P778" s="4">
        <f t="shared" ca="1" si="74"/>
        <v>6</v>
      </c>
      <c r="Q778" s="4" t="str">
        <f t="shared" ca="1" si="75"/>
        <v>6-10 Years</v>
      </c>
      <c r="R778">
        <f t="shared" ca="1" si="77"/>
        <v>0</v>
      </c>
      <c r="S778" t="s">
        <v>22</v>
      </c>
      <c r="T778">
        <v>3</v>
      </c>
      <c r="U778" t="s">
        <v>1394</v>
      </c>
      <c r="V778" t="s">
        <v>1394</v>
      </c>
      <c r="W778" t="s">
        <v>1394</v>
      </c>
      <c r="X778" s="3">
        <v>5</v>
      </c>
      <c r="Y778" t="s">
        <v>1395</v>
      </c>
      <c r="Z778">
        <v>43857</v>
      </c>
      <c r="AA778">
        <v>0.1</v>
      </c>
      <c r="AB778">
        <v>48242.700000000004</v>
      </c>
    </row>
    <row r="779" spans="1:28" x14ac:dyDescent="0.35">
      <c r="A779" t="str">
        <f t="shared" si="72"/>
        <v>EMP0778</v>
      </c>
      <c r="B779" t="str" cm="1">
        <f t="array" ref="B779">_xlfn.IFS(
ROW()&lt;=421,"NA",
ROW()&lt;=781,"LATAM",
ROW()&lt;=1021,"EMEA",
TRUE,"APAC"
)</f>
        <v>LATAM</v>
      </c>
      <c r="C779" t="str">
        <f t="shared" si="73"/>
        <v>Mexico</v>
      </c>
      <c r="D779" t="s">
        <v>35</v>
      </c>
      <c r="E779" t="s">
        <v>380</v>
      </c>
      <c r="F779" t="s">
        <v>402</v>
      </c>
      <c r="G779" t="s">
        <v>28</v>
      </c>
      <c r="H779" s="2">
        <v>43531</v>
      </c>
      <c r="I779" t="s">
        <v>57</v>
      </c>
      <c r="J779" t="s">
        <v>36</v>
      </c>
      <c r="K779" t="str">
        <f t="shared" ca="1" si="76"/>
        <v>OK</v>
      </c>
      <c r="L779" t="s">
        <v>1315</v>
      </c>
      <c r="M779">
        <v>5</v>
      </c>
      <c r="N779" s="2">
        <v>46005</v>
      </c>
      <c r="O779" s="2">
        <v>45620</v>
      </c>
      <c r="P779" s="4">
        <f t="shared" ca="1" si="74"/>
        <v>5</v>
      </c>
      <c r="Q779" s="4" t="str">
        <f t="shared" ca="1" si="75"/>
        <v>3-5 Years</v>
      </c>
      <c r="R779">
        <f t="shared" ca="1" si="77"/>
        <v>0</v>
      </c>
      <c r="S779" t="s">
        <v>23</v>
      </c>
      <c r="T779">
        <v>2</v>
      </c>
      <c r="U779" t="s">
        <v>1394</v>
      </c>
      <c r="V779" t="s">
        <v>1394</v>
      </c>
      <c r="W779" t="s">
        <v>1394</v>
      </c>
      <c r="X779" s="3">
        <v>1</v>
      </c>
      <c r="Y779" t="s">
        <v>1397</v>
      </c>
      <c r="Z779">
        <v>26368</v>
      </c>
      <c r="AA779">
        <v>0.1</v>
      </c>
      <c r="AB779">
        <v>29004.800000000003</v>
      </c>
    </row>
    <row r="780" spans="1:28" x14ac:dyDescent="0.35">
      <c r="A780" t="str">
        <f t="shared" si="72"/>
        <v>EMP0779</v>
      </c>
      <c r="B780" t="str" cm="1">
        <f t="array" ref="B780">_xlfn.IFS(
ROW()&lt;=421,"NA",
ROW()&lt;=781,"LATAM",
ROW()&lt;=1021,"EMEA",
TRUE,"APAC"
)</f>
        <v>LATAM</v>
      </c>
      <c r="C780" t="str">
        <f t="shared" si="73"/>
        <v>Mexico</v>
      </c>
      <c r="D780" t="s">
        <v>41</v>
      </c>
      <c r="E780" t="s">
        <v>145</v>
      </c>
      <c r="F780" t="s">
        <v>318</v>
      </c>
      <c r="G780" t="s">
        <v>28</v>
      </c>
      <c r="H780" s="2">
        <v>43527</v>
      </c>
      <c r="I780" t="s">
        <v>29</v>
      </c>
      <c r="J780" t="s">
        <v>42</v>
      </c>
      <c r="K780" t="str">
        <f t="shared" ca="1" si="76"/>
        <v>OK</v>
      </c>
      <c r="L780" t="s">
        <v>319</v>
      </c>
      <c r="M780">
        <v>4</v>
      </c>
      <c r="N780" s="2">
        <v>46070</v>
      </c>
      <c r="O780" s="2" t="s">
        <v>22</v>
      </c>
      <c r="P780" s="4">
        <f t="shared" ca="1" si="74"/>
        <v>6</v>
      </c>
      <c r="Q780" s="4" t="str">
        <f t="shared" ca="1" si="75"/>
        <v>6-10 Years</v>
      </c>
      <c r="R780">
        <f t="shared" ca="1" si="77"/>
        <v>0</v>
      </c>
      <c r="S780" t="s">
        <v>22</v>
      </c>
      <c r="T780">
        <v>4</v>
      </c>
      <c r="U780" t="s">
        <v>1394</v>
      </c>
      <c r="V780" t="s">
        <v>1394</v>
      </c>
      <c r="W780" t="s">
        <v>1394</v>
      </c>
      <c r="X780" s="3">
        <v>2</v>
      </c>
      <c r="Y780" t="s">
        <v>1397</v>
      </c>
      <c r="Z780">
        <v>68884</v>
      </c>
      <c r="AA780">
        <v>0.15</v>
      </c>
      <c r="AB780">
        <v>79216.599999999991</v>
      </c>
    </row>
    <row r="781" spans="1:28" x14ac:dyDescent="0.35">
      <c r="A781" t="str">
        <f t="shared" si="72"/>
        <v>EMP0780</v>
      </c>
      <c r="B781" t="str" cm="1">
        <f t="array" ref="B781">_xlfn.IFS(
ROW()&lt;=421,"NA",
ROW()&lt;=781,"LATAM",
ROW()&lt;=1021,"EMEA",
TRUE,"APAC"
)</f>
        <v>LATAM</v>
      </c>
      <c r="C781" t="str">
        <f t="shared" si="73"/>
        <v>Mexico</v>
      </c>
      <c r="D781" t="s">
        <v>35</v>
      </c>
      <c r="E781" t="s">
        <v>145</v>
      </c>
      <c r="F781" t="s">
        <v>255</v>
      </c>
      <c r="G781" t="s">
        <v>28</v>
      </c>
      <c r="H781" s="2">
        <v>43526</v>
      </c>
      <c r="I781" t="s">
        <v>29</v>
      </c>
      <c r="J781" t="s">
        <v>36</v>
      </c>
      <c r="K781" t="str">
        <f t="shared" ca="1" si="76"/>
        <v>OK</v>
      </c>
      <c r="L781" t="s">
        <v>300</v>
      </c>
      <c r="M781">
        <v>4</v>
      </c>
      <c r="N781" s="2">
        <v>45991</v>
      </c>
      <c r="O781" s="2" t="s">
        <v>22</v>
      </c>
      <c r="P781" s="4">
        <f t="shared" ca="1" si="74"/>
        <v>7</v>
      </c>
      <c r="Q781" s="4" t="str">
        <f t="shared" ca="1" si="75"/>
        <v>6-10 Years</v>
      </c>
      <c r="R781">
        <f t="shared" ca="1" si="77"/>
        <v>0</v>
      </c>
      <c r="S781" t="s">
        <v>22</v>
      </c>
      <c r="T781">
        <v>4</v>
      </c>
      <c r="U781" t="s">
        <v>1394</v>
      </c>
      <c r="V781" t="s">
        <v>1394</v>
      </c>
      <c r="W781" t="s">
        <v>1394</v>
      </c>
      <c r="X781" s="3">
        <v>4</v>
      </c>
      <c r="Y781" t="s">
        <v>1395</v>
      </c>
      <c r="Z781">
        <v>89502</v>
      </c>
      <c r="AA781">
        <v>0.15</v>
      </c>
      <c r="AB781">
        <v>102927.29999999999</v>
      </c>
    </row>
    <row r="782" spans="1:28" x14ac:dyDescent="0.35">
      <c r="A782" t="str">
        <f t="shared" si="72"/>
        <v>EMP0781</v>
      </c>
      <c r="B782" t="str" cm="1">
        <f t="array" ref="B782">_xlfn.IFS(
ROW()&lt;=421,"NA",
ROW()&lt;=781,"LATAM",
ROW()&lt;=1021,"EMEA",
TRUE,"APAC"
)</f>
        <v>EMEA</v>
      </c>
      <c r="C782" t="str">
        <f t="shared" si="73"/>
        <v>Germany</v>
      </c>
      <c r="D782" t="s">
        <v>35</v>
      </c>
      <c r="E782" t="s">
        <v>380</v>
      </c>
      <c r="F782" t="s">
        <v>584</v>
      </c>
      <c r="G782" t="s">
        <v>28</v>
      </c>
      <c r="H782" s="2">
        <v>43510</v>
      </c>
      <c r="I782" t="s">
        <v>57</v>
      </c>
      <c r="J782" t="s">
        <v>36</v>
      </c>
      <c r="K782" t="str">
        <f t="shared" ca="1" si="76"/>
        <v>OK</v>
      </c>
      <c r="L782" t="s">
        <v>470</v>
      </c>
      <c r="M782">
        <v>5</v>
      </c>
      <c r="N782" s="2">
        <v>46059</v>
      </c>
      <c r="O782" s="2">
        <v>44613</v>
      </c>
      <c r="P782" s="4">
        <f t="shared" ca="1" si="74"/>
        <v>3</v>
      </c>
      <c r="Q782" s="4" t="str">
        <f t="shared" ca="1" si="75"/>
        <v>3-5 Years</v>
      </c>
      <c r="R782">
        <f t="shared" ca="1" si="77"/>
        <v>0</v>
      </c>
      <c r="S782" t="s">
        <v>23</v>
      </c>
      <c r="T782">
        <v>3</v>
      </c>
      <c r="U782" t="s">
        <v>1394</v>
      </c>
      <c r="V782" t="s">
        <v>1394</v>
      </c>
      <c r="W782" t="s">
        <v>1394</v>
      </c>
      <c r="X782" s="3">
        <v>4</v>
      </c>
      <c r="Y782" t="s">
        <v>1395</v>
      </c>
      <c r="Z782">
        <v>26385</v>
      </c>
      <c r="AA782">
        <v>0.1</v>
      </c>
      <c r="AB782">
        <v>29023.500000000004</v>
      </c>
    </row>
    <row r="783" spans="1:28" x14ac:dyDescent="0.35">
      <c r="A783" t="str">
        <f t="shared" si="72"/>
        <v>EMP0782</v>
      </c>
      <c r="B783" t="str" cm="1">
        <f t="array" ref="B783">_xlfn.IFS(
ROW()&lt;=421,"NA",
ROW()&lt;=781,"LATAM",
ROW()&lt;=1021,"EMEA",
TRUE,"APAC"
)</f>
        <v>EMEA</v>
      </c>
      <c r="C783" t="str">
        <f t="shared" si="73"/>
        <v>Germany</v>
      </c>
      <c r="D783" t="s">
        <v>26</v>
      </c>
      <c r="E783" t="s">
        <v>380</v>
      </c>
      <c r="F783" t="s">
        <v>584</v>
      </c>
      <c r="G783" t="s">
        <v>28</v>
      </c>
      <c r="H783" s="2">
        <v>43503</v>
      </c>
      <c r="I783" t="s">
        <v>29</v>
      </c>
      <c r="J783" t="s">
        <v>30</v>
      </c>
      <c r="K783" t="str">
        <f t="shared" ca="1" si="76"/>
        <v>OK</v>
      </c>
      <c r="L783" t="s">
        <v>1204</v>
      </c>
      <c r="M783">
        <v>5</v>
      </c>
      <c r="N783" s="2">
        <v>46042</v>
      </c>
      <c r="O783" s="2" t="s">
        <v>22</v>
      </c>
      <c r="P783" s="4">
        <f t="shared" ca="1" si="74"/>
        <v>7</v>
      </c>
      <c r="Q783" s="4" t="str">
        <f t="shared" ca="1" si="75"/>
        <v>6-10 Years</v>
      </c>
      <c r="R783">
        <f t="shared" ca="1" si="77"/>
        <v>0</v>
      </c>
      <c r="S783" t="s">
        <v>22</v>
      </c>
      <c r="T783">
        <v>3</v>
      </c>
      <c r="U783" t="s">
        <v>1394</v>
      </c>
      <c r="V783" t="s">
        <v>1394</v>
      </c>
      <c r="W783" t="s">
        <v>1394</v>
      </c>
      <c r="X783" s="3">
        <v>4</v>
      </c>
      <c r="Y783" t="s">
        <v>1395</v>
      </c>
      <c r="Z783">
        <v>43520</v>
      </c>
      <c r="AA783">
        <v>0.1</v>
      </c>
      <c r="AB783">
        <v>47872.000000000007</v>
      </c>
    </row>
    <row r="784" spans="1:28" x14ac:dyDescent="0.35">
      <c r="A784" t="str">
        <f t="shared" si="72"/>
        <v>EMP0783</v>
      </c>
      <c r="B784" t="str" cm="1">
        <f t="array" ref="B784">_xlfn.IFS(
ROW()&lt;=421,"NA",
ROW()&lt;=781,"LATAM",
ROW()&lt;=1021,"EMEA",
TRUE,"APAC"
)</f>
        <v>EMEA</v>
      </c>
      <c r="C784" t="str">
        <f t="shared" si="73"/>
        <v>Germany</v>
      </c>
      <c r="D784" t="s">
        <v>35</v>
      </c>
      <c r="E784" t="s">
        <v>380</v>
      </c>
      <c r="F784" t="s">
        <v>609</v>
      </c>
      <c r="G784" t="s">
        <v>28</v>
      </c>
      <c r="H784" s="2">
        <v>43502</v>
      </c>
      <c r="I784" t="s">
        <v>29</v>
      </c>
      <c r="J784" t="s">
        <v>36</v>
      </c>
      <c r="K784" t="str">
        <f t="shared" ca="1" si="76"/>
        <v>OK</v>
      </c>
      <c r="L784" t="s">
        <v>610</v>
      </c>
      <c r="M784">
        <v>5</v>
      </c>
      <c r="N784" s="2">
        <v>46042</v>
      </c>
      <c r="O784" s="2" t="s">
        <v>22</v>
      </c>
      <c r="P784" s="4">
        <f t="shared" ca="1" si="74"/>
        <v>7</v>
      </c>
      <c r="Q784" s="4" t="str">
        <f t="shared" ca="1" si="75"/>
        <v>6-10 Years</v>
      </c>
      <c r="R784">
        <f t="shared" ca="1" si="77"/>
        <v>0</v>
      </c>
      <c r="S784" t="s">
        <v>22</v>
      </c>
      <c r="T784">
        <v>3</v>
      </c>
      <c r="U784" t="s">
        <v>1394</v>
      </c>
      <c r="V784" t="s">
        <v>1394</v>
      </c>
      <c r="W784" t="s">
        <v>1394</v>
      </c>
      <c r="X784" s="3">
        <v>3</v>
      </c>
      <c r="Y784" t="s">
        <v>1398</v>
      </c>
      <c r="Z784">
        <v>47477</v>
      </c>
      <c r="AA784">
        <v>0.1</v>
      </c>
      <c r="AB784">
        <v>52224.700000000004</v>
      </c>
    </row>
    <row r="785" spans="1:28" x14ac:dyDescent="0.35">
      <c r="A785" t="str">
        <f t="shared" si="72"/>
        <v>EMP0784</v>
      </c>
      <c r="B785" t="str" cm="1">
        <f t="array" ref="B785">_xlfn.IFS(
ROW()&lt;=421,"NA",
ROW()&lt;=781,"LATAM",
ROW()&lt;=1021,"EMEA",
TRUE,"APAC"
)</f>
        <v>EMEA</v>
      </c>
      <c r="C785" t="str">
        <f t="shared" si="73"/>
        <v>Germany</v>
      </c>
      <c r="D785" t="s">
        <v>35</v>
      </c>
      <c r="E785" t="s">
        <v>145</v>
      </c>
      <c r="F785" t="s">
        <v>283</v>
      </c>
      <c r="G785" t="s">
        <v>28</v>
      </c>
      <c r="H785" s="2">
        <v>43493</v>
      </c>
      <c r="I785" t="s">
        <v>29</v>
      </c>
      <c r="J785" t="s">
        <v>36</v>
      </c>
      <c r="K785" t="str">
        <f t="shared" ca="1" si="76"/>
        <v>OK</v>
      </c>
      <c r="L785" t="s">
        <v>375</v>
      </c>
      <c r="M785">
        <v>4</v>
      </c>
      <c r="N785" s="2">
        <v>46037</v>
      </c>
      <c r="O785" s="2" t="s">
        <v>22</v>
      </c>
      <c r="P785" s="4">
        <f t="shared" ca="1" si="74"/>
        <v>7</v>
      </c>
      <c r="Q785" s="4" t="str">
        <f t="shared" ca="1" si="75"/>
        <v>6-10 Years</v>
      </c>
      <c r="R785">
        <f t="shared" ca="1" si="77"/>
        <v>0</v>
      </c>
      <c r="S785" t="s">
        <v>22</v>
      </c>
      <c r="T785">
        <v>3</v>
      </c>
      <c r="U785" t="s">
        <v>1396</v>
      </c>
      <c r="V785" t="s">
        <v>1394</v>
      </c>
      <c r="W785" t="s">
        <v>1394</v>
      </c>
      <c r="X785" s="3">
        <v>2</v>
      </c>
      <c r="Y785" t="s">
        <v>1397</v>
      </c>
      <c r="Z785">
        <v>67023</v>
      </c>
      <c r="AA785">
        <v>0.15</v>
      </c>
      <c r="AB785">
        <v>77076.45</v>
      </c>
    </row>
    <row r="786" spans="1:28" x14ac:dyDescent="0.35">
      <c r="A786" t="str">
        <f t="shared" si="72"/>
        <v>EMP0785</v>
      </c>
      <c r="B786" t="str" cm="1">
        <f t="array" ref="B786">_xlfn.IFS(
ROW()&lt;=421,"NA",
ROW()&lt;=781,"LATAM",
ROW()&lt;=1021,"EMEA",
TRUE,"APAC"
)</f>
        <v>EMEA</v>
      </c>
      <c r="C786" t="str">
        <f t="shared" si="73"/>
        <v>Germany</v>
      </c>
      <c r="D786" t="s">
        <v>41</v>
      </c>
      <c r="E786" t="s">
        <v>380</v>
      </c>
      <c r="F786" t="s">
        <v>648</v>
      </c>
      <c r="G786" t="s">
        <v>28</v>
      </c>
      <c r="H786" s="2">
        <v>43492</v>
      </c>
      <c r="I786" t="s">
        <v>29</v>
      </c>
      <c r="J786" t="s">
        <v>42</v>
      </c>
      <c r="K786" t="str">
        <f t="shared" ca="1" si="76"/>
        <v>OK</v>
      </c>
      <c r="L786" t="s">
        <v>705</v>
      </c>
      <c r="M786">
        <v>5</v>
      </c>
      <c r="N786" s="2">
        <v>46071</v>
      </c>
      <c r="O786" s="2" t="s">
        <v>22</v>
      </c>
      <c r="P786" s="4">
        <f t="shared" ca="1" si="74"/>
        <v>7</v>
      </c>
      <c r="Q786" s="4" t="str">
        <f t="shared" ca="1" si="75"/>
        <v>6-10 Years</v>
      </c>
      <c r="R786">
        <f t="shared" ca="1" si="77"/>
        <v>0</v>
      </c>
      <c r="S786" t="s">
        <v>22</v>
      </c>
      <c r="T786">
        <v>2</v>
      </c>
      <c r="U786" t="s">
        <v>1394</v>
      </c>
      <c r="V786" t="s">
        <v>1394</v>
      </c>
      <c r="W786" t="s">
        <v>1394</v>
      </c>
      <c r="X786" s="3">
        <v>3</v>
      </c>
      <c r="Y786" t="s">
        <v>1398</v>
      </c>
      <c r="Z786">
        <v>42953</v>
      </c>
      <c r="AA786">
        <v>0.1</v>
      </c>
      <c r="AB786">
        <v>47248.3</v>
      </c>
    </row>
    <row r="787" spans="1:28" x14ac:dyDescent="0.35">
      <c r="A787" t="str">
        <f t="shared" si="72"/>
        <v>EMP0786</v>
      </c>
      <c r="B787" t="str" cm="1">
        <f t="array" ref="B787">_xlfn.IFS(
ROW()&lt;=421,"NA",
ROW()&lt;=781,"LATAM",
ROW()&lt;=1021,"EMEA",
TRUE,"APAC"
)</f>
        <v>EMEA</v>
      </c>
      <c r="C787" t="str">
        <f t="shared" si="73"/>
        <v>Germany</v>
      </c>
      <c r="D787" t="s">
        <v>44</v>
      </c>
      <c r="E787" t="s">
        <v>380</v>
      </c>
      <c r="F787" t="s">
        <v>983</v>
      </c>
      <c r="G787" t="s">
        <v>28</v>
      </c>
      <c r="H787" s="2">
        <v>43481</v>
      </c>
      <c r="I787" t="s">
        <v>29</v>
      </c>
      <c r="J787" t="s">
        <v>47</v>
      </c>
      <c r="K787" t="str">
        <f t="shared" ca="1" si="76"/>
        <v>OK</v>
      </c>
      <c r="L787" t="s">
        <v>1239</v>
      </c>
      <c r="M787">
        <v>5</v>
      </c>
      <c r="N787" s="2">
        <v>46016</v>
      </c>
      <c r="O787" s="2" t="s">
        <v>22</v>
      </c>
      <c r="P787" s="4">
        <f t="shared" ca="1" si="74"/>
        <v>7</v>
      </c>
      <c r="Q787" s="4" t="str">
        <f t="shared" ca="1" si="75"/>
        <v>6-10 Years</v>
      </c>
      <c r="R787">
        <f t="shared" ca="1" si="77"/>
        <v>0</v>
      </c>
      <c r="S787" t="s">
        <v>22</v>
      </c>
      <c r="T787">
        <v>2</v>
      </c>
      <c r="U787" t="s">
        <v>1394</v>
      </c>
      <c r="V787" t="s">
        <v>1394</v>
      </c>
      <c r="W787" t="s">
        <v>1394</v>
      </c>
      <c r="X787" s="3">
        <v>1</v>
      </c>
      <c r="Y787" t="s">
        <v>1397</v>
      </c>
      <c r="Z787">
        <v>37999</v>
      </c>
      <c r="AA787">
        <v>0.1</v>
      </c>
      <c r="AB787">
        <v>41798.9</v>
      </c>
    </row>
    <row r="788" spans="1:28" x14ac:dyDescent="0.35">
      <c r="A788" t="str">
        <f t="shared" si="72"/>
        <v>EMP0787</v>
      </c>
      <c r="B788" t="str" cm="1">
        <f t="array" ref="B788">_xlfn.IFS(
ROW()&lt;=421,"NA",
ROW()&lt;=781,"LATAM",
ROW()&lt;=1021,"EMEA",
TRUE,"APAC"
)</f>
        <v>EMEA</v>
      </c>
      <c r="C788" t="str">
        <f t="shared" si="73"/>
        <v>Germany</v>
      </c>
      <c r="D788" t="s">
        <v>38</v>
      </c>
      <c r="E788" t="s">
        <v>380</v>
      </c>
      <c r="F788" t="s">
        <v>490</v>
      </c>
      <c r="G788" t="s">
        <v>28</v>
      </c>
      <c r="H788" s="2">
        <v>43476</v>
      </c>
      <c r="I788" t="s">
        <v>29</v>
      </c>
      <c r="J788" t="s">
        <v>39</v>
      </c>
      <c r="K788" t="str">
        <f t="shared" ca="1" si="76"/>
        <v>OK</v>
      </c>
      <c r="L788" t="s">
        <v>688</v>
      </c>
      <c r="M788">
        <v>5</v>
      </c>
      <c r="N788" s="2">
        <v>46025</v>
      </c>
      <c r="O788" s="2" t="s">
        <v>22</v>
      </c>
      <c r="P788" s="4">
        <f t="shared" ca="1" si="74"/>
        <v>7</v>
      </c>
      <c r="Q788" s="4" t="str">
        <f t="shared" ca="1" si="75"/>
        <v>6-10 Years</v>
      </c>
      <c r="R788">
        <f t="shared" ca="1" si="77"/>
        <v>0</v>
      </c>
      <c r="S788" t="s">
        <v>22</v>
      </c>
      <c r="T788">
        <v>2</v>
      </c>
      <c r="U788" t="s">
        <v>1394</v>
      </c>
      <c r="V788" t="s">
        <v>1396</v>
      </c>
      <c r="W788" t="s">
        <v>1394</v>
      </c>
      <c r="X788" s="3">
        <v>4</v>
      </c>
      <c r="Y788" t="s">
        <v>1395</v>
      </c>
      <c r="Z788">
        <v>39110</v>
      </c>
      <c r="AA788">
        <v>0.1</v>
      </c>
      <c r="AB788">
        <v>43021</v>
      </c>
    </row>
    <row r="789" spans="1:28" x14ac:dyDescent="0.35">
      <c r="A789" t="str">
        <f t="shared" si="72"/>
        <v>EMP0788</v>
      </c>
      <c r="B789" t="str" cm="1">
        <f t="array" ref="B789">_xlfn.IFS(
ROW()&lt;=421,"NA",
ROW()&lt;=781,"LATAM",
ROW()&lt;=1021,"EMEA",
TRUE,"APAC"
)</f>
        <v>EMEA</v>
      </c>
      <c r="C789" t="str">
        <f t="shared" si="73"/>
        <v>Germany</v>
      </c>
      <c r="D789" t="s">
        <v>38</v>
      </c>
      <c r="E789" t="s">
        <v>145</v>
      </c>
      <c r="F789" t="s">
        <v>216</v>
      </c>
      <c r="G789" t="s">
        <v>28</v>
      </c>
      <c r="H789" s="2">
        <v>43472</v>
      </c>
      <c r="I789" t="s">
        <v>29</v>
      </c>
      <c r="J789" t="s">
        <v>39</v>
      </c>
      <c r="K789" t="str">
        <f t="shared" ca="1" si="76"/>
        <v>OK</v>
      </c>
      <c r="L789" t="s">
        <v>242</v>
      </c>
      <c r="M789">
        <v>4</v>
      </c>
      <c r="N789" s="2">
        <v>46053</v>
      </c>
      <c r="O789" s="2" t="s">
        <v>22</v>
      </c>
      <c r="P789" s="4">
        <f t="shared" ca="1" si="74"/>
        <v>7</v>
      </c>
      <c r="Q789" s="4" t="str">
        <f t="shared" ca="1" si="75"/>
        <v>6-10 Years</v>
      </c>
      <c r="R789">
        <f t="shared" ca="1" si="77"/>
        <v>0</v>
      </c>
      <c r="S789" t="s">
        <v>22</v>
      </c>
      <c r="T789">
        <v>4</v>
      </c>
      <c r="U789" t="s">
        <v>1394</v>
      </c>
      <c r="V789" t="s">
        <v>1394</v>
      </c>
      <c r="W789" t="s">
        <v>1394</v>
      </c>
      <c r="X789" s="3">
        <v>2</v>
      </c>
      <c r="Y789" t="s">
        <v>1397</v>
      </c>
      <c r="Z789">
        <v>80843</v>
      </c>
      <c r="AA789">
        <v>0.15</v>
      </c>
      <c r="AB789">
        <v>92969.45</v>
      </c>
    </row>
    <row r="790" spans="1:28" x14ac:dyDescent="0.35">
      <c r="A790" t="str">
        <f t="shared" si="72"/>
        <v>EMP0789</v>
      </c>
      <c r="B790" t="str" cm="1">
        <f t="array" ref="B790">_xlfn.IFS(
ROW()&lt;=421,"NA",
ROW()&lt;=781,"LATAM",
ROW()&lt;=1021,"EMEA",
TRUE,"APAC"
)</f>
        <v>EMEA</v>
      </c>
      <c r="C790" t="str">
        <f t="shared" si="73"/>
        <v>Germany</v>
      </c>
      <c r="D790" t="s">
        <v>26</v>
      </c>
      <c r="E790" t="s">
        <v>380</v>
      </c>
      <c r="F790" t="s">
        <v>545</v>
      </c>
      <c r="G790" t="s">
        <v>28</v>
      </c>
      <c r="H790" s="2">
        <v>43470</v>
      </c>
      <c r="I790" t="s">
        <v>29</v>
      </c>
      <c r="J790" t="s">
        <v>30</v>
      </c>
      <c r="K790" t="str">
        <f t="shared" ca="1" si="76"/>
        <v>OK</v>
      </c>
      <c r="L790" t="s">
        <v>1361</v>
      </c>
      <c r="M790">
        <v>5</v>
      </c>
      <c r="N790" s="2">
        <v>45991</v>
      </c>
      <c r="O790" s="2" t="s">
        <v>22</v>
      </c>
      <c r="P790" s="4">
        <f t="shared" ca="1" si="74"/>
        <v>7</v>
      </c>
      <c r="Q790" s="4" t="str">
        <f t="shared" ca="1" si="75"/>
        <v>6-10 Years</v>
      </c>
      <c r="R790">
        <f t="shared" ca="1" si="77"/>
        <v>0</v>
      </c>
      <c r="S790" t="s">
        <v>22</v>
      </c>
      <c r="T790">
        <v>5</v>
      </c>
      <c r="U790" t="s">
        <v>1394</v>
      </c>
      <c r="V790" t="s">
        <v>1394</v>
      </c>
      <c r="W790" t="s">
        <v>1394</v>
      </c>
      <c r="X790" s="3">
        <v>4</v>
      </c>
      <c r="Y790" t="s">
        <v>1395</v>
      </c>
      <c r="Z790">
        <v>42020</v>
      </c>
      <c r="AA790">
        <v>0.1</v>
      </c>
      <c r="AB790">
        <v>46222.000000000007</v>
      </c>
    </row>
    <row r="791" spans="1:28" x14ac:dyDescent="0.35">
      <c r="A791" t="str">
        <f t="shared" si="72"/>
        <v>EMP0790</v>
      </c>
      <c r="B791" t="str" cm="1">
        <f t="array" ref="B791">_xlfn.IFS(
ROW()&lt;=421,"NA",
ROW()&lt;=781,"LATAM",
ROW()&lt;=1021,"EMEA",
TRUE,"APAC"
)</f>
        <v>EMEA</v>
      </c>
      <c r="C791" t="str">
        <f t="shared" si="73"/>
        <v>Germany</v>
      </c>
      <c r="D791" t="s">
        <v>35</v>
      </c>
      <c r="E791" t="s">
        <v>145</v>
      </c>
      <c r="F791" t="s">
        <v>181</v>
      </c>
      <c r="G791" t="s">
        <v>28</v>
      </c>
      <c r="H791" s="2">
        <v>43461</v>
      </c>
      <c r="I791" t="s">
        <v>29</v>
      </c>
      <c r="J791" t="s">
        <v>36</v>
      </c>
      <c r="K791" t="str">
        <f t="shared" ca="1" si="76"/>
        <v>OK</v>
      </c>
      <c r="L791" t="s">
        <v>337</v>
      </c>
      <c r="M791">
        <v>4</v>
      </c>
      <c r="N791" s="2">
        <v>45996</v>
      </c>
      <c r="O791" s="2" t="s">
        <v>22</v>
      </c>
      <c r="P791" s="4">
        <f t="shared" ca="1" si="74"/>
        <v>7</v>
      </c>
      <c r="Q791" s="4" t="str">
        <f t="shared" ca="1" si="75"/>
        <v>6-10 Years</v>
      </c>
      <c r="R791">
        <f t="shared" ca="1" si="77"/>
        <v>0</v>
      </c>
      <c r="S791" t="s">
        <v>22</v>
      </c>
      <c r="T791">
        <v>4</v>
      </c>
      <c r="U791" t="s">
        <v>1396</v>
      </c>
      <c r="V791" t="s">
        <v>1394</v>
      </c>
      <c r="W791" t="s">
        <v>1394</v>
      </c>
      <c r="X791" s="3">
        <v>5</v>
      </c>
      <c r="Y791" t="s">
        <v>1395</v>
      </c>
      <c r="Z791">
        <v>64089</v>
      </c>
      <c r="AA791">
        <v>0.15</v>
      </c>
      <c r="AB791">
        <v>73702.349999999991</v>
      </c>
    </row>
    <row r="792" spans="1:28" x14ac:dyDescent="0.35">
      <c r="A792" t="str">
        <f t="shared" si="72"/>
        <v>EMP0791</v>
      </c>
      <c r="B792" t="str" cm="1">
        <f t="array" ref="B792">_xlfn.IFS(
ROW()&lt;=421,"NA",
ROW()&lt;=781,"LATAM",
ROW()&lt;=1021,"EMEA",
TRUE,"APAC"
)</f>
        <v>EMEA</v>
      </c>
      <c r="C792" t="str">
        <f t="shared" si="73"/>
        <v>Germany</v>
      </c>
      <c r="D792" t="s">
        <v>35</v>
      </c>
      <c r="E792" t="s">
        <v>380</v>
      </c>
      <c r="F792" t="s">
        <v>447</v>
      </c>
      <c r="G792" t="s">
        <v>28</v>
      </c>
      <c r="H792" s="2">
        <v>43459</v>
      </c>
      <c r="I792" t="s">
        <v>29</v>
      </c>
      <c r="J792" t="s">
        <v>36</v>
      </c>
      <c r="K792" t="str">
        <f t="shared" ca="1" si="76"/>
        <v>OK</v>
      </c>
      <c r="L792" t="s">
        <v>1340</v>
      </c>
      <c r="M792">
        <v>5</v>
      </c>
      <c r="N792" s="2">
        <v>46025</v>
      </c>
      <c r="O792" s="2" t="s">
        <v>22</v>
      </c>
      <c r="P792" s="4">
        <f t="shared" ca="1" si="74"/>
        <v>7</v>
      </c>
      <c r="Q792" s="4" t="str">
        <f t="shared" ca="1" si="75"/>
        <v>6-10 Years</v>
      </c>
      <c r="R792">
        <f t="shared" ca="1" si="77"/>
        <v>0</v>
      </c>
      <c r="S792" t="s">
        <v>22</v>
      </c>
      <c r="T792">
        <v>3</v>
      </c>
      <c r="U792" t="s">
        <v>1394</v>
      </c>
      <c r="V792" t="s">
        <v>1394</v>
      </c>
      <c r="W792" t="s">
        <v>1394</v>
      </c>
      <c r="X792" s="3">
        <v>1</v>
      </c>
      <c r="Y792" t="s">
        <v>1397</v>
      </c>
      <c r="Z792">
        <v>35316</v>
      </c>
      <c r="AA792">
        <v>0.1</v>
      </c>
      <c r="AB792">
        <v>38847.600000000006</v>
      </c>
    </row>
    <row r="793" spans="1:28" x14ac:dyDescent="0.35">
      <c r="A793" t="str">
        <f t="shared" si="72"/>
        <v>EMP0792</v>
      </c>
      <c r="B793" t="str" cm="1">
        <f t="array" ref="B793">_xlfn.IFS(
ROW()&lt;=421,"NA",
ROW()&lt;=781,"LATAM",
ROW()&lt;=1021,"EMEA",
TRUE,"APAC"
)</f>
        <v>EMEA</v>
      </c>
      <c r="C793" t="str">
        <f t="shared" si="73"/>
        <v>Germany</v>
      </c>
      <c r="D793" t="s">
        <v>38</v>
      </c>
      <c r="E793" t="s">
        <v>380</v>
      </c>
      <c r="F793" t="s">
        <v>383</v>
      </c>
      <c r="G793" t="s">
        <v>28</v>
      </c>
      <c r="H793" s="2">
        <v>43455</v>
      </c>
      <c r="I793" t="s">
        <v>29</v>
      </c>
      <c r="J793" t="s">
        <v>39</v>
      </c>
      <c r="K793" t="str">
        <f t="shared" ca="1" si="76"/>
        <v>OK</v>
      </c>
      <c r="L793" t="s">
        <v>384</v>
      </c>
      <c r="M793">
        <v>5</v>
      </c>
      <c r="N793" s="2">
        <v>46002</v>
      </c>
      <c r="O793" s="2" t="s">
        <v>22</v>
      </c>
      <c r="P793" s="4">
        <f t="shared" ca="1" si="74"/>
        <v>7</v>
      </c>
      <c r="Q793" s="4" t="str">
        <f t="shared" ca="1" si="75"/>
        <v>6-10 Years</v>
      </c>
      <c r="R793">
        <f t="shared" ca="1" si="77"/>
        <v>0</v>
      </c>
      <c r="S793" t="s">
        <v>22</v>
      </c>
      <c r="T793">
        <v>3</v>
      </c>
      <c r="U793" t="s">
        <v>1394</v>
      </c>
      <c r="V793" t="s">
        <v>1394</v>
      </c>
      <c r="W793" t="s">
        <v>1394</v>
      </c>
      <c r="X793" s="3">
        <v>1</v>
      </c>
      <c r="Y793" t="s">
        <v>1397</v>
      </c>
      <c r="Z793">
        <v>29311</v>
      </c>
      <c r="AA793">
        <v>0.1</v>
      </c>
      <c r="AB793">
        <v>32242.100000000002</v>
      </c>
    </row>
    <row r="794" spans="1:28" x14ac:dyDescent="0.35">
      <c r="A794" t="str">
        <f t="shared" si="72"/>
        <v>EMP0793</v>
      </c>
      <c r="B794" t="str" cm="1">
        <f t="array" ref="B794">_xlfn.IFS(
ROW()&lt;=421,"NA",
ROW()&lt;=781,"LATAM",
ROW()&lt;=1021,"EMEA",
TRUE,"APAC"
)</f>
        <v>EMEA</v>
      </c>
      <c r="C794" t="str">
        <f t="shared" si="73"/>
        <v>Germany</v>
      </c>
      <c r="D794" t="s">
        <v>26</v>
      </c>
      <c r="E794" t="s">
        <v>380</v>
      </c>
      <c r="F794" t="s">
        <v>759</v>
      </c>
      <c r="G794" t="s">
        <v>28</v>
      </c>
      <c r="H794" s="2">
        <v>43443</v>
      </c>
      <c r="I794" t="s">
        <v>29</v>
      </c>
      <c r="J794" t="s">
        <v>30</v>
      </c>
      <c r="K794" t="str">
        <f t="shared" ca="1" si="76"/>
        <v>OK</v>
      </c>
      <c r="L794" t="s">
        <v>1250</v>
      </c>
      <c r="M794">
        <v>5</v>
      </c>
      <c r="N794" s="2">
        <v>46064</v>
      </c>
      <c r="O794" s="2" t="s">
        <v>22</v>
      </c>
      <c r="P794" s="4">
        <f t="shared" ca="1" si="74"/>
        <v>7</v>
      </c>
      <c r="Q794" s="4" t="str">
        <f t="shared" ca="1" si="75"/>
        <v>6-10 Years</v>
      </c>
      <c r="R794">
        <f t="shared" ca="1" si="77"/>
        <v>0</v>
      </c>
      <c r="S794" t="s">
        <v>22</v>
      </c>
      <c r="T794">
        <v>3</v>
      </c>
      <c r="U794" t="s">
        <v>1394</v>
      </c>
      <c r="V794" t="s">
        <v>1396</v>
      </c>
      <c r="W794" t="s">
        <v>1396</v>
      </c>
      <c r="X794" s="3">
        <v>2</v>
      </c>
      <c r="Y794" t="s">
        <v>1397</v>
      </c>
      <c r="Z794">
        <v>35194</v>
      </c>
      <c r="AA794">
        <v>0.1</v>
      </c>
      <c r="AB794">
        <v>38713.4</v>
      </c>
    </row>
    <row r="795" spans="1:28" x14ac:dyDescent="0.35">
      <c r="A795" t="str">
        <f t="shared" si="72"/>
        <v>EMP0794</v>
      </c>
      <c r="B795" t="str" cm="1">
        <f t="array" ref="B795">_xlfn.IFS(
ROW()&lt;=421,"NA",
ROW()&lt;=781,"LATAM",
ROW()&lt;=1021,"EMEA",
TRUE,"APAC"
)</f>
        <v>EMEA</v>
      </c>
      <c r="C795" t="str">
        <f t="shared" si="73"/>
        <v>Germany</v>
      </c>
      <c r="D795" t="s">
        <v>26</v>
      </c>
      <c r="E795" t="s">
        <v>380</v>
      </c>
      <c r="F795" t="s">
        <v>495</v>
      </c>
      <c r="G795" t="s">
        <v>28</v>
      </c>
      <c r="H795" s="2">
        <v>43443</v>
      </c>
      <c r="I795" t="s">
        <v>29</v>
      </c>
      <c r="J795" t="s">
        <v>30</v>
      </c>
      <c r="K795" t="str">
        <f t="shared" ca="1" si="76"/>
        <v>OK</v>
      </c>
      <c r="L795" t="s">
        <v>1274</v>
      </c>
      <c r="M795">
        <v>5</v>
      </c>
      <c r="N795" s="2">
        <v>46040</v>
      </c>
      <c r="O795" s="2" t="s">
        <v>22</v>
      </c>
      <c r="P795" s="4">
        <f t="shared" ca="1" si="74"/>
        <v>7</v>
      </c>
      <c r="Q795" s="4" t="str">
        <f t="shared" ca="1" si="75"/>
        <v>6-10 Years</v>
      </c>
      <c r="R795">
        <f t="shared" ca="1" si="77"/>
        <v>0</v>
      </c>
      <c r="S795" t="s">
        <v>22</v>
      </c>
      <c r="T795">
        <v>3</v>
      </c>
      <c r="U795" t="s">
        <v>1394</v>
      </c>
      <c r="V795" t="s">
        <v>1394</v>
      </c>
      <c r="W795" t="s">
        <v>1394</v>
      </c>
      <c r="X795" s="3">
        <v>1</v>
      </c>
      <c r="Y795" t="s">
        <v>1397</v>
      </c>
      <c r="Z795">
        <v>33753</v>
      </c>
      <c r="AA795">
        <v>0.1</v>
      </c>
      <c r="AB795">
        <v>37128.300000000003</v>
      </c>
    </row>
    <row r="796" spans="1:28" x14ac:dyDescent="0.35">
      <c r="A796" t="str">
        <f t="shared" si="72"/>
        <v>EMP0795</v>
      </c>
      <c r="B796" t="str" cm="1">
        <f t="array" ref="B796">_xlfn.IFS(
ROW()&lt;=421,"NA",
ROW()&lt;=781,"LATAM",
ROW()&lt;=1021,"EMEA",
TRUE,"APAC"
)</f>
        <v>EMEA</v>
      </c>
      <c r="C796" t="str">
        <f t="shared" si="73"/>
        <v>Germany</v>
      </c>
      <c r="D796" t="s">
        <v>35</v>
      </c>
      <c r="E796" t="s">
        <v>380</v>
      </c>
      <c r="F796" t="s">
        <v>452</v>
      </c>
      <c r="G796" t="s">
        <v>28</v>
      </c>
      <c r="H796" s="2">
        <v>43437</v>
      </c>
      <c r="I796" t="s">
        <v>29</v>
      </c>
      <c r="J796" t="s">
        <v>36</v>
      </c>
      <c r="K796" t="str">
        <f t="shared" ca="1" si="76"/>
        <v>OK</v>
      </c>
      <c r="L796" t="s">
        <v>1086</v>
      </c>
      <c r="M796">
        <v>5</v>
      </c>
      <c r="N796" s="2">
        <v>46057</v>
      </c>
      <c r="O796" s="2" t="s">
        <v>22</v>
      </c>
      <c r="P796" s="4">
        <f t="shared" ca="1" si="74"/>
        <v>7</v>
      </c>
      <c r="Q796" s="4" t="str">
        <f t="shared" ca="1" si="75"/>
        <v>6-10 Years</v>
      </c>
      <c r="R796">
        <f t="shared" ca="1" si="77"/>
        <v>0</v>
      </c>
      <c r="S796" t="s">
        <v>22</v>
      </c>
      <c r="T796">
        <v>4</v>
      </c>
      <c r="U796" t="s">
        <v>1394</v>
      </c>
      <c r="V796" t="s">
        <v>1394</v>
      </c>
      <c r="W796" t="s">
        <v>1394</v>
      </c>
      <c r="X796" s="3">
        <v>2</v>
      </c>
      <c r="Y796" t="s">
        <v>1397</v>
      </c>
      <c r="Z796">
        <v>41422</v>
      </c>
      <c r="AA796">
        <v>0.1</v>
      </c>
      <c r="AB796">
        <v>45564.200000000004</v>
      </c>
    </row>
    <row r="797" spans="1:28" x14ac:dyDescent="0.35">
      <c r="A797" t="str">
        <f t="shared" si="72"/>
        <v>EMP0796</v>
      </c>
      <c r="B797" t="str" cm="1">
        <f t="array" ref="B797">_xlfn.IFS(
ROW()&lt;=421,"NA",
ROW()&lt;=781,"LATAM",
ROW()&lt;=1021,"EMEA",
TRUE,"APAC"
)</f>
        <v>EMEA</v>
      </c>
      <c r="C797" t="str">
        <f t="shared" si="73"/>
        <v>Germany</v>
      </c>
      <c r="D797" t="s">
        <v>35</v>
      </c>
      <c r="E797" t="s">
        <v>380</v>
      </c>
      <c r="F797" t="s">
        <v>406</v>
      </c>
      <c r="G797" t="s">
        <v>28</v>
      </c>
      <c r="H797" s="2">
        <v>43436</v>
      </c>
      <c r="I797" t="s">
        <v>29</v>
      </c>
      <c r="J797" t="s">
        <v>36</v>
      </c>
      <c r="K797" t="str">
        <f t="shared" ca="1" si="76"/>
        <v>OK</v>
      </c>
      <c r="L797" t="s">
        <v>1211</v>
      </c>
      <c r="M797">
        <v>5</v>
      </c>
      <c r="N797" s="2">
        <v>46000</v>
      </c>
      <c r="O797" s="2" t="s">
        <v>22</v>
      </c>
      <c r="P797" s="4">
        <f t="shared" ca="1" si="74"/>
        <v>7</v>
      </c>
      <c r="Q797" s="4" t="str">
        <f t="shared" ca="1" si="75"/>
        <v>6-10 Years</v>
      </c>
      <c r="R797">
        <f t="shared" ca="1" si="77"/>
        <v>0</v>
      </c>
      <c r="S797" t="s">
        <v>22</v>
      </c>
      <c r="T797">
        <v>4</v>
      </c>
      <c r="U797" t="s">
        <v>1394</v>
      </c>
      <c r="V797" t="s">
        <v>1394</v>
      </c>
      <c r="W797" t="s">
        <v>1394</v>
      </c>
      <c r="X797" s="3">
        <v>4</v>
      </c>
      <c r="Y797" t="s">
        <v>1395</v>
      </c>
      <c r="Z797">
        <v>46010</v>
      </c>
      <c r="AA797">
        <v>0.1</v>
      </c>
      <c r="AB797">
        <v>50611.000000000007</v>
      </c>
    </row>
    <row r="798" spans="1:28" x14ac:dyDescent="0.35">
      <c r="A798" t="str">
        <f t="shared" si="72"/>
        <v>EMP0797</v>
      </c>
      <c r="B798" t="str" cm="1">
        <f t="array" ref="B798">_xlfn.IFS(
ROW()&lt;=421,"NA",
ROW()&lt;=781,"LATAM",
ROW()&lt;=1021,"EMEA",
TRUE,"APAC"
)</f>
        <v>EMEA</v>
      </c>
      <c r="C798" t="str">
        <f t="shared" si="73"/>
        <v>Germany</v>
      </c>
      <c r="D798" t="s">
        <v>44</v>
      </c>
      <c r="E798" t="s">
        <v>380</v>
      </c>
      <c r="F798" t="s">
        <v>570</v>
      </c>
      <c r="G798" t="s">
        <v>28</v>
      </c>
      <c r="H798" s="2">
        <v>43435</v>
      </c>
      <c r="I798" t="s">
        <v>57</v>
      </c>
      <c r="J798" t="s">
        <v>47</v>
      </c>
      <c r="K798" t="str">
        <f t="shared" ca="1" si="76"/>
        <v>OK</v>
      </c>
      <c r="L798" t="s">
        <v>1313</v>
      </c>
      <c r="M798">
        <v>5</v>
      </c>
      <c r="N798" s="2">
        <v>46061</v>
      </c>
      <c r="O798" s="2">
        <v>45610</v>
      </c>
      <c r="P798" s="4">
        <f t="shared" ca="1" si="74"/>
        <v>5</v>
      </c>
      <c r="Q798" s="4" t="str">
        <f t="shared" ca="1" si="75"/>
        <v>3-5 Years</v>
      </c>
      <c r="R798">
        <f t="shared" ca="1" si="77"/>
        <v>0</v>
      </c>
      <c r="S798" t="s">
        <v>23</v>
      </c>
      <c r="T798">
        <v>4</v>
      </c>
      <c r="U798" t="s">
        <v>1394</v>
      </c>
      <c r="V798" t="s">
        <v>1394</v>
      </c>
      <c r="W798" t="s">
        <v>1394</v>
      </c>
      <c r="X798" s="3">
        <v>3</v>
      </c>
      <c r="Y798" t="s">
        <v>1398</v>
      </c>
      <c r="Z798">
        <v>49459</v>
      </c>
      <c r="AA798">
        <v>0.1</v>
      </c>
      <c r="AB798">
        <v>54404.9</v>
      </c>
    </row>
    <row r="799" spans="1:28" x14ac:dyDescent="0.35">
      <c r="A799" t="str">
        <f t="shared" si="72"/>
        <v>EMP0798</v>
      </c>
      <c r="B799" t="str" cm="1">
        <f t="array" ref="B799">_xlfn.IFS(
ROW()&lt;=421,"NA",
ROW()&lt;=781,"LATAM",
ROW()&lt;=1021,"EMEA",
TRUE,"APAC"
)</f>
        <v>EMEA</v>
      </c>
      <c r="C799" t="str">
        <f t="shared" si="73"/>
        <v>Germany</v>
      </c>
      <c r="D799" t="s">
        <v>38</v>
      </c>
      <c r="E799" t="s">
        <v>380</v>
      </c>
      <c r="F799" t="s">
        <v>541</v>
      </c>
      <c r="G799" t="s">
        <v>28</v>
      </c>
      <c r="H799" s="2">
        <v>43432</v>
      </c>
      <c r="I799" t="s">
        <v>29</v>
      </c>
      <c r="J799" t="s">
        <v>39</v>
      </c>
      <c r="K799" t="str">
        <f t="shared" ca="1" si="76"/>
        <v>OK</v>
      </c>
      <c r="L799" t="s">
        <v>747</v>
      </c>
      <c r="M799">
        <v>5</v>
      </c>
      <c r="N799" s="2">
        <v>46048</v>
      </c>
      <c r="O799" s="2" t="s">
        <v>22</v>
      </c>
      <c r="P799" s="4">
        <f t="shared" ca="1" si="74"/>
        <v>7</v>
      </c>
      <c r="Q799" s="4" t="str">
        <f t="shared" ca="1" si="75"/>
        <v>6-10 Years</v>
      </c>
      <c r="R799">
        <f t="shared" ca="1" si="77"/>
        <v>0</v>
      </c>
      <c r="S799" t="s">
        <v>22</v>
      </c>
      <c r="T799">
        <v>5</v>
      </c>
      <c r="U799" t="s">
        <v>1394</v>
      </c>
      <c r="V799" t="s">
        <v>1396</v>
      </c>
      <c r="W799" t="s">
        <v>1396</v>
      </c>
      <c r="X799" s="3">
        <v>5</v>
      </c>
      <c r="Y799" t="s">
        <v>1395</v>
      </c>
      <c r="Z799">
        <v>21772</v>
      </c>
      <c r="AA799">
        <v>0.1</v>
      </c>
      <c r="AB799">
        <v>23949.200000000001</v>
      </c>
    </row>
    <row r="800" spans="1:28" x14ac:dyDescent="0.35">
      <c r="A800" t="str">
        <f t="shared" si="72"/>
        <v>EMP0799</v>
      </c>
      <c r="B800" t="str" cm="1">
        <f t="array" ref="B800">_xlfn.IFS(
ROW()&lt;=421,"NA",
ROW()&lt;=781,"LATAM",
ROW()&lt;=1021,"EMEA",
TRUE,"APAC"
)</f>
        <v>EMEA</v>
      </c>
      <c r="C800" t="str">
        <f t="shared" si="73"/>
        <v>Germany</v>
      </c>
      <c r="D800" t="s">
        <v>32</v>
      </c>
      <c r="E800" t="s">
        <v>380</v>
      </c>
      <c r="F800" t="s">
        <v>452</v>
      </c>
      <c r="G800" t="s">
        <v>28</v>
      </c>
      <c r="H800" s="2">
        <v>43426</v>
      </c>
      <c r="I800" t="s">
        <v>29</v>
      </c>
      <c r="J800" t="s">
        <v>33</v>
      </c>
      <c r="K800" t="str">
        <f t="shared" ca="1" si="76"/>
        <v>OK</v>
      </c>
      <c r="L800" t="s">
        <v>533</v>
      </c>
      <c r="M800">
        <v>5</v>
      </c>
      <c r="N800" s="2">
        <v>46076</v>
      </c>
      <c r="O800" s="2" t="s">
        <v>22</v>
      </c>
      <c r="P800" s="4">
        <f t="shared" ca="1" si="74"/>
        <v>7</v>
      </c>
      <c r="Q800" s="4" t="str">
        <f t="shared" ca="1" si="75"/>
        <v>6-10 Years</v>
      </c>
      <c r="R800">
        <f t="shared" ca="1" si="77"/>
        <v>0</v>
      </c>
      <c r="S800" t="s">
        <v>22</v>
      </c>
      <c r="T800">
        <v>3</v>
      </c>
      <c r="U800" t="s">
        <v>1394</v>
      </c>
      <c r="V800" t="s">
        <v>1394</v>
      </c>
      <c r="W800" t="s">
        <v>1394</v>
      </c>
      <c r="X800" s="3">
        <v>2</v>
      </c>
      <c r="Y800" t="s">
        <v>1397</v>
      </c>
      <c r="Z800">
        <v>30484</v>
      </c>
      <c r="AA800">
        <v>0.1</v>
      </c>
      <c r="AB800">
        <v>33532.400000000001</v>
      </c>
    </row>
    <row r="801" spans="1:28" x14ac:dyDescent="0.35">
      <c r="A801" t="str">
        <f t="shared" si="72"/>
        <v>EMP0800</v>
      </c>
      <c r="B801" t="str" cm="1">
        <f t="array" ref="B801">_xlfn.IFS(
ROW()&lt;=421,"NA",
ROW()&lt;=781,"LATAM",
ROW()&lt;=1021,"EMEA",
TRUE,"APAC"
)</f>
        <v>EMEA</v>
      </c>
      <c r="C801" t="str">
        <f t="shared" si="73"/>
        <v>Germany</v>
      </c>
      <c r="D801" t="s">
        <v>32</v>
      </c>
      <c r="E801" t="s">
        <v>380</v>
      </c>
      <c r="F801" t="s">
        <v>466</v>
      </c>
      <c r="G801" t="s">
        <v>28</v>
      </c>
      <c r="H801" s="2">
        <v>43423</v>
      </c>
      <c r="I801" t="s">
        <v>57</v>
      </c>
      <c r="J801" t="s">
        <v>33</v>
      </c>
      <c r="K801" t="str">
        <f t="shared" ca="1" si="76"/>
        <v>OK</v>
      </c>
      <c r="L801" t="s">
        <v>1145</v>
      </c>
      <c r="M801">
        <v>5</v>
      </c>
      <c r="N801" s="2">
        <v>45996</v>
      </c>
      <c r="O801" s="2">
        <v>45373</v>
      </c>
      <c r="P801" s="4">
        <f t="shared" ca="1" si="74"/>
        <v>5</v>
      </c>
      <c r="Q801" s="4" t="str">
        <f t="shared" ca="1" si="75"/>
        <v>3-5 Years</v>
      </c>
      <c r="R801">
        <f t="shared" ca="1" si="77"/>
        <v>0</v>
      </c>
      <c r="S801" t="s">
        <v>23</v>
      </c>
      <c r="T801">
        <v>4</v>
      </c>
      <c r="U801" t="s">
        <v>1394</v>
      </c>
      <c r="V801" t="s">
        <v>1394</v>
      </c>
      <c r="W801" t="s">
        <v>1394</v>
      </c>
      <c r="X801" s="3">
        <v>4</v>
      </c>
      <c r="Y801" t="s">
        <v>1395</v>
      </c>
      <c r="Z801">
        <v>33473</v>
      </c>
      <c r="AA801">
        <v>0.1</v>
      </c>
      <c r="AB801">
        <v>36820.300000000003</v>
      </c>
    </row>
    <row r="802" spans="1:28" x14ac:dyDescent="0.35">
      <c r="A802" t="str">
        <f t="shared" si="72"/>
        <v>EMP0801</v>
      </c>
      <c r="B802" t="str" cm="1">
        <f t="array" ref="B802">_xlfn.IFS(
ROW()&lt;=421,"NA",
ROW()&lt;=781,"LATAM",
ROW()&lt;=1021,"EMEA",
TRUE,"APAC"
)</f>
        <v>EMEA</v>
      </c>
      <c r="C802" t="str">
        <f t="shared" si="73"/>
        <v>Germany</v>
      </c>
      <c r="D802" t="s">
        <v>41</v>
      </c>
      <c r="E802" t="s">
        <v>380</v>
      </c>
      <c r="F802" t="s">
        <v>420</v>
      </c>
      <c r="G802" t="s">
        <v>53</v>
      </c>
      <c r="H802" s="2">
        <v>43418</v>
      </c>
      <c r="I802" t="s">
        <v>29</v>
      </c>
      <c r="J802" t="s">
        <v>42</v>
      </c>
      <c r="K802" t="str">
        <f t="shared" ca="1" si="76"/>
        <v>OK</v>
      </c>
      <c r="L802" t="s">
        <v>1011</v>
      </c>
      <c r="M802">
        <v>5</v>
      </c>
      <c r="N802" s="2">
        <v>46017</v>
      </c>
      <c r="O802" s="2" t="s">
        <v>22</v>
      </c>
      <c r="P802" s="4">
        <f t="shared" ca="1" si="74"/>
        <v>7</v>
      </c>
      <c r="Q802" s="4" t="str">
        <f t="shared" ca="1" si="75"/>
        <v>6-10 Years</v>
      </c>
      <c r="R802">
        <f t="shared" ca="1" si="77"/>
        <v>0</v>
      </c>
      <c r="S802" t="s">
        <v>22</v>
      </c>
      <c r="T802">
        <v>2</v>
      </c>
      <c r="U802" t="s">
        <v>1394</v>
      </c>
      <c r="V802" t="s">
        <v>1394</v>
      </c>
      <c r="W802" t="s">
        <v>1394</v>
      </c>
      <c r="X802" s="3">
        <v>3</v>
      </c>
      <c r="Y802" t="s">
        <v>1398</v>
      </c>
      <c r="Z802">
        <v>49032</v>
      </c>
      <c r="AA802">
        <v>0.1</v>
      </c>
      <c r="AB802">
        <v>53935.200000000004</v>
      </c>
    </row>
    <row r="803" spans="1:28" x14ac:dyDescent="0.35">
      <c r="A803" t="str">
        <f t="shared" si="72"/>
        <v>EMP0802</v>
      </c>
      <c r="B803" t="str" cm="1">
        <f t="array" ref="B803">_xlfn.IFS(
ROW()&lt;=421,"NA",
ROW()&lt;=781,"LATAM",
ROW()&lt;=1021,"EMEA",
TRUE,"APAC"
)</f>
        <v>EMEA</v>
      </c>
      <c r="C803" t="str">
        <f t="shared" si="73"/>
        <v>Germany</v>
      </c>
      <c r="D803" t="s">
        <v>38</v>
      </c>
      <c r="E803" t="s">
        <v>380</v>
      </c>
      <c r="F803" t="s">
        <v>987</v>
      </c>
      <c r="G803" t="s">
        <v>53</v>
      </c>
      <c r="H803" s="2">
        <v>43416</v>
      </c>
      <c r="I803" t="s">
        <v>57</v>
      </c>
      <c r="J803" t="s">
        <v>39</v>
      </c>
      <c r="K803" t="str">
        <f t="shared" ca="1" si="76"/>
        <v>OK</v>
      </c>
      <c r="L803" t="s">
        <v>1201</v>
      </c>
      <c r="M803">
        <v>5</v>
      </c>
      <c r="N803" s="2">
        <v>46044</v>
      </c>
      <c r="O803" s="2">
        <v>45196</v>
      </c>
      <c r="P803" s="4">
        <f t="shared" ca="1" si="74"/>
        <v>4</v>
      </c>
      <c r="Q803" s="4" t="str">
        <f t="shared" ca="1" si="75"/>
        <v>3-5 Years</v>
      </c>
      <c r="R803">
        <f t="shared" ca="1" si="77"/>
        <v>0</v>
      </c>
      <c r="S803" t="s">
        <v>23</v>
      </c>
      <c r="T803">
        <v>4</v>
      </c>
      <c r="U803" t="s">
        <v>1394</v>
      </c>
      <c r="V803" t="s">
        <v>1394</v>
      </c>
      <c r="W803" t="s">
        <v>1394</v>
      </c>
      <c r="X803" s="3">
        <v>4</v>
      </c>
      <c r="Y803" t="s">
        <v>1395</v>
      </c>
      <c r="Z803">
        <v>46303</v>
      </c>
      <c r="AA803">
        <v>0.1</v>
      </c>
      <c r="AB803">
        <v>50933.3</v>
      </c>
    </row>
    <row r="804" spans="1:28" x14ac:dyDescent="0.35">
      <c r="A804" t="str">
        <f t="shared" si="72"/>
        <v>EMP0803</v>
      </c>
      <c r="B804" t="str" cm="1">
        <f t="array" ref="B804">_xlfn.IFS(
ROW()&lt;=421,"NA",
ROW()&lt;=781,"LATAM",
ROW()&lt;=1021,"EMEA",
TRUE,"APAC"
)</f>
        <v>EMEA</v>
      </c>
      <c r="C804" t="str">
        <f t="shared" si="73"/>
        <v>Germany</v>
      </c>
      <c r="D804" t="s">
        <v>44</v>
      </c>
      <c r="E804" t="s">
        <v>69</v>
      </c>
      <c r="F804" t="s">
        <v>76</v>
      </c>
      <c r="G804" t="s">
        <v>28</v>
      </c>
      <c r="H804" s="2">
        <v>43413</v>
      </c>
      <c r="I804" t="s">
        <v>29</v>
      </c>
      <c r="J804" t="s">
        <v>47</v>
      </c>
      <c r="K804" t="str">
        <f t="shared" ca="1" si="76"/>
        <v>OK</v>
      </c>
      <c r="L804" t="s">
        <v>77</v>
      </c>
      <c r="M804">
        <v>3</v>
      </c>
      <c r="N804" s="2">
        <v>46069</v>
      </c>
      <c r="O804" s="2" t="s">
        <v>22</v>
      </c>
      <c r="P804" s="4">
        <f t="shared" ca="1" si="74"/>
        <v>7</v>
      </c>
      <c r="Q804" s="4" t="str">
        <f t="shared" ca="1" si="75"/>
        <v>6-10 Years</v>
      </c>
      <c r="R804">
        <f t="shared" ca="1" si="77"/>
        <v>0</v>
      </c>
      <c r="S804" t="s">
        <v>22</v>
      </c>
      <c r="T804">
        <v>4</v>
      </c>
      <c r="U804" t="s">
        <v>1396</v>
      </c>
      <c r="V804" t="s">
        <v>1394</v>
      </c>
      <c r="W804" t="s">
        <v>1394</v>
      </c>
      <c r="X804" s="3">
        <v>3</v>
      </c>
      <c r="Y804" t="s">
        <v>1398</v>
      </c>
      <c r="Z804">
        <v>102234</v>
      </c>
      <c r="AA804">
        <v>0.2</v>
      </c>
      <c r="AB804">
        <v>122680.79999999999</v>
      </c>
    </row>
    <row r="805" spans="1:28" x14ac:dyDescent="0.35">
      <c r="A805" t="str">
        <f t="shared" si="72"/>
        <v>EMP0804</v>
      </c>
      <c r="B805" t="str" cm="1">
        <f t="array" ref="B805">_xlfn.IFS(
ROW()&lt;=421,"NA",
ROW()&lt;=781,"LATAM",
ROW()&lt;=1021,"EMEA",
TRUE,"APAC"
)</f>
        <v>EMEA</v>
      </c>
      <c r="C805" t="str">
        <f t="shared" si="73"/>
        <v>Germany</v>
      </c>
      <c r="D805" t="s">
        <v>26</v>
      </c>
      <c r="E805" t="s">
        <v>380</v>
      </c>
      <c r="F805" t="s">
        <v>505</v>
      </c>
      <c r="G805" t="s">
        <v>28</v>
      </c>
      <c r="H805" s="2">
        <v>43407</v>
      </c>
      <c r="I805" t="s">
        <v>29</v>
      </c>
      <c r="J805" t="s">
        <v>30</v>
      </c>
      <c r="K805" t="str">
        <f t="shared" ca="1" si="76"/>
        <v>OK</v>
      </c>
      <c r="L805" t="s">
        <v>858</v>
      </c>
      <c r="M805">
        <v>5</v>
      </c>
      <c r="N805" s="2">
        <v>46047</v>
      </c>
      <c r="O805" s="2" t="s">
        <v>22</v>
      </c>
      <c r="P805" s="4">
        <f t="shared" ca="1" si="74"/>
        <v>7</v>
      </c>
      <c r="Q805" s="4" t="str">
        <f t="shared" ca="1" si="75"/>
        <v>6-10 Years</v>
      </c>
      <c r="R805">
        <f t="shared" ca="1" si="77"/>
        <v>0</v>
      </c>
      <c r="S805" t="s">
        <v>22</v>
      </c>
      <c r="T805">
        <v>4</v>
      </c>
      <c r="U805" t="s">
        <v>1394</v>
      </c>
      <c r="V805" t="s">
        <v>1394</v>
      </c>
      <c r="W805" t="s">
        <v>1394</v>
      </c>
      <c r="X805" s="3">
        <v>4</v>
      </c>
      <c r="Y805" t="s">
        <v>1395</v>
      </c>
      <c r="Z805">
        <v>35075</v>
      </c>
      <c r="AA805">
        <v>0.1</v>
      </c>
      <c r="AB805">
        <v>38582.5</v>
      </c>
    </row>
    <row r="806" spans="1:28" x14ac:dyDescent="0.35">
      <c r="A806" t="str">
        <f t="shared" si="72"/>
        <v>EMP0805</v>
      </c>
      <c r="B806" t="str" cm="1">
        <f t="array" ref="B806">_xlfn.IFS(
ROW()&lt;=421,"NA",
ROW()&lt;=781,"LATAM",
ROW()&lt;=1021,"EMEA",
TRUE,"APAC"
)</f>
        <v>EMEA</v>
      </c>
      <c r="C806" t="str">
        <f t="shared" si="73"/>
        <v>Germany</v>
      </c>
      <c r="D806" t="s">
        <v>44</v>
      </c>
      <c r="E806" t="s">
        <v>380</v>
      </c>
      <c r="F806" t="s">
        <v>648</v>
      </c>
      <c r="G806" t="s">
        <v>53</v>
      </c>
      <c r="H806" s="2">
        <v>43400</v>
      </c>
      <c r="I806" t="s">
        <v>57</v>
      </c>
      <c r="J806" t="s">
        <v>47</v>
      </c>
      <c r="K806" t="str">
        <f t="shared" ca="1" si="76"/>
        <v>⚠ Review</v>
      </c>
      <c r="L806" t="s">
        <v>1303</v>
      </c>
      <c r="M806">
        <v>5</v>
      </c>
      <c r="N806" s="2">
        <v>46029</v>
      </c>
      <c r="O806" s="2">
        <v>45448</v>
      </c>
      <c r="P806" s="4">
        <f t="shared" ca="1" si="74"/>
        <v>5</v>
      </c>
      <c r="Q806" s="4" t="str">
        <f t="shared" ca="1" si="75"/>
        <v>3-5 Years</v>
      </c>
      <c r="R806">
        <f t="shared" ca="1" si="77"/>
        <v>0</v>
      </c>
      <c r="S806" t="s">
        <v>23</v>
      </c>
      <c r="T806">
        <v>4</v>
      </c>
      <c r="U806" t="s">
        <v>1394</v>
      </c>
      <c r="V806" t="s">
        <v>1394</v>
      </c>
      <c r="W806" t="s">
        <v>1394</v>
      </c>
      <c r="X806" s="3">
        <v>0</v>
      </c>
      <c r="Y806" t="s">
        <v>1398</v>
      </c>
      <c r="Z806">
        <v>33368</v>
      </c>
      <c r="AA806">
        <v>0.1</v>
      </c>
      <c r="AB806">
        <v>36704.800000000003</v>
      </c>
    </row>
    <row r="807" spans="1:28" x14ac:dyDescent="0.35">
      <c r="A807" t="str">
        <f t="shared" si="72"/>
        <v>EMP0806</v>
      </c>
      <c r="B807" t="str" cm="1">
        <f t="array" ref="B807">_xlfn.IFS(
ROW()&lt;=421,"NA",
ROW()&lt;=781,"LATAM",
ROW()&lt;=1021,"EMEA",
TRUE,"APAC"
)</f>
        <v>EMEA</v>
      </c>
      <c r="C807" t="str">
        <f t="shared" si="73"/>
        <v>Germany</v>
      </c>
      <c r="D807" t="s">
        <v>41</v>
      </c>
      <c r="E807" t="s">
        <v>380</v>
      </c>
      <c r="F807" t="s">
        <v>504</v>
      </c>
      <c r="G807" t="s">
        <v>28</v>
      </c>
      <c r="H807" s="2">
        <v>43392</v>
      </c>
      <c r="I807" t="s">
        <v>29</v>
      </c>
      <c r="J807" t="s">
        <v>42</v>
      </c>
      <c r="K807" t="str">
        <f t="shared" ca="1" si="76"/>
        <v>OK</v>
      </c>
      <c r="L807" t="s">
        <v>421</v>
      </c>
      <c r="M807">
        <v>5</v>
      </c>
      <c r="N807" s="2">
        <v>46051</v>
      </c>
      <c r="O807" s="2" t="s">
        <v>22</v>
      </c>
      <c r="P807" s="4">
        <f t="shared" ca="1" si="74"/>
        <v>7</v>
      </c>
      <c r="Q807" s="4" t="str">
        <f t="shared" ca="1" si="75"/>
        <v>6-10 Years</v>
      </c>
      <c r="R807">
        <f t="shared" ca="1" si="77"/>
        <v>0</v>
      </c>
      <c r="S807" t="s">
        <v>22</v>
      </c>
      <c r="T807">
        <v>3</v>
      </c>
      <c r="U807" t="s">
        <v>1394</v>
      </c>
      <c r="V807" t="s">
        <v>1394</v>
      </c>
      <c r="W807" t="s">
        <v>1394</v>
      </c>
      <c r="X807" s="3">
        <v>2</v>
      </c>
      <c r="Y807" t="s">
        <v>1397</v>
      </c>
      <c r="Z807">
        <v>46851</v>
      </c>
      <c r="AA807">
        <v>0.1</v>
      </c>
      <c r="AB807">
        <v>51536.100000000006</v>
      </c>
    </row>
    <row r="808" spans="1:28" x14ac:dyDescent="0.35">
      <c r="A808" t="str">
        <f t="shared" si="72"/>
        <v>EMP0807</v>
      </c>
      <c r="B808" t="str" cm="1">
        <f t="array" ref="B808">_xlfn.IFS(
ROW()&lt;=421,"NA",
ROW()&lt;=781,"LATAM",
ROW()&lt;=1021,"EMEA",
TRUE,"APAC"
)</f>
        <v>EMEA</v>
      </c>
      <c r="C808" t="str">
        <f t="shared" si="73"/>
        <v>Germany</v>
      </c>
      <c r="D808" t="s">
        <v>35</v>
      </c>
      <c r="E808" t="s">
        <v>380</v>
      </c>
      <c r="F808" t="s">
        <v>754</v>
      </c>
      <c r="G808" t="s">
        <v>28</v>
      </c>
      <c r="H808" s="2">
        <v>43392</v>
      </c>
      <c r="I808" t="s">
        <v>29</v>
      </c>
      <c r="J808" t="s">
        <v>36</v>
      </c>
      <c r="K808" t="str">
        <f t="shared" ca="1" si="76"/>
        <v>OK</v>
      </c>
      <c r="L808" t="s">
        <v>906</v>
      </c>
      <c r="M808">
        <v>5</v>
      </c>
      <c r="N808" s="2">
        <v>46037</v>
      </c>
      <c r="O808" s="2" t="s">
        <v>22</v>
      </c>
      <c r="P808" s="4">
        <f t="shared" ca="1" si="74"/>
        <v>7</v>
      </c>
      <c r="Q808" s="4" t="str">
        <f t="shared" ca="1" si="75"/>
        <v>6-10 Years</v>
      </c>
      <c r="R808">
        <f t="shared" ca="1" si="77"/>
        <v>0</v>
      </c>
      <c r="S808" t="s">
        <v>22</v>
      </c>
      <c r="T808">
        <v>3</v>
      </c>
      <c r="U808" t="s">
        <v>1394</v>
      </c>
      <c r="V808" t="s">
        <v>1394</v>
      </c>
      <c r="W808" t="s">
        <v>1394</v>
      </c>
      <c r="X808" s="3">
        <v>1</v>
      </c>
      <c r="Y808" t="s">
        <v>1397</v>
      </c>
      <c r="Z808">
        <v>45071</v>
      </c>
      <c r="AA808">
        <v>0.1</v>
      </c>
      <c r="AB808">
        <v>49578.100000000006</v>
      </c>
    </row>
    <row r="809" spans="1:28" x14ac:dyDescent="0.35">
      <c r="A809" t="str">
        <f t="shared" si="72"/>
        <v>EMP0808</v>
      </c>
      <c r="B809" t="str" cm="1">
        <f t="array" ref="B809">_xlfn.IFS(
ROW()&lt;=421,"NA",
ROW()&lt;=781,"LATAM",
ROW()&lt;=1021,"EMEA",
TRUE,"APAC"
)</f>
        <v>EMEA</v>
      </c>
      <c r="C809" t="str">
        <f t="shared" si="73"/>
        <v>Germany</v>
      </c>
      <c r="D809" t="s">
        <v>38</v>
      </c>
      <c r="E809" t="s">
        <v>380</v>
      </c>
      <c r="F809" t="s">
        <v>722</v>
      </c>
      <c r="G809" t="s">
        <v>28</v>
      </c>
      <c r="H809" s="2">
        <v>43389</v>
      </c>
      <c r="I809" t="s">
        <v>29</v>
      </c>
      <c r="J809" t="s">
        <v>39</v>
      </c>
      <c r="K809" t="str">
        <f t="shared" ca="1" si="76"/>
        <v>OK</v>
      </c>
      <c r="L809" t="s">
        <v>1087</v>
      </c>
      <c r="M809">
        <v>5</v>
      </c>
      <c r="N809" s="2">
        <v>46077</v>
      </c>
      <c r="O809" s="2" t="s">
        <v>22</v>
      </c>
      <c r="P809" s="4">
        <f t="shared" ca="1" si="74"/>
        <v>7</v>
      </c>
      <c r="Q809" s="4" t="str">
        <f t="shared" ca="1" si="75"/>
        <v>6-10 Years</v>
      </c>
      <c r="R809">
        <f t="shared" ca="1" si="77"/>
        <v>0</v>
      </c>
      <c r="S809" t="s">
        <v>22</v>
      </c>
      <c r="T809">
        <v>2</v>
      </c>
      <c r="U809" t="s">
        <v>1394</v>
      </c>
      <c r="V809" t="s">
        <v>1394</v>
      </c>
      <c r="W809" t="s">
        <v>1394</v>
      </c>
      <c r="X809" s="3">
        <v>5</v>
      </c>
      <c r="Y809" t="s">
        <v>1395</v>
      </c>
      <c r="Z809">
        <v>20875</v>
      </c>
      <c r="AA809">
        <v>0.1</v>
      </c>
      <c r="AB809">
        <v>22962.500000000004</v>
      </c>
    </row>
    <row r="810" spans="1:28" x14ac:dyDescent="0.35">
      <c r="A810" t="str">
        <f t="shared" si="72"/>
        <v>EMP0809</v>
      </c>
      <c r="B810" t="str" cm="1">
        <f t="array" ref="B810">_xlfn.IFS(
ROW()&lt;=421,"NA",
ROW()&lt;=781,"LATAM",
ROW()&lt;=1021,"EMEA",
TRUE,"APAC"
)</f>
        <v>EMEA</v>
      </c>
      <c r="C810" t="str">
        <f t="shared" si="73"/>
        <v>Germany</v>
      </c>
      <c r="D810" t="s">
        <v>38</v>
      </c>
      <c r="E810" t="s">
        <v>145</v>
      </c>
      <c r="F810" t="s">
        <v>170</v>
      </c>
      <c r="G810" t="s">
        <v>53</v>
      </c>
      <c r="H810" s="2">
        <v>43384</v>
      </c>
      <c r="I810" t="s">
        <v>29</v>
      </c>
      <c r="J810" t="s">
        <v>39</v>
      </c>
      <c r="K810" t="str">
        <f t="shared" ca="1" si="76"/>
        <v>OK</v>
      </c>
      <c r="L810" t="s">
        <v>171</v>
      </c>
      <c r="M810">
        <v>4</v>
      </c>
      <c r="N810" s="2">
        <v>46027</v>
      </c>
      <c r="O810" s="2" t="s">
        <v>22</v>
      </c>
      <c r="P810" s="4">
        <f t="shared" ca="1" si="74"/>
        <v>7</v>
      </c>
      <c r="Q810" s="4" t="str">
        <f t="shared" ca="1" si="75"/>
        <v>6-10 Years</v>
      </c>
      <c r="R810">
        <f t="shared" ca="1" si="77"/>
        <v>0</v>
      </c>
      <c r="S810" t="s">
        <v>22</v>
      </c>
      <c r="T810">
        <v>3</v>
      </c>
      <c r="U810" t="s">
        <v>1394</v>
      </c>
      <c r="V810" t="s">
        <v>1394</v>
      </c>
      <c r="W810" t="s">
        <v>1394</v>
      </c>
      <c r="X810" s="3">
        <v>3</v>
      </c>
      <c r="Y810" t="s">
        <v>1398</v>
      </c>
      <c r="Z810">
        <v>54756</v>
      </c>
      <c r="AA810">
        <v>0.15</v>
      </c>
      <c r="AB810">
        <v>62969.399999999994</v>
      </c>
    </row>
    <row r="811" spans="1:28" x14ac:dyDescent="0.35">
      <c r="A811" t="str">
        <f t="shared" si="72"/>
        <v>EMP0810</v>
      </c>
      <c r="B811" t="str" cm="1">
        <f t="array" ref="B811">_xlfn.IFS(
ROW()&lt;=421,"NA",
ROW()&lt;=781,"LATAM",
ROW()&lt;=1021,"EMEA",
TRUE,"APAC"
)</f>
        <v>EMEA</v>
      </c>
      <c r="C811" t="str">
        <f t="shared" si="73"/>
        <v>Germany</v>
      </c>
      <c r="D811" t="s">
        <v>35</v>
      </c>
      <c r="E811" t="s">
        <v>380</v>
      </c>
      <c r="F811" t="s">
        <v>566</v>
      </c>
      <c r="G811" t="s">
        <v>28</v>
      </c>
      <c r="H811" s="2">
        <v>43379</v>
      </c>
      <c r="I811" t="s">
        <v>29</v>
      </c>
      <c r="J811" t="s">
        <v>36</v>
      </c>
      <c r="K811" t="str">
        <f t="shared" ca="1" si="76"/>
        <v>OK</v>
      </c>
      <c r="L811" t="s">
        <v>873</v>
      </c>
      <c r="M811">
        <v>5</v>
      </c>
      <c r="N811" s="2">
        <v>45999</v>
      </c>
      <c r="O811" s="2" t="s">
        <v>22</v>
      </c>
      <c r="P811" s="4">
        <f t="shared" ca="1" si="74"/>
        <v>7</v>
      </c>
      <c r="Q811" s="4" t="str">
        <f t="shared" ca="1" si="75"/>
        <v>6-10 Years</v>
      </c>
      <c r="R811">
        <f t="shared" ca="1" si="77"/>
        <v>0</v>
      </c>
      <c r="S811" t="s">
        <v>22</v>
      </c>
      <c r="T811">
        <v>4</v>
      </c>
      <c r="U811" t="s">
        <v>1394</v>
      </c>
      <c r="V811" t="s">
        <v>1394</v>
      </c>
      <c r="W811" t="s">
        <v>1394</v>
      </c>
      <c r="X811" s="3">
        <v>1</v>
      </c>
      <c r="Y811" t="s">
        <v>1397</v>
      </c>
      <c r="Z811">
        <v>44428</v>
      </c>
      <c r="AA811">
        <v>0.1</v>
      </c>
      <c r="AB811">
        <v>48870.8</v>
      </c>
    </row>
    <row r="812" spans="1:28" x14ac:dyDescent="0.35">
      <c r="A812" t="str">
        <f t="shared" si="72"/>
        <v>EMP0811</v>
      </c>
      <c r="B812" t="str" cm="1">
        <f t="array" ref="B812">_xlfn.IFS(
ROW()&lt;=421,"NA",
ROW()&lt;=781,"LATAM",
ROW()&lt;=1021,"EMEA",
TRUE,"APAC"
)</f>
        <v>EMEA</v>
      </c>
      <c r="C812" t="str">
        <f t="shared" si="73"/>
        <v>Germany</v>
      </c>
      <c r="D812" t="s">
        <v>26</v>
      </c>
      <c r="E812" t="s">
        <v>380</v>
      </c>
      <c r="F812" t="s">
        <v>618</v>
      </c>
      <c r="G812" t="s">
        <v>28</v>
      </c>
      <c r="H812" s="2">
        <v>43378</v>
      </c>
      <c r="I812" t="s">
        <v>29</v>
      </c>
      <c r="J812" t="s">
        <v>30</v>
      </c>
      <c r="K812" t="str">
        <f t="shared" ca="1" si="76"/>
        <v>OK</v>
      </c>
      <c r="L812" t="s">
        <v>1328</v>
      </c>
      <c r="M812">
        <v>5</v>
      </c>
      <c r="N812" s="2">
        <v>46032</v>
      </c>
      <c r="O812" s="2" t="s">
        <v>22</v>
      </c>
      <c r="P812" s="4">
        <f t="shared" ca="1" si="74"/>
        <v>7</v>
      </c>
      <c r="Q812" s="4" t="str">
        <f t="shared" ca="1" si="75"/>
        <v>6-10 Years</v>
      </c>
      <c r="R812">
        <f t="shared" ca="1" si="77"/>
        <v>0</v>
      </c>
      <c r="S812" t="s">
        <v>22</v>
      </c>
      <c r="T812">
        <v>2</v>
      </c>
      <c r="U812" t="s">
        <v>1394</v>
      </c>
      <c r="V812" t="s">
        <v>1394</v>
      </c>
      <c r="W812" t="s">
        <v>1394</v>
      </c>
      <c r="X812" s="3">
        <v>3</v>
      </c>
      <c r="Y812" t="s">
        <v>1398</v>
      </c>
      <c r="Z812">
        <v>31766</v>
      </c>
      <c r="AA812">
        <v>0.1</v>
      </c>
      <c r="AB812">
        <v>34942.600000000006</v>
      </c>
    </row>
    <row r="813" spans="1:28" x14ac:dyDescent="0.35">
      <c r="A813" t="str">
        <f t="shared" si="72"/>
        <v>EMP0812</v>
      </c>
      <c r="B813" t="str" cm="1">
        <f t="array" ref="B813">_xlfn.IFS(
ROW()&lt;=421,"NA",
ROW()&lt;=781,"LATAM",
ROW()&lt;=1021,"EMEA",
TRUE,"APAC"
)</f>
        <v>EMEA</v>
      </c>
      <c r="C813" t="str">
        <f t="shared" si="73"/>
        <v>Germany</v>
      </c>
      <c r="D813" t="s">
        <v>41</v>
      </c>
      <c r="E813" t="s">
        <v>145</v>
      </c>
      <c r="F813" t="s">
        <v>249</v>
      </c>
      <c r="G813" t="s">
        <v>28</v>
      </c>
      <c r="H813" s="2">
        <v>43374</v>
      </c>
      <c r="I813" t="s">
        <v>29</v>
      </c>
      <c r="J813" t="s">
        <v>42</v>
      </c>
      <c r="K813" t="str">
        <f t="shared" ca="1" si="76"/>
        <v>OK</v>
      </c>
      <c r="L813" t="s">
        <v>295</v>
      </c>
      <c r="M813">
        <v>4</v>
      </c>
      <c r="N813" s="2">
        <v>46013</v>
      </c>
      <c r="O813" s="2" t="s">
        <v>22</v>
      </c>
      <c r="P813" s="4">
        <f t="shared" ca="1" si="74"/>
        <v>7</v>
      </c>
      <c r="Q813" s="4" t="str">
        <f t="shared" ca="1" si="75"/>
        <v>6-10 Years</v>
      </c>
      <c r="R813">
        <f t="shared" ca="1" si="77"/>
        <v>0</v>
      </c>
      <c r="S813" t="s">
        <v>22</v>
      </c>
      <c r="T813">
        <v>3</v>
      </c>
      <c r="U813" t="s">
        <v>1394</v>
      </c>
      <c r="V813" t="s">
        <v>1394</v>
      </c>
      <c r="W813" t="s">
        <v>1394</v>
      </c>
      <c r="X813" s="3">
        <v>1</v>
      </c>
      <c r="Y813" t="s">
        <v>1397</v>
      </c>
      <c r="Z813">
        <v>87226</v>
      </c>
      <c r="AA813">
        <v>0.15</v>
      </c>
      <c r="AB813">
        <v>100309.9</v>
      </c>
    </row>
    <row r="814" spans="1:28" x14ac:dyDescent="0.35">
      <c r="A814" t="str">
        <f t="shared" si="72"/>
        <v>EMP0813</v>
      </c>
      <c r="B814" t="str" cm="1">
        <f t="array" ref="B814">_xlfn.IFS(
ROW()&lt;=421,"NA",
ROW()&lt;=781,"LATAM",
ROW()&lt;=1021,"EMEA",
TRUE,"APAC"
)</f>
        <v>EMEA</v>
      </c>
      <c r="C814" t="str">
        <f t="shared" si="73"/>
        <v>Germany</v>
      </c>
      <c r="D814" t="s">
        <v>32</v>
      </c>
      <c r="E814" t="s">
        <v>380</v>
      </c>
      <c r="F814" t="s">
        <v>642</v>
      </c>
      <c r="G814" t="s">
        <v>28</v>
      </c>
      <c r="H814" s="2">
        <v>43371</v>
      </c>
      <c r="I814" t="s">
        <v>57</v>
      </c>
      <c r="J814" t="s">
        <v>33</v>
      </c>
      <c r="K814" t="str">
        <f t="shared" ca="1" si="76"/>
        <v>OK</v>
      </c>
      <c r="L814" t="s">
        <v>1241</v>
      </c>
      <c r="M814">
        <v>5</v>
      </c>
      <c r="N814" s="2">
        <v>46040</v>
      </c>
      <c r="O814" s="2">
        <v>45532</v>
      </c>
      <c r="P814" s="4">
        <f t="shared" ca="1" si="74"/>
        <v>5</v>
      </c>
      <c r="Q814" s="4" t="str">
        <f t="shared" ca="1" si="75"/>
        <v>3-5 Years</v>
      </c>
      <c r="R814">
        <f t="shared" ca="1" si="77"/>
        <v>0</v>
      </c>
      <c r="S814" t="s">
        <v>23</v>
      </c>
      <c r="T814">
        <v>4</v>
      </c>
      <c r="U814" t="s">
        <v>1394</v>
      </c>
      <c r="V814" t="s">
        <v>1394</v>
      </c>
      <c r="W814" t="s">
        <v>1394</v>
      </c>
      <c r="X814" s="3">
        <v>1</v>
      </c>
      <c r="Y814" t="s">
        <v>1397</v>
      </c>
      <c r="Z814">
        <v>45811</v>
      </c>
      <c r="AA814">
        <v>0.1</v>
      </c>
      <c r="AB814">
        <v>50392.100000000006</v>
      </c>
    </row>
    <row r="815" spans="1:28" x14ac:dyDescent="0.35">
      <c r="A815" t="str">
        <f t="shared" si="72"/>
        <v>EMP0814</v>
      </c>
      <c r="B815" t="str" cm="1">
        <f t="array" ref="B815">_xlfn.IFS(
ROW()&lt;=421,"NA",
ROW()&lt;=781,"LATAM",
ROW()&lt;=1021,"EMEA",
TRUE,"APAC"
)</f>
        <v>EMEA</v>
      </c>
      <c r="C815" t="str">
        <f t="shared" si="73"/>
        <v>Germany</v>
      </c>
      <c r="D815" t="s">
        <v>41</v>
      </c>
      <c r="E815" t="s">
        <v>145</v>
      </c>
      <c r="F815" t="s">
        <v>172</v>
      </c>
      <c r="G815" t="s">
        <v>28</v>
      </c>
      <c r="H815" s="2">
        <v>43365</v>
      </c>
      <c r="I815" t="s">
        <v>29</v>
      </c>
      <c r="J815" t="s">
        <v>42</v>
      </c>
      <c r="K815" t="str">
        <f t="shared" ca="1" si="76"/>
        <v>OK</v>
      </c>
      <c r="L815" t="s">
        <v>252</v>
      </c>
      <c r="M815">
        <v>4</v>
      </c>
      <c r="N815" s="2">
        <v>46049</v>
      </c>
      <c r="O815" s="2" t="s">
        <v>22</v>
      </c>
      <c r="P815" s="4">
        <f t="shared" ca="1" si="74"/>
        <v>7</v>
      </c>
      <c r="Q815" s="4" t="str">
        <f t="shared" ca="1" si="75"/>
        <v>6-10 Years</v>
      </c>
      <c r="R815">
        <f t="shared" ca="1" si="77"/>
        <v>0</v>
      </c>
      <c r="S815" t="s">
        <v>22</v>
      </c>
      <c r="T815">
        <v>4</v>
      </c>
      <c r="U815" t="s">
        <v>1396</v>
      </c>
      <c r="V815" t="s">
        <v>1394</v>
      </c>
      <c r="W815" t="s">
        <v>1394</v>
      </c>
      <c r="X815" s="3">
        <v>5</v>
      </c>
      <c r="Y815" t="s">
        <v>1395</v>
      </c>
      <c r="Z815">
        <v>78171</v>
      </c>
      <c r="AA815">
        <v>0.15</v>
      </c>
      <c r="AB815">
        <v>89896.65</v>
      </c>
    </row>
    <row r="816" spans="1:28" x14ac:dyDescent="0.35">
      <c r="A816" t="str">
        <f t="shared" si="72"/>
        <v>EMP0815</v>
      </c>
      <c r="B816" t="str" cm="1">
        <f t="array" ref="B816">_xlfn.IFS(
ROW()&lt;=421,"NA",
ROW()&lt;=781,"LATAM",
ROW()&lt;=1021,"EMEA",
TRUE,"APAC"
)</f>
        <v>EMEA</v>
      </c>
      <c r="C816" t="str">
        <f t="shared" si="73"/>
        <v>Germany</v>
      </c>
      <c r="D816" t="s">
        <v>41</v>
      </c>
      <c r="E816" t="s">
        <v>380</v>
      </c>
      <c r="F816" t="s">
        <v>454</v>
      </c>
      <c r="G816" t="s">
        <v>28</v>
      </c>
      <c r="H816" s="2">
        <v>43354</v>
      </c>
      <c r="I816" t="s">
        <v>29</v>
      </c>
      <c r="J816" t="s">
        <v>42</v>
      </c>
      <c r="K816" t="str">
        <f t="shared" ca="1" si="76"/>
        <v>OK</v>
      </c>
      <c r="L816" t="s">
        <v>985</v>
      </c>
      <c r="M816">
        <v>5</v>
      </c>
      <c r="N816" s="2">
        <v>46048</v>
      </c>
      <c r="O816" s="2" t="s">
        <v>22</v>
      </c>
      <c r="P816" s="4">
        <f t="shared" ca="1" si="74"/>
        <v>7</v>
      </c>
      <c r="Q816" s="4" t="str">
        <f t="shared" ca="1" si="75"/>
        <v>6-10 Years</v>
      </c>
      <c r="R816">
        <f t="shared" ca="1" si="77"/>
        <v>0</v>
      </c>
      <c r="S816" t="s">
        <v>22</v>
      </c>
      <c r="T816">
        <v>3</v>
      </c>
      <c r="U816" t="s">
        <v>1394</v>
      </c>
      <c r="V816" t="s">
        <v>1394</v>
      </c>
      <c r="W816" t="s">
        <v>1394</v>
      </c>
      <c r="X816" s="3">
        <v>3</v>
      </c>
      <c r="Y816" t="s">
        <v>1398</v>
      </c>
      <c r="Z816">
        <v>40876</v>
      </c>
      <c r="AA816">
        <v>0.1</v>
      </c>
      <c r="AB816">
        <v>44963.600000000006</v>
      </c>
    </row>
    <row r="817" spans="1:28" x14ac:dyDescent="0.35">
      <c r="A817" t="str">
        <f t="shared" si="72"/>
        <v>EMP0816</v>
      </c>
      <c r="B817" t="str" cm="1">
        <f t="array" ref="B817">_xlfn.IFS(
ROW()&lt;=421,"NA",
ROW()&lt;=781,"LATAM",
ROW()&lt;=1021,"EMEA",
TRUE,"APAC"
)</f>
        <v>EMEA</v>
      </c>
      <c r="C817" t="str">
        <f t="shared" si="73"/>
        <v>Germany</v>
      </c>
      <c r="D817" t="s">
        <v>41</v>
      </c>
      <c r="E817" t="s">
        <v>145</v>
      </c>
      <c r="F817" t="s">
        <v>219</v>
      </c>
      <c r="G817" t="s">
        <v>28</v>
      </c>
      <c r="H817" s="2">
        <v>43351</v>
      </c>
      <c r="I817" t="s">
        <v>29</v>
      </c>
      <c r="J817" t="s">
        <v>42</v>
      </c>
      <c r="K817" t="str">
        <f t="shared" ca="1" si="76"/>
        <v>OK</v>
      </c>
      <c r="L817" t="s">
        <v>326</v>
      </c>
      <c r="M817">
        <v>4</v>
      </c>
      <c r="N817" s="2">
        <v>46037</v>
      </c>
      <c r="O817" s="2" t="s">
        <v>22</v>
      </c>
      <c r="P817" s="4">
        <f t="shared" ca="1" si="74"/>
        <v>7</v>
      </c>
      <c r="Q817" s="4" t="str">
        <f t="shared" ca="1" si="75"/>
        <v>6-10 Years</v>
      </c>
      <c r="R817">
        <f t="shared" ca="1" si="77"/>
        <v>0</v>
      </c>
      <c r="S817" t="s">
        <v>22</v>
      </c>
      <c r="T817">
        <v>4</v>
      </c>
      <c r="U817" t="s">
        <v>1394</v>
      </c>
      <c r="V817" t="s">
        <v>1394</v>
      </c>
      <c r="W817" t="s">
        <v>1394</v>
      </c>
      <c r="X817" s="3">
        <v>4</v>
      </c>
      <c r="Y817" t="s">
        <v>1395</v>
      </c>
      <c r="Z817">
        <v>53022</v>
      </c>
      <c r="AA817">
        <v>0.15</v>
      </c>
      <c r="AB817">
        <v>60975.299999999996</v>
      </c>
    </row>
    <row r="818" spans="1:28" x14ac:dyDescent="0.35">
      <c r="A818" t="str">
        <f t="shared" si="72"/>
        <v>EMP0817</v>
      </c>
      <c r="B818" t="str" cm="1">
        <f t="array" ref="B818">_xlfn.IFS(
ROW()&lt;=421,"NA",
ROW()&lt;=781,"LATAM",
ROW()&lt;=1021,"EMEA",
TRUE,"APAC"
)</f>
        <v>EMEA</v>
      </c>
      <c r="C818" t="str">
        <f t="shared" si="73"/>
        <v>Germany</v>
      </c>
      <c r="D818" t="s">
        <v>44</v>
      </c>
      <c r="E818" t="s">
        <v>145</v>
      </c>
      <c r="F818" t="s">
        <v>275</v>
      </c>
      <c r="G818" t="s">
        <v>28</v>
      </c>
      <c r="H818" s="2">
        <v>43340</v>
      </c>
      <c r="I818" t="s">
        <v>29</v>
      </c>
      <c r="J818" t="s">
        <v>47</v>
      </c>
      <c r="K818" t="str">
        <f t="shared" ca="1" si="76"/>
        <v>OK</v>
      </c>
      <c r="L818" t="s">
        <v>276</v>
      </c>
      <c r="M818">
        <v>4</v>
      </c>
      <c r="N818" s="2">
        <v>46019</v>
      </c>
      <c r="O818" s="2" t="s">
        <v>22</v>
      </c>
      <c r="P818" s="4">
        <f t="shared" ca="1" si="74"/>
        <v>7</v>
      </c>
      <c r="Q818" s="4" t="str">
        <f t="shared" ca="1" si="75"/>
        <v>6-10 Years</v>
      </c>
      <c r="R818">
        <f t="shared" ca="1" si="77"/>
        <v>0</v>
      </c>
      <c r="S818" t="s">
        <v>22</v>
      </c>
      <c r="T818">
        <v>4</v>
      </c>
      <c r="U818" t="s">
        <v>1396</v>
      </c>
      <c r="V818" t="s">
        <v>1394</v>
      </c>
      <c r="W818" t="s">
        <v>1394</v>
      </c>
      <c r="X818" s="3">
        <v>1</v>
      </c>
      <c r="Y818" t="s">
        <v>1397</v>
      </c>
      <c r="Z818">
        <v>52069</v>
      </c>
      <c r="AA818">
        <v>0.15</v>
      </c>
      <c r="AB818">
        <v>59879.35</v>
      </c>
    </row>
    <row r="819" spans="1:28" x14ac:dyDescent="0.35">
      <c r="A819" t="str">
        <f t="shared" si="72"/>
        <v>EMP0818</v>
      </c>
      <c r="B819" t="str" cm="1">
        <f t="array" ref="B819">_xlfn.IFS(
ROW()&lt;=421,"NA",
ROW()&lt;=781,"LATAM",
ROW()&lt;=1021,"EMEA",
TRUE,"APAC"
)</f>
        <v>EMEA</v>
      </c>
      <c r="C819" t="str">
        <f t="shared" si="73"/>
        <v>Germany</v>
      </c>
      <c r="D819" t="s">
        <v>32</v>
      </c>
      <c r="E819" t="s">
        <v>380</v>
      </c>
      <c r="F819" t="s">
        <v>502</v>
      </c>
      <c r="G819" t="s">
        <v>28</v>
      </c>
      <c r="H819" s="2">
        <v>43340</v>
      </c>
      <c r="I819" t="s">
        <v>29</v>
      </c>
      <c r="J819" t="s">
        <v>33</v>
      </c>
      <c r="K819" t="str">
        <f t="shared" ca="1" si="76"/>
        <v>OK</v>
      </c>
      <c r="L819" t="s">
        <v>687</v>
      </c>
      <c r="M819">
        <v>5</v>
      </c>
      <c r="N819" s="2">
        <v>45992</v>
      </c>
      <c r="O819" s="2" t="s">
        <v>22</v>
      </c>
      <c r="P819" s="4">
        <f t="shared" ca="1" si="74"/>
        <v>7</v>
      </c>
      <c r="Q819" s="4" t="str">
        <f t="shared" ca="1" si="75"/>
        <v>6-10 Years</v>
      </c>
      <c r="R819">
        <f t="shared" ca="1" si="77"/>
        <v>0</v>
      </c>
      <c r="S819" t="s">
        <v>22</v>
      </c>
      <c r="T819">
        <v>3</v>
      </c>
      <c r="U819" t="s">
        <v>1394</v>
      </c>
      <c r="V819" t="s">
        <v>1394</v>
      </c>
      <c r="W819" t="s">
        <v>1394</v>
      </c>
      <c r="X819" s="3">
        <v>5</v>
      </c>
      <c r="Y819" t="s">
        <v>1395</v>
      </c>
      <c r="Z819">
        <v>42477</v>
      </c>
      <c r="AA819">
        <v>0.1</v>
      </c>
      <c r="AB819">
        <v>46724.700000000004</v>
      </c>
    </row>
    <row r="820" spans="1:28" x14ac:dyDescent="0.35">
      <c r="A820" t="str">
        <f t="shared" si="72"/>
        <v>EMP0819</v>
      </c>
      <c r="B820" t="str" cm="1">
        <f t="array" ref="B820">_xlfn.IFS(
ROW()&lt;=421,"NA",
ROW()&lt;=781,"LATAM",
ROW()&lt;=1021,"EMEA",
TRUE,"APAC"
)</f>
        <v>EMEA</v>
      </c>
      <c r="C820" t="str">
        <f t="shared" si="73"/>
        <v>Germany</v>
      </c>
      <c r="D820" t="s">
        <v>26</v>
      </c>
      <c r="E820" t="s">
        <v>380</v>
      </c>
      <c r="F820" t="s">
        <v>600</v>
      </c>
      <c r="G820" t="s">
        <v>28</v>
      </c>
      <c r="H820" s="2">
        <v>43339</v>
      </c>
      <c r="I820" t="s">
        <v>29</v>
      </c>
      <c r="J820" t="s">
        <v>30</v>
      </c>
      <c r="K820" t="str">
        <f t="shared" ca="1" si="76"/>
        <v>OK</v>
      </c>
      <c r="L820" t="s">
        <v>601</v>
      </c>
      <c r="M820">
        <v>5</v>
      </c>
      <c r="N820" s="2">
        <v>46035</v>
      </c>
      <c r="O820" s="2" t="s">
        <v>22</v>
      </c>
      <c r="P820" s="4">
        <f t="shared" ca="1" si="74"/>
        <v>7</v>
      </c>
      <c r="Q820" s="4" t="str">
        <f t="shared" ca="1" si="75"/>
        <v>6-10 Years</v>
      </c>
      <c r="R820">
        <f t="shared" ca="1" si="77"/>
        <v>0</v>
      </c>
      <c r="S820" t="s">
        <v>22</v>
      </c>
      <c r="T820">
        <v>3</v>
      </c>
      <c r="U820" t="s">
        <v>1394</v>
      </c>
      <c r="V820" t="s">
        <v>1394</v>
      </c>
      <c r="W820" t="s">
        <v>1394</v>
      </c>
      <c r="X820" s="3">
        <v>4</v>
      </c>
      <c r="Y820" t="s">
        <v>1395</v>
      </c>
      <c r="Z820">
        <v>21616</v>
      </c>
      <c r="AA820">
        <v>0.1</v>
      </c>
      <c r="AB820">
        <v>23777.600000000002</v>
      </c>
    </row>
    <row r="821" spans="1:28" x14ac:dyDescent="0.35">
      <c r="A821" t="str">
        <f t="shared" si="72"/>
        <v>EMP0820</v>
      </c>
      <c r="B821" t="str" cm="1">
        <f t="array" ref="B821">_xlfn.IFS(
ROW()&lt;=421,"NA",
ROW()&lt;=781,"LATAM",
ROW()&lt;=1021,"EMEA",
TRUE,"APAC"
)</f>
        <v>EMEA</v>
      </c>
      <c r="C821" t="str">
        <f t="shared" si="73"/>
        <v>Germany</v>
      </c>
      <c r="D821" t="s">
        <v>41</v>
      </c>
      <c r="E821" t="s">
        <v>145</v>
      </c>
      <c r="F821" t="s">
        <v>181</v>
      </c>
      <c r="G821" t="s">
        <v>28</v>
      </c>
      <c r="H821" s="2">
        <v>43338</v>
      </c>
      <c r="I821" t="s">
        <v>29</v>
      </c>
      <c r="J821" t="s">
        <v>42</v>
      </c>
      <c r="K821" t="str">
        <f t="shared" ca="1" si="76"/>
        <v>OK</v>
      </c>
      <c r="L821" t="s">
        <v>243</v>
      </c>
      <c r="M821">
        <v>4</v>
      </c>
      <c r="N821" s="2">
        <v>46032</v>
      </c>
      <c r="O821" s="2" t="s">
        <v>22</v>
      </c>
      <c r="P821" s="4">
        <f t="shared" ca="1" si="74"/>
        <v>7</v>
      </c>
      <c r="Q821" s="4" t="str">
        <f t="shared" ca="1" si="75"/>
        <v>6-10 Years</v>
      </c>
      <c r="R821">
        <f t="shared" ca="1" si="77"/>
        <v>0</v>
      </c>
      <c r="S821" t="s">
        <v>22</v>
      </c>
      <c r="T821">
        <v>3</v>
      </c>
      <c r="U821" t="s">
        <v>1394</v>
      </c>
      <c r="V821" t="s">
        <v>1396</v>
      </c>
      <c r="W821" t="s">
        <v>1394</v>
      </c>
      <c r="X821" s="3">
        <v>2</v>
      </c>
      <c r="Y821" t="s">
        <v>1397</v>
      </c>
      <c r="Z821">
        <v>83950</v>
      </c>
      <c r="AA821">
        <v>0.15</v>
      </c>
      <c r="AB821">
        <v>96542.499999999985</v>
      </c>
    </row>
    <row r="822" spans="1:28" x14ac:dyDescent="0.35">
      <c r="A822" t="str">
        <f t="shared" si="72"/>
        <v>EMP0821</v>
      </c>
      <c r="B822" t="str" cm="1">
        <f t="array" ref="B822">_xlfn.IFS(
ROW()&lt;=421,"NA",
ROW()&lt;=781,"LATAM",
ROW()&lt;=1021,"EMEA",
TRUE,"APAC"
)</f>
        <v>EMEA</v>
      </c>
      <c r="C822" t="str">
        <f t="shared" si="73"/>
        <v>Germany</v>
      </c>
      <c r="D822" t="s">
        <v>38</v>
      </c>
      <c r="E822" t="s">
        <v>380</v>
      </c>
      <c r="F822" t="s">
        <v>518</v>
      </c>
      <c r="G822" t="s">
        <v>28</v>
      </c>
      <c r="H822" s="2">
        <v>43338</v>
      </c>
      <c r="I822" t="s">
        <v>29</v>
      </c>
      <c r="J822" t="s">
        <v>39</v>
      </c>
      <c r="K822" t="str">
        <f t="shared" ca="1" si="76"/>
        <v>OK</v>
      </c>
      <c r="L822" t="s">
        <v>662</v>
      </c>
      <c r="M822">
        <v>5</v>
      </c>
      <c r="N822" s="2">
        <v>46037</v>
      </c>
      <c r="O822" s="2" t="s">
        <v>22</v>
      </c>
      <c r="P822" s="4">
        <f t="shared" ca="1" si="74"/>
        <v>7</v>
      </c>
      <c r="Q822" s="4" t="str">
        <f t="shared" ca="1" si="75"/>
        <v>6-10 Years</v>
      </c>
      <c r="R822">
        <f t="shared" ca="1" si="77"/>
        <v>0</v>
      </c>
      <c r="S822" t="s">
        <v>22</v>
      </c>
      <c r="T822">
        <v>3</v>
      </c>
      <c r="U822" t="s">
        <v>1394</v>
      </c>
      <c r="V822" t="s">
        <v>1394</v>
      </c>
      <c r="W822" t="s">
        <v>1394</v>
      </c>
      <c r="X822" s="3">
        <v>5</v>
      </c>
      <c r="Y822" t="s">
        <v>1395</v>
      </c>
      <c r="Z822">
        <v>46810</v>
      </c>
      <c r="AA822">
        <v>0.1</v>
      </c>
      <c r="AB822">
        <v>51491.000000000007</v>
      </c>
    </row>
    <row r="823" spans="1:28" x14ac:dyDescent="0.35">
      <c r="A823" t="str">
        <f t="shared" si="72"/>
        <v>EMP0822</v>
      </c>
      <c r="B823" t="str" cm="1">
        <f t="array" ref="B823">_xlfn.IFS(
ROW()&lt;=421,"NA",
ROW()&lt;=781,"LATAM",
ROW()&lt;=1021,"EMEA",
TRUE,"APAC"
)</f>
        <v>EMEA</v>
      </c>
      <c r="C823" t="str">
        <f t="shared" si="73"/>
        <v>Germany</v>
      </c>
      <c r="D823" t="s">
        <v>44</v>
      </c>
      <c r="E823" t="s">
        <v>380</v>
      </c>
      <c r="F823" t="s">
        <v>444</v>
      </c>
      <c r="G823" t="s">
        <v>28</v>
      </c>
      <c r="H823" s="2">
        <v>43334</v>
      </c>
      <c r="I823" t="s">
        <v>29</v>
      </c>
      <c r="J823" t="s">
        <v>47</v>
      </c>
      <c r="K823" t="str">
        <f t="shared" ca="1" si="76"/>
        <v>OK</v>
      </c>
      <c r="L823" t="s">
        <v>445</v>
      </c>
      <c r="M823">
        <v>5</v>
      </c>
      <c r="N823" s="2">
        <v>46050</v>
      </c>
      <c r="O823" s="2" t="s">
        <v>22</v>
      </c>
      <c r="P823" s="4">
        <f t="shared" ca="1" si="74"/>
        <v>7</v>
      </c>
      <c r="Q823" s="4" t="str">
        <f t="shared" ca="1" si="75"/>
        <v>6-10 Years</v>
      </c>
      <c r="R823">
        <f t="shared" ca="1" si="77"/>
        <v>0</v>
      </c>
      <c r="S823" t="s">
        <v>22</v>
      </c>
      <c r="T823">
        <v>2</v>
      </c>
      <c r="U823" t="s">
        <v>1394</v>
      </c>
      <c r="V823" t="s">
        <v>1394</v>
      </c>
      <c r="W823" t="s">
        <v>1394</v>
      </c>
      <c r="X823" s="3">
        <v>2</v>
      </c>
      <c r="Y823" t="s">
        <v>1397</v>
      </c>
      <c r="Z823">
        <v>37046</v>
      </c>
      <c r="AA823">
        <v>0.1</v>
      </c>
      <c r="AB823">
        <v>40750.600000000006</v>
      </c>
    </row>
    <row r="824" spans="1:28" x14ac:dyDescent="0.35">
      <c r="A824" t="str">
        <f t="shared" si="72"/>
        <v>EMP0823</v>
      </c>
      <c r="B824" t="str" cm="1">
        <f t="array" ref="B824">_xlfn.IFS(
ROW()&lt;=421,"NA",
ROW()&lt;=781,"LATAM",
ROW()&lt;=1021,"EMEA",
TRUE,"APAC"
)</f>
        <v>EMEA</v>
      </c>
      <c r="C824" t="str">
        <f t="shared" si="73"/>
        <v>Germany</v>
      </c>
      <c r="D824" t="s">
        <v>41</v>
      </c>
      <c r="E824" t="s">
        <v>145</v>
      </c>
      <c r="F824" t="s">
        <v>228</v>
      </c>
      <c r="G824" t="s">
        <v>28</v>
      </c>
      <c r="H824" s="2">
        <v>43330</v>
      </c>
      <c r="I824" t="s">
        <v>57</v>
      </c>
      <c r="J824" t="s">
        <v>42</v>
      </c>
      <c r="K824" t="str">
        <f t="shared" ca="1" si="76"/>
        <v>OK</v>
      </c>
      <c r="L824" t="s">
        <v>357</v>
      </c>
      <c r="M824">
        <v>4</v>
      </c>
      <c r="N824" s="2">
        <v>46067</v>
      </c>
      <c r="O824" s="2">
        <v>45285</v>
      </c>
      <c r="P824" s="4">
        <f t="shared" ca="1" si="74"/>
        <v>5</v>
      </c>
      <c r="Q824" s="4" t="str">
        <f t="shared" ca="1" si="75"/>
        <v>3-5 Years</v>
      </c>
      <c r="R824">
        <f t="shared" ca="1" si="77"/>
        <v>0</v>
      </c>
      <c r="S824" t="s">
        <v>23</v>
      </c>
      <c r="T824">
        <v>3</v>
      </c>
      <c r="U824" t="s">
        <v>1394</v>
      </c>
      <c r="V824" t="s">
        <v>1394</v>
      </c>
      <c r="W824" t="s">
        <v>1394</v>
      </c>
      <c r="X824" s="3">
        <v>4</v>
      </c>
      <c r="Y824" t="s">
        <v>1395</v>
      </c>
      <c r="Z824">
        <v>88182</v>
      </c>
      <c r="AA824">
        <v>0.15</v>
      </c>
      <c r="AB824">
        <v>101409.29999999999</v>
      </c>
    </row>
    <row r="825" spans="1:28" x14ac:dyDescent="0.35">
      <c r="A825" t="str">
        <f t="shared" si="72"/>
        <v>EMP0824</v>
      </c>
      <c r="B825" t="str" cm="1">
        <f t="array" ref="B825">_xlfn.IFS(
ROW()&lt;=421,"NA",
ROW()&lt;=781,"LATAM",
ROW()&lt;=1021,"EMEA",
TRUE,"APAC"
)</f>
        <v>EMEA</v>
      </c>
      <c r="C825" t="str">
        <f t="shared" si="73"/>
        <v>Germany</v>
      </c>
      <c r="D825" t="s">
        <v>35</v>
      </c>
      <c r="E825" t="s">
        <v>380</v>
      </c>
      <c r="F825" t="s">
        <v>495</v>
      </c>
      <c r="G825" t="s">
        <v>28</v>
      </c>
      <c r="H825" s="2">
        <v>43330</v>
      </c>
      <c r="I825" t="s">
        <v>29</v>
      </c>
      <c r="J825" t="s">
        <v>36</v>
      </c>
      <c r="K825" t="str">
        <f t="shared" ca="1" si="76"/>
        <v>OK</v>
      </c>
      <c r="L825" t="s">
        <v>982</v>
      </c>
      <c r="M825">
        <v>5</v>
      </c>
      <c r="N825" s="2">
        <v>46032</v>
      </c>
      <c r="O825" s="2" t="s">
        <v>22</v>
      </c>
      <c r="P825" s="4">
        <f t="shared" ca="1" si="74"/>
        <v>7</v>
      </c>
      <c r="Q825" s="4" t="str">
        <f t="shared" ca="1" si="75"/>
        <v>6-10 Years</v>
      </c>
      <c r="R825">
        <f t="shared" ca="1" si="77"/>
        <v>0</v>
      </c>
      <c r="S825" t="s">
        <v>22</v>
      </c>
      <c r="T825">
        <v>3</v>
      </c>
      <c r="U825" t="s">
        <v>1394</v>
      </c>
      <c r="V825" t="s">
        <v>1394</v>
      </c>
      <c r="W825" t="s">
        <v>1394</v>
      </c>
      <c r="X825" s="3">
        <v>4</v>
      </c>
      <c r="Y825" t="s">
        <v>1395</v>
      </c>
      <c r="Z825">
        <v>49819</v>
      </c>
      <c r="AA825">
        <v>0.1</v>
      </c>
      <c r="AB825">
        <v>54800.9</v>
      </c>
    </row>
    <row r="826" spans="1:28" x14ac:dyDescent="0.35">
      <c r="A826" t="str">
        <f t="shared" si="72"/>
        <v>EMP0825</v>
      </c>
      <c r="B826" t="str" cm="1">
        <f t="array" ref="B826">_xlfn.IFS(
ROW()&lt;=421,"NA",
ROW()&lt;=781,"LATAM",
ROW()&lt;=1021,"EMEA",
TRUE,"APAC"
)</f>
        <v>EMEA</v>
      </c>
      <c r="C826" t="str">
        <f t="shared" si="73"/>
        <v>Germany</v>
      </c>
      <c r="D826" t="s">
        <v>38</v>
      </c>
      <c r="E826" t="s">
        <v>380</v>
      </c>
      <c r="F826" t="s">
        <v>447</v>
      </c>
      <c r="G826" t="s">
        <v>28</v>
      </c>
      <c r="H826" s="2">
        <v>43328</v>
      </c>
      <c r="I826" t="s">
        <v>29</v>
      </c>
      <c r="J826" t="s">
        <v>39</v>
      </c>
      <c r="K826" t="str">
        <f t="shared" ca="1" si="76"/>
        <v>OK</v>
      </c>
      <c r="L826" t="s">
        <v>1325</v>
      </c>
      <c r="M826">
        <v>5</v>
      </c>
      <c r="N826" s="2">
        <v>45990</v>
      </c>
      <c r="O826" s="2" t="s">
        <v>22</v>
      </c>
      <c r="P826" s="4">
        <f t="shared" ca="1" si="74"/>
        <v>7</v>
      </c>
      <c r="Q826" s="4" t="str">
        <f t="shared" ca="1" si="75"/>
        <v>6-10 Years</v>
      </c>
      <c r="R826">
        <f t="shared" ca="1" si="77"/>
        <v>0</v>
      </c>
      <c r="S826" t="s">
        <v>22</v>
      </c>
      <c r="T826">
        <v>3</v>
      </c>
      <c r="U826" t="s">
        <v>1394</v>
      </c>
      <c r="V826" t="s">
        <v>1394</v>
      </c>
      <c r="W826" t="s">
        <v>1394</v>
      </c>
      <c r="X826" s="3">
        <v>1</v>
      </c>
      <c r="Y826" t="s">
        <v>1397</v>
      </c>
      <c r="Z826">
        <v>42319</v>
      </c>
      <c r="AA826">
        <v>0.1</v>
      </c>
      <c r="AB826">
        <v>46550.9</v>
      </c>
    </row>
    <row r="827" spans="1:28" x14ac:dyDescent="0.35">
      <c r="A827" t="str">
        <f t="shared" si="72"/>
        <v>EMP0826</v>
      </c>
      <c r="B827" t="str" cm="1">
        <f t="array" ref="B827">_xlfn.IFS(
ROW()&lt;=421,"NA",
ROW()&lt;=781,"LATAM",
ROW()&lt;=1021,"EMEA",
TRUE,"APAC"
)</f>
        <v>EMEA</v>
      </c>
      <c r="C827" t="str">
        <f t="shared" si="73"/>
        <v>Germany</v>
      </c>
      <c r="D827" t="s">
        <v>41</v>
      </c>
      <c r="E827" t="s">
        <v>380</v>
      </c>
      <c r="F827" t="s">
        <v>784</v>
      </c>
      <c r="G827" t="s">
        <v>28</v>
      </c>
      <c r="H827" s="2">
        <v>43324</v>
      </c>
      <c r="I827" t="s">
        <v>29</v>
      </c>
      <c r="J827" t="s">
        <v>42</v>
      </c>
      <c r="K827" t="str">
        <f t="shared" ca="1" si="76"/>
        <v>OK</v>
      </c>
      <c r="L827" t="s">
        <v>1244</v>
      </c>
      <c r="M827">
        <v>5</v>
      </c>
      <c r="N827" s="2">
        <v>46024</v>
      </c>
      <c r="O827" s="2" t="s">
        <v>22</v>
      </c>
      <c r="P827" s="4">
        <f t="shared" ca="1" si="74"/>
        <v>7</v>
      </c>
      <c r="Q827" s="4" t="str">
        <f t="shared" ca="1" si="75"/>
        <v>6-10 Years</v>
      </c>
      <c r="R827">
        <f t="shared" ca="1" si="77"/>
        <v>0</v>
      </c>
      <c r="S827" t="s">
        <v>22</v>
      </c>
      <c r="T827">
        <v>3</v>
      </c>
      <c r="U827" t="s">
        <v>1396</v>
      </c>
      <c r="V827" t="s">
        <v>1394</v>
      </c>
      <c r="W827" t="s">
        <v>1394</v>
      </c>
      <c r="X827" s="3">
        <v>4</v>
      </c>
      <c r="Y827" t="s">
        <v>1395</v>
      </c>
      <c r="Z827">
        <v>41914</v>
      </c>
      <c r="AA827">
        <v>0.1</v>
      </c>
      <c r="AB827">
        <v>46105.4</v>
      </c>
    </row>
    <row r="828" spans="1:28" x14ac:dyDescent="0.35">
      <c r="A828" t="str">
        <f t="shared" si="72"/>
        <v>EMP0827</v>
      </c>
      <c r="B828" t="str" cm="1">
        <f t="array" ref="B828">_xlfn.IFS(
ROW()&lt;=421,"NA",
ROW()&lt;=781,"LATAM",
ROW()&lt;=1021,"EMEA",
TRUE,"APAC"
)</f>
        <v>EMEA</v>
      </c>
      <c r="C828" t="str">
        <f t="shared" si="73"/>
        <v>Germany</v>
      </c>
      <c r="D828" t="s">
        <v>35</v>
      </c>
      <c r="E828" t="s">
        <v>380</v>
      </c>
      <c r="F828" t="s">
        <v>564</v>
      </c>
      <c r="G828" t="s">
        <v>28</v>
      </c>
      <c r="H828" s="2">
        <v>43323</v>
      </c>
      <c r="I828" t="s">
        <v>29</v>
      </c>
      <c r="J828" t="s">
        <v>36</v>
      </c>
      <c r="K828" t="str">
        <f t="shared" ca="1" si="76"/>
        <v>OK</v>
      </c>
      <c r="L828" t="s">
        <v>995</v>
      </c>
      <c r="M828">
        <v>5</v>
      </c>
      <c r="N828" s="2">
        <v>46077</v>
      </c>
      <c r="O828" s="2" t="s">
        <v>22</v>
      </c>
      <c r="P828" s="4">
        <f t="shared" ca="1" si="74"/>
        <v>7</v>
      </c>
      <c r="Q828" s="4" t="str">
        <f t="shared" ca="1" si="75"/>
        <v>6-10 Years</v>
      </c>
      <c r="R828">
        <f t="shared" ca="1" si="77"/>
        <v>0</v>
      </c>
      <c r="S828" t="s">
        <v>22</v>
      </c>
      <c r="T828">
        <v>4</v>
      </c>
      <c r="U828" t="s">
        <v>1394</v>
      </c>
      <c r="V828" t="s">
        <v>1394</v>
      </c>
      <c r="W828" t="s">
        <v>1394</v>
      </c>
      <c r="X828" s="3">
        <v>3</v>
      </c>
      <c r="Y828" t="s">
        <v>1398</v>
      </c>
      <c r="Z828">
        <v>31736</v>
      </c>
      <c r="AA828">
        <v>0.1</v>
      </c>
      <c r="AB828">
        <v>34909.600000000006</v>
      </c>
    </row>
    <row r="829" spans="1:28" x14ac:dyDescent="0.35">
      <c r="A829" t="str">
        <f t="shared" si="72"/>
        <v>EMP0828</v>
      </c>
      <c r="B829" t="str" cm="1">
        <f t="array" ref="B829">_xlfn.IFS(
ROW()&lt;=421,"NA",
ROW()&lt;=781,"LATAM",
ROW()&lt;=1021,"EMEA",
TRUE,"APAC"
)</f>
        <v>EMEA</v>
      </c>
      <c r="C829" t="str">
        <f t="shared" si="73"/>
        <v>Germany</v>
      </c>
      <c r="E829" t="s">
        <v>380</v>
      </c>
      <c r="F829" t="s">
        <v>851</v>
      </c>
      <c r="G829" t="s">
        <v>28</v>
      </c>
      <c r="H829" s="2">
        <v>43321</v>
      </c>
      <c r="I829" t="s">
        <v>29</v>
      </c>
      <c r="J829" t="s">
        <v>30</v>
      </c>
      <c r="K829" t="str">
        <f t="shared" ca="1" si="76"/>
        <v>⚠ Review</v>
      </c>
      <c r="L829" t="s">
        <v>1078</v>
      </c>
      <c r="M829">
        <v>5</v>
      </c>
      <c r="N829" s="2">
        <v>45990</v>
      </c>
      <c r="O829" s="2" t="s">
        <v>22</v>
      </c>
      <c r="P829" s="4">
        <f t="shared" ca="1" si="74"/>
        <v>7</v>
      </c>
      <c r="Q829" s="4" t="str">
        <f t="shared" ca="1" si="75"/>
        <v>6-10 Years</v>
      </c>
      <c r="R829">
        <f t="shared" ca="1" si="77"/>
        <v>0</v>
      </c>
      <c r="S829" t="s">
        <v>22</v>
      </c>
      <c r="T829">
        <v>3</v>
      </c>
      <c r="U829" t="s">
        <v>1394</v>
      </c>
      <c r="V829" t="s">
        <v>1394</v>
      </c>
      <c r="W829" t="s">
        <v>1394</v>
      </c>
      <c r="X829" s="3">
        <v>3</v>
      </c>
      <c r="Y829" t="s">
        <v>1398</v>
      </c>
      <c r="Z829">
        <v>21757</v>
      </c>
      <c r="AA829">
        <v>0.1</v>
      </c>
      <c r="AB829">
        <v>23932.7</v>
      </c>
    </row>
    <row r="830" spans="1:28" x14ac:dyDescent="0.35">
      <c r="A830" t="str">
        <f t="shared" si="72"/>
        <v>EMP0829</v>
      </c>
      <c r="B830" t="str" cm="1">
        <f t="array" ref="B830">_xlfn.IFS(
ROW()&lt;=421,"NA",
ROW()&lt;=781,"LATAM",
ROW()&lt;=1021,"EMEA",
TRUE,"APAC"
)</f>
        <v>EMEA</v>
      </c>
      <c r="C830" t="str">
        <f t="shared" si="73"/>
        <v>Germany</v>
      </c>
      <c r="D830" t="s">
        <v>38</v>
      </c>
      <c r="E830" t="s">
        <v>380</v>
      </c>
      <c r="F830" t="s">
        <v>495</v>
      </c>
      <c r="G830" t="s">
        <v>28</v>
      </c>
      <c r="H830" s="2">
        <v>43316</v>
      </c>
      <c r="I830" t="s">
        <v>29</v>
      </c>
      <c r="J830" t="s">
        <v>39</v>
      </c>
      <c r="K830" t="str">
        <f t="shared" ca="1" si="76"/>
        <v>OK</v>
      </c>
      <c r="L830" t="s">
        <v>728</v>
      </c>
      <c r="M830">
        <v>5</v>
      </c>
      <c r="N830" s="2">
        <v>46042</v>
      </c>
      <c r="O830" s="2" t="s">
        <v>22</v>
      </c>
      <c r="P830" s="4">
        <f t="shared" ca="1" si="74"/>
        <v>7</v>
      </c>
      <c r="Q830" s="4" t="str">
        <f t="shared" ca="1" si="75"/>
        <v>6-10 Years</v>
      </c>
      <c r="R830">
        <f t="shared" ca="1" si="77"/>
        <v>0</v>
      </c>
      <c r="S830" t="s">
        <v>22</v>
      </c>
      <c r="T830">
        <v>2</v>
      </c>
      <c r="U830" t="s">
        <v>1394</v>
      </c>
      <c r="V830" t="s">
        <v>1396</v>
      </c>
      <c r="W830" t="s">
        <v>1394</v>
      </c>
      <c r="X830" s="3">
        <v>3</v>
      </c>
      <c r="Y830" t="s">
        <v>1398</v>
      </c>
      <c r="Z830">
        <v>42276</v>
      </c>
      <c r="AA830">
        <v>0.1</v>
      </c>
      <c r="AB830">
        <v>46503.600000000006</v>
      </c>
    </row>
    <row r="831" spans="1:28" x14ac:dyDescent="0.35">
      <c r="A831" t="str">
        <f t="shared" si="72"/>
        <v>EMP0830</v>
      </c>
      <c r="B831" t="str" cm="1">
        <f t="array" ref="B831">_xlfn.IFS(
ROW()&lt;=421,"NA",
ROW()&lt;=781,"LATAM",
ROW()&lt;=1021,"EMEA",
TRUE,"APAC"
)</f>
        <v>EMEA</v>
      </c>
      <c r="C831" t="str">
        <f t="shared" si="73"/>
        <v>Germany</v>
      </c>
      <c r="D831" t="s">
        <v>41</v>
      </c>
      <c r="E831" t="s">
        <v>380</v>
      </c>
      <c r="F831" t="s">
        <v>399</v>
      </c>
      <c r="G831" t="s">
        <v>28</v>
      </c>
      <c r="H831" s="2">
        <v>43314</v>
      </c>
      <c r="I831" t="s">
        <v>29</v>
      </c>
      <c r="J831" t="s">
        <v>42</v>
      </c>
      <c r="K831" t="str">
        <f t="shared" ca="1" si="76"/>
        <v>OK</v>
      </c>
      <c r="L831" t="s">
        <v>883</v>
      </c>
      <c r="M831">
        <v>5</v>
      </c>
      <c r="N831" s="2">
        <v>46007</v>
      </c>
      <c r="O831" s="2" t="s">
        <v>22</v>
      </c>
      <c r="P831" s="4">
        <f t="shared" ca="1" si="74"/>
        <v>7</v>
      </c>
      <c r="Q831" s="4" t="str">
        <f t="shared" ca="1" si="75"/>
        <v>6-10 Years</v>
      </c>
      <c r="R831">
        <f t="shared" ca="1" si="77"/>
        <v>0</v>
      </c>
      <c r="S831" t="s">
        <v>22</v>
      </c>
      <c r="T831">
        <v>3</v>
      </c>
      <c r="U831" t="s">
        <v>1394</v>
      </c>
      <c r="V831" t="s">
        <v>1394</v>
      </c>
      <c r="W831" t="s">
        <v>1394</v>
      </c>
      <c r="X831" s="3">
        <v>4</v>
      </c>
      <c r="Y831" t="s">
        <v>1395</v>
      </c>
      <c r="Z831">
        <v>36432</v>
      </c>
      <c r="AA831">
        <v>0.1</v>
      </c>
      <c r="AB831">
        <v>40075.200000000004</v>
      </c>
    </row>
    <row r="832" spans="1:28" x14ac:dyDescent="0.35">
      <c r="A832" t="str">
        <f t="shared" si="72"/>
        <v>EMP0831</v>
      </c>
      <c r="B832" t="str" cm="1">
        <f t="array" ref="B832">_xlfn.IFS(
ROW()&lt;=421,"NA",
ROW()&lt;=781,"LATAM",
ROW()&lt;=1021,"EMEA",
TRUE,"APAC"
)</f>
        <v>EMEA</v>
      </c>
      <c r="C832" t="str">
        <f t="shared" si="73"/>
        <v>Germany</v>
      </c>
      <c r="D832" t="s">
        <v>38</v>
      </c>
      <c r="E832" t="s">
        <v>380</v>
      </c>
      <c r="F832" t="s">
        <v>740</v>
      </c>
      <c r="G832" t="s">
        <v>28</v>
      </c>
      <c r="H832" s="2">
        <v>43313</v>
      </c>
      <c r="I832" t="s">
        <v>29</v>
      </c>
      <c r="J832" t="s">
        <v>39</v>
      </c>
      <c r="K832" t="str">
        <f t="shared" ca="1" si="76"/>
        <v>OK</v>
      </c>
      <c r="L832" t="s">
        <v>741</v>
      </c>
      <c r="M832">
        <v>5</v>
      </c>
      <c r="N832" s="2">
        <v>46062</v>
      </c>
      <c r="O832" s="2" t="s">
        <v>22</v>
      </c>
      <c r="P832" s="4">
        <f t="shared" ca="1" si="74"/>
        <v>7</v>
      </c>
      <c r="Q832" s="4" t="str">
        <f t="shared" ca="1" si="75"/>
        <v>6-10 Years</v>
      </c>
      <c r="R832">
        <f t="shared" ca="1" si="77"/>
        <v>0</v>
      </c>
      <c r="S832" t="s">
        <v>22</v>
      </c>
      <c r="T832">
        <v>4</v>
      </c>
      <c r="U832" t="s">
        <v>1394</v>
      </c>
      <c r="V832" t="s">
        <v>1394</v>
      </c>
      <c r="W832" t="s">
        <v>1394</v>
      </c>
      <c r="X832" s="3">
        <v>3</v>
      </c>
      <c r="Y832" t="s">
        <v>1398</v>
      </c>
      <c r="Z832">
        <v>41980</v>
      </c>
      <c r="AA832">
        <v>0.1</v>
      </c>
      <c r="AB832">
        <v>46178.000000000007</v>
      </c>
    </row>
    <row r="833" spans="1:28" x14ac:dyDescent="0.35">
      <c r="A833" t="str">
        <f t="shared" si="72"/>
        <v>EMP0832</v>
      </c>
      <c r="B833" t="str" cm="1">
        <f t="array" ref="B833">_xlfn.IFS(
ROW()&lt;=421,"NA",
ROW()&lt;=781,"LATAM",
ROW()&lt;=1021,"EMEA",
TRUE,"APAC"
)</f>
        <v>EMEA</v>
      </c>
      <c r="C833" t="str">
        <f t="shared" si="73"/>
        <v>Germany</v>
      </c>
      <c r="D833" t="s">
        <v>38</v>
      </c>
      <c r="E833" t="s">
        <v>380</v>
      </c>
      <c r="F833" t="s">
        <v>471</v>
      </c>
      <c r="G833" t="s">
        <v>28</v>
      </c>
      <c r="H833" s="2">
        <v>43307</v>
      </c>
      <c r="I833" t="s">
        <v>29</v>
      </c>
      <c r="J833" t="s">
        <v>39</v>
      </c>
      <c r="K833" t="str">
        <f t="shared" ca="1" si="76"/>
        <v>OK</v>
      </c>
      <c r="L833" t="s">
        <v>472</v>
      </c>
      <c r="M833">
        <v>5</v>
      </c>
      <c r="N833" s="2">
        <v>46039</v>
      </c>
      <c r="O833" s="2" t="s">
        <v>22</v>
      </c>
      <c r="P833" s="4">
        <f t="shared" ca="1" si="74"/>
        <v>7</v>
      </c>
      <c r="Q833" s="4" t="str">
        <f t="shared" ca="1" si="75"/>
        <v>6-10 Years</v>
      </c>
      <c r="R833">
        <f t="shared" ca="1" si="77"/>
        <v>0</v>
      </c>
      <c r="S833" t="s">
        <v>22</v>
      </c>
      <c r="T833">
        <v>2</v>
      </c>
      <c r="U833" t="s">
        <v>1394</v>
      </c>
      <c r="V833" t="s">
        <v>1394</v>
      </c>
      <c r="W833" t="s">
        <v>1394</v>
      </c>
      <c r="X833" s="3">
        <v>1</v>
      </c>
      <c r="Y833" t="s">
        <v>1397</v>
      </c>
      <c r="Z833">
        <v>48512</v>
      </c>
      <c r="AA833">
        <v>0.1</v>
      </c>
      <c r="AB833">
        <v>53363.200000000004</v>
      </c>
    </row>
    <row r="834" spans="1:28" x14ac:dyDescent="0.35">
      <c r="A834" t="str">
        <f t="shared" ref="A834:A897" si="78">"EMP"&amp;TEXT(ROW()-1,"0000")</f>
        <v>EMP0833</v>
      </c>
      <c r="B834" t="str" cm="1">
        <f t="array" ref="B834">_xlfn.IFS(
ROW()&lt;=421,"NA",
ROW()&lt;=781,"LATAM",
ROW()&lt;=1021,"EMEA",
TRUE,"APAC"
)</f>
        <v>EMEA</v>
      </c>
      <c r="C834" t="str">
        <f t="shared" ref="C834:C897" si="79">IF(B834="NA","USA",
IF(B834="LATAM","Mexico",
IF(B834="EMEA","Germany","Singapore")))</f>
        <v>Germany</v>
      </c>
      <c r="D834" t="s">
        <v>32</v>
      </c>
      <c r="E834" t="s">
        <v>380</v>
      </c>
      <c r="F834" t="s">
        <v>623</v>
      </c>
      <c r="G834" t="s">
        <v>28</v>
      </c>
      <c r="H834" s="2">
        <v>43306</v>
      </c>
      <c r="I834" t="s">
        <v>29</v>
      </c>
      <c r="J834" t="s">
        <v>33</v>
      </c>
      <c r="K834" t="str">
        <f t="shared" ca="1" si="76"/>
        <v>OK</v>
      </c>
      <c r="L834" t="s">
        <v>963</v>
      </c>
      <c r="M834">
        <v>5</v>
      </c>
      <c r="N834" s="2">
        <v>46000</v>
      </c>
      <c r="O834" s="2" t="s">
        <v>22</v>
      </c>
      <c r="P834" s="4">
        <f t="shared" ref="P834:P897" ca="1" si="80">IF(H834&gt;TODAY(),
"",
IF(I834="Active",
DATEDIF(H834,TODAY(),"Y"),
DATEDIF(H834,O834,"Y")
))</f>
        <v>7</v>
      </c>
      <c r="Q834" s="4" t="str">
        <f t="shared" ref="Q834:Q897" ca="1" si="81">IF(P834&lt;=2,"0-2 Years",
IF(P834&lt;=5,"3-5 Years",
IF(P834&lt;=10,"6-10 Years","10+ Years")))</f>
        <v>6-10 Years</v>
      </c>
      <c r="R834">
        <f t="shared" ca="1" si="77"/>
        <v>0</v>
      </c>
      <c r="S834" t="s">
        <v>22</v>
      </c>
      <c r="T834">
        <v>3</v>
      </c>
      <c r="U834" t="s">
        <v>1394</v>
      </c>
      <c r="V834" t="s">
        <v>1394</v>
      </c>
      <c r="W834" t="s">
        <v>1394</v>
      </c>
      <c r="X834" s="3">
        <v>5</v>
      </c>
      <c r="Y834" t="s">
        <v>1395</v>
      </c>
      <c r="Z834">
        <v>30007</v>
      </c>
      <c r="AA834">
        <v>0.1</v>
      </c>
      <c r="AB834">
        <v>33007.700000000004</v>
      </c>
    </row>
    <row r="835" spans="1:28" x14ac:dyDescent="0.35">
      <c r="A835" t="str">
        <f t="shared" si="78"/>
        <v>EMP0834</v>
      </c>
      <c r="B835" t="str" cm="1">
        <f t="array" ref="B835">_xlfn.IFS(
ROW()&lt;=421,"NA",
ROW()&lt;=781,"LATAM",
ROW()&lt;=1021,"EMEA",
TRUE,"APAC"
)</f>
        <v>EMEA</v>
      </c>
      <c r="C835" t="str">
        <f t="shared" si="79"/>
        <v>Germany</v>
      </c>
      <c r="D835" t="s">
        <v>41</v>
      </c>
      <c r="E835" t="s">
        <v>380</v>
      </c>
      <c r="F835" t="s">
        <v>573</v>
      </c>
      <c r="G835" t="s">
        <v>28</v>
      </c>
      <c r="H835" s="2">
        <v>43303</v>
      </c>
      <c r="I835" t="s">
        <v>29</v>
      </c>
      <c r="J835" t="s">
        <v>42</v>
      </c>
      <c r="K835" t="str">
        <f t="shared" ref="K835:K898" ca="1" si="82">IF(
OR(
H835="",
I835="",
AND(I835="Inactive",O835=""),
H835&gt;TODAY(),
Z835="",
F835="",
D835="",
X835&lt;1
),
"⚠ Review",
"OK"
)</f>
        <v>OK</v>
      </c>
      <c r="L835" t="s">
        <v>810</v>
      </c>
      <c r="M835">
        <v>5</v>
      </c>
      <c r="N835" s="2">
        <v>46010</v>
      </c>
      <c r="O835" s="2" t="s">
        <v>22</v>
      </c>
      <c r="P835" s="4">
        <f t="shared" ca="1" si="80"/>
        <v>7</v>
      </c>
      <c r="Q835" s="4" t="str">
        <f t="shared" ca="1" si="81"/>
        <v>6-10 Years</v>
      </c>
      <c r="R835">
        <f t="shared" ref="R835:R898" ca="1" si="83">IF(P835&lt;=2,1,0)</f>
        <v>0</v>
      </c>
      <c r="S835" t="s">
        <v>22</v>
      </c>
      <c r="T835">
        <v>3</v>
      </c>
      <c r="U835" t="s">
        <v>1394</v>
      </c>
      <c r="V835" t="s">
        <v>1396</v>
      </c>
      <c r="W835" t="s">
        <v>1396</v>
      </c>
      <c r="X835" s="3">
        <v>2</v>
      </c>
      <c r="Y835" t="s">
        <v>1397</v>
      </c>
      <c r="Z835">
        <v>35398</v>
      </c>
      <c r="AA835">
        <v>0.1</v>
      </c>
      <c r="AB835">
        <v>38937.800000000003</v>
      </c>
    </row>
    <row r="836" spans="1:28" x14ac:dyDescent="0.35">
      <c r="A836" t="str">
        <f t="shared" si="78"/>
        <v>EMP0835</v>
      </c>
      <c r="B836" t="str" cm="1">
        <f t="array" ref="B836">_xlfn.IFS(
ROW()&lt;=421,"NA",
ROW()&lt;=781,"LATAM",
ROW()&lt;=1021,"EMEA",
TRUE,"APAC"
)</f>
        <v>EMEA</v>
      </c>
      <c r="C836" t="str">
        <f t="shared" si="79"/>
        <v>Germany</v>
      </c>
      <c r="D836" t="s">
        <v>26</v>
      </c>
      <c r="E836" t="s">
        <v>380</v>
      </c>
      <c r="F836" t="s">
        <v>434</v>
      </c>
      <c r="G836" t="s">
        <v>28</v>
      </c>
      <c r="H836" s="2">
        <v>43302</v>
      </c>
      <c r="I836" t="s">
        <v>29</v>
      </c>
      <c r="J836" t="s">
        <v>30</v>
      </c>
      <c r="K836" t="str">
        <f t="shared" ca="1" si="82"/>
        <v>OK</v>
      </c>
      <c r="L836" t="s">
        <v>435</v>
      </c>
      <c r="M836">
        <v>5</v>
      </c>
      <c r="N836" s="2">
        <v>46014</v>
      </c>
      <c r="O836" s="2" t="s">
        <v>22</v>
      </c>
      <c r="P836" s="4">
        <f t="shared" ca="1" si="80"/>
        <v>7</v>
      </c>
      <c r="Q836" s="4" t="str">
        <f t="shared" ca="1" si="81"/>
        <v>6-10 Years</v>
      </c>
      <c r="R836">
        <f t="shared" ca="1" si="83"/>
        <v>0</v>
      </c>
      <c r="S836" t="s">
        <v>22</v>
      </c>
      <c r="T836">
        <v>5</v>
      </c>
      <c r="U836" t="s">
        <v>1394</v>
      </c>
      <c r="V836" t="s">
        <v>1396</v>
      </c>
      <c r="W836" t="s">
        <v>1394</v>
      </c>
      <c r="X836" s="3">
        <v>2</v>
      </c>
      <c r="Y836" t="s">
        <v>1397</v>
      </c>
      <c r="Z836">
        <v>25122</v>
      </c>
      <c r="AA836">
        <v>0.1</v>
      </c>
      <c r="AB836">
        <v>27634.2</v>
      </c>
    </row>
    <row r="837" spans="1:28" x14ac:dyDescent="0.35">
      <c r="A837" t="str">
        <f t="shared" si="78"/>
        <v>EMP0836</v>
      </c>
      <c r="B837" t="str" cm="1">
        <f t="array" ref="B837">_xlfn.IFS(
ROW()&lt;=421,"NA",
ROW()&lt;=781,"LATAM",
ROW()&lt;=1021,"EMEA",
TRUE,"APAC"
)</f>
        <v>EMEA</v>
      </c>
      <c r="C837" t="str">
        <f t="shared" si="79"/>
        <v>Germany</v>
      </c>
      <c r="D837" t="s">
        <v>26</v>
      </c>
      <c r="E837" t="s">
        <v>380</v>
      </c>
      <c r="F837" t="s">
        <v>709</v>
      </c>
      <c r="G837" t="s">
        <v>28</v>
      </c>
      <c r="H837" s="2">
        <v>43293</v>
      </c>
      <c r="I837" t="s">
        <v>29</v>
      </c>
      <c r="J837" t="s">
        <v>30</v>
      </c>
      <c r="K837" t="str">
        <f t="shared" ca="1" si="82"/>
        <v>OK</v>
      </c>
      <c r="L837" t="s">
        <v>850</v>
      </c>
      <c r="M837">
        <v>5</v>
      </c>
      <c r="N837" s="2">
        <v>46024</v>
      </c>
      <c r="O837" s="2" t="s">
        <v>22</v>
      </c>
      <c r="P837" s="4">
        <f t="shared" ca="1" si="80"/>
        <v>7</v>
      </c>
      <c r="Q837" s="4" t="str">
        <f t="shared" ca="1" si="81"/>
        <v>6-10 Years</v>
      </c>
      <c r="R837">
        <f t="shared" ca="1" si="83"/>
        <v>0</v>
      </c>
      <c r="S837" t="s">
        <v>22</v>
      </c>
      <c r="T837">
        <v>3</v>
      </c>
      <c r="U837" t="s">
        <v>1394</v>
      </c>
      <c r="V837" t="s">
        <v>1394</v>
      </c>
      <c r="W837" t="s">
        <v>1394</v>
      </c>
      <c r="X837" s="3">
        <v>1</v>
      </c>
      <c r="Y837" t="s">
        <v>1397</v>
      </c>
      <c r="Z837">
        <v>48592</v>
      </c>
      <c r="AA837">
        <v>0.1</v>
      </c>
      <c r="AB837">
        <v>53451.200000000004</v>
      </c>
    </row>
    <row r="838" spans="1:28" x14ac:dyDescent="0.35">
      <c r="A838" t="str">
        <f t="shared" si="78"/>
        <v>EMP0837</v>
      </c>
      <c r="B838" t="str" cm="1">
        <f t="array" ref="B838">_xlfn.IFS(
ROW()&lt;=421,"NA",
ROW()&lt;=781,"LATAM",
ROW()&lt;=1021,"EMEA",
TRUE,"APAC"
)</f>
        <v>EMEA</v>
      </c>
      <c r="C838" t="str">
        <f t="shared" si="79"/>
        <v>Germany</v>
      </c>
      <c r="D838" t="s">
        <v>35</v>
      </c>
      <c r="E838" t="s">
        <v>380</v>
      </c>
      <c r="F838" t="s">
        <v>479</v>
      </c>
      <c r="G838" t="s">
        <v>53</v>
      </c>
      <c r="H838" s="2">
        <v>43291</v>
      </c>
      <c r="I838" t="s">
        <v>29</v>
      </c>
      <c r="J838" t="s">
        <v>36</v>
      </c>
      <c r="K838" t="str">
        <f t="shared" ca="1" si="82"/>
        <v>OK</v>
      </c>
      <c r="L838" t="s">
        <v>480</v>
      </c>
      <c r="M838">
        <v>5</v>
      </c>
      <c r="N838" s="2">
        <v>46073</v>
      </c>
      <c r="O838" s="2" t="s">
        <v>22</v>
      </c>
      <c r="P838" s="4">
        <f t="shared" ca="1" si="80"/>
        <v>7</v>
      </c>
      <c r="Q838" s="4" t="str">
        <f t="shared" ca="1" si="81"/>
        <v>6-10 Years</v>
      </c>
      <c r="R838">
        <f t="shared" ca="1" si="83"/>
        <v>0</v>
      </c>
      <c r="S838" t="s">
        <v>22</v>
      </c>
      <c r="T838">
        <v>3</v>
      </c>
      <c r="U838" t="s">
        <v>1394</v>
      </c>
      <c r="V838" t="s">
        <v>1394</v>
      </c>
      <c r="W838" t="s">
        <v>1394</v>
      </c>
      <c r="X838" s="3">
        <v>4</v>
      </c>
      <c r="Y838" t="s">
        <v>1395</v>
      </c>
      <c r="Z838">
        <v>38613</v>
      </c>
      <c r="AA838">
        <v>0.1</v>
      </c>
      <c r="AB838">
        <v>42474.3</v>
      </c>
    </row>
    <row r="839" spans="1:28" x14ac:dyDescent="0.35">
      <c r="A839" t="str">
        <f t="shared" si="78"/>
        <v>EMP0838</v>
      </c>
      <c r="B839" t="str" cm="1">
        <f t="array" ref="B839">_xlfn.IFS(
ROW()&lt;=421,"NA",
ROW()&lt;=781,"LATAM",
ROW()&lt;=1021,"EMEA",
TRUE,"APAC"
)</f>
        <v>EMEA</v>
      </c>
      <c r="C839" t="str">
        <f t="shared" si="79"/>
        <v>Germany</v>
      </c>
      <c r="D839" t="s">
        <v>26</v>
      </c>
      <c r="E839" t="s">
        <v>45</v>
      </c>
      <c r="F839" t="s">
        <v>60</v>
      </c>
      <c r="G839" t="s">
        <v>28</v>
      </c>
      <c r="H839" s="2">
        <v>43290</v>
      </c>
      <c r="I839" t="s">
        <v>29</v>
      </c>
      <c r="J839" t="s">
        <v>30</v>
      </c>
      <c r="K839" t="str">
        <f t="shared" ca="1" si="82"/>
        <v>OK</v>
      </c>
      <c r="L839" t="s">
        <v>61</v>
      </c>
      <c r="M839">
        <v>2</v>
      </c>
      <c r="N839" s="2">
        <v>46002</v>
      </c>
      <c r="O839" s="2" t="s">
        <v>22</v>
      </c>
      <c r="P839" s="4">
        <f t="shared" ca="1" si="80"/>
        <v>7</v>
      </c>
      <c r="Q839" s="4" t="str">
        <f t="shared" ca="1" si="81"/>
        <v>6-10 Years</v>
      </c>
      <c r="R839">
        <f t="shared" ca="1" si="83"/>
        <v>0</v>
      </c>
      <c r="S839" t="s">
        <v>22</v>
      </c>
      <c r="T839">
        <v>4</v>
      </c>
      <c r="U839" t="s">
        <v>1394</v>
      </c>
      <c r="V839" t="s">
        <v>1394</v>
      </c>
      <c r="W839" t="s">
        <v>1394</v>
      </c>
      <c r="X839" s="3">
        <v>3</v>
      </c>
      <c r="Y839" t="s">
        <v>1398</v>
      </c>
      <c r="Z839">
        <v>180099</v>
      </c>
      <c r="AA839">
        <v>0.25</v>
      </c>
      <c r="AB839">
        <v>225123.75</v>
      </c>
    </row>
    <row r="840" spans="1:28" x14ac:dyDescent="0.35">
      <c r="A840" t="str">
        <f t="shared" si="78"/>
        <v>EMP0839</v>
      </c>
      <c r="B840" t="str" cm="1">
        <f t="array" ref="B840">_xlfn.IFS(
ROW()&lt;=421,"NA",
ROW()&lt;=781,"LATAM",
ROW()&lt;=1021,"EMEA",
TRUE,"APAC"
)</f>
        <v>EMEA</v>
      </c>
      <c r="C840" t="str">
        <f t="shared" si="79"/>
        <v>Germany</v>
      </c>
      <c r="D840" t="s">
        <v>44</v>
      </c>
      <c r="E840" t="s">
        <v>380</v>
      </c>
      <c r="F840" t="s">
        <v>672</v>
      </c>
      <c r="G840" t="s">
        <v>28</v>
      </c>
      <c r="H840" s="2">
        <v>43289</v>
      </c>
      <c r="I840" t="s">
        <v>29</v>
      </c>
      <c r="J840" t="s">
        <v>47</v>
      </c>
      <c r="K840" t="str">
        <f t="shared" ca="1" si="82"/>
        <v>OK</v>
      </c>
      <c r="L840" t="s">
        <v>909</v>
      </c>
      <c r="M840">
        <v>5</v>
      </c>
      <c r="N840" s="2">
        <v>46017</v>
      </c>
      <c r="O840" s="2" t="s">
        <v>22</v>
      </c>
      <c r="P840" s="4">
        <f t="shared" ca="1" si="80"/>
        <v>7</v>
      </c>
      <c r="Q840" s="4" t="str">
        <f t="shared" ca="1" si="81"/>
        <v>6-10 Years</v>
      </c>
      <c r="R840">
        <f t="shared" ca="1" si="83"/>
        <v>0</v>
      </c>
      <c r="S840" t="s">
        <v>22</v>
      </c>
      <c r="T840">
        <v>3</v>
      </c>
      <c r="U840" t="s">
        <v>1396</v>
      </c>
      <c r="V840" t="s">
        <v>1394</v>
      </c>
      <c r="W840" t="s">
        <v>1394</v>
      </c>
      <c r="X840" s="3">
        <v>3</v>
      </c>
      <c r="Y840" t="s">
        <v>1398</v>
      </c>
      <c r="Z840">
        <v>40053</v>
      </c>
      <c r="AA840">
        <v>0.1</v>
      </c>
      <c r="AB840">
        <v>44058.3</v>
      </c>
    </row>
    <row r="841" spans="1:28" x14ac:dyDescent="0.35">
      <c r="A841" t="str">
        <f t="shared" si="78"/>
        <v>EMP0840</v>
      </c>
      <c r="B841" t="str" cm="1">
        <f t="array" ref="B841">_xlfn.IFS(
ROW()&lt;=421,"NA",
ROW()&lt;=781,"LATAM",
ROW()&lt;=1021,"EMEA",
TRUE,"APAC"
)</f>
        <v>EMEA</v>
      </c>
      <c r="C841" t="str">
        <f t="shared" si="79"/>
        <v>Germany</v>
      </c>
      <c r="D841" t="s">
        <v>44</v>
      </c>
      <c r="E841" t="s">
        <v>380</v>
      </c>
      <c r="F841" t="s">
        <v>722</v>
      </c>
      <c r="G841" t="s">
        <v>28</v>
      </c>
      <c r="H841" s="2">
        <v>43289</v>
      </c>
      <c r="I841" t="s">
        <v>57</v>
      </c>
      <c r="J841" t="s">
        <v>47</v>
      </c>
      <c r="K841" t="str">
        <f t="shared" ca="1" si="82"/>
        <v>OK</v>
      </c>
      <c r="L841" t="s">
        <v>940</v>
      </c>
      <c r="M841">
        <v>5</v>
      </c>
      <c r="N841" s="2">
        <v>46077</v>
      </c>
      <c r="O841" s="2">
        <v>45414</v>
      </c>
      <c r="P841" s="4">
        <f t="shared" ca="1" si="80"/>
        <v>5</v>
      </c>
      <c r="Q841" s="4" t="str">
        <f t="shared" ca="1" si="81"/>
        <v>3-5 Years</v>
      </c>
      <c r="R841">
        <f t="shared" ca="1" si="83"/>
        <v>0</v>
      </c>
      <c r="S841" t="s">
        <v>23</v>
      </c>
      <c r="T841">
        <v>3</v>
      </c>
      <c r="U841" t="s">
        <v>1396</v>
      </c>
      <c r="V841" t="s">
        <v>1394</v>
      </c>
      <c r="W841" t="s">
        <v>1394</v>
      </c>
      <c r="X841" s="3">
        <v>3</v>
      </c>
      <c r="Y841" t="s">
        <v>1398</v>
      </c>
      <c r="Z841">
        <v>38767</v>
      </c>
      <c r="AA841">
        <v>0.1</v>
      </c>
      <c r="AB841">
        <v>42643.700000000004</v>
      </c>
    </row>
    <row r="842" spans="1:28" x14ac:dyDescent="0.35">
      <c r="A842" t="str">
        <f t="shared" si="78"/>
        <v>EMP0841</v>
      </c>
      <c r="B842" t="str" cm="1">
        <f t="array" ref="B842">_xlfn.IFS(
ROW()&lt;=421,"NA",
ROW()&lt;=781,"LATAM",
ROW()&lt;=1021,"EMEA",
TRUE,"APAC"
)</f>
        <v>EMEA</v>
      </c>
      <c r="C842" t="str">
        <f t="shared" si="79"/>
        <v>Germany</v>
      </c>
      <c r="D842" t="s">
        <v>38</v>
      </c>
      <c r="E842" t="s">
        <v>145</v>
      </c>
      <c r="F842" t="s">
        <v>196</v>
      </c>
      <c r="G842" t="s">
        <v>28</v>
      </c>
      <c r="H842" s="2">
        <v>43282</v>
      </c>
      <c r="I842" t="s">
        <v>29</v>
      </c>
      <c r="J842" t="s">
        <v>39</v>
      </c>
      <c r="K842" t="str">
        <f t="shared" ca="1" si="82"/>
        <v>OK</v>
      </c>
      <c r="L842" t="s">
        <v>288</v>
      </c>
      <c r="M842">
        <v>4</v>
      </c>
      <c r="N842" s="2">
        <v>46020</v>
      </c>
      <c r="O842" s="2" t="s">
        <v>22</v>
      </c>
      <c r="P842" s="4">
        <f t="shared" ca="1" si="80"/>
        <v>7</v>
      </c>
      <c r="Q842" s="4" t="str">
        <f t="shared" ca="1" si="81"/>
        <v>6-10 Years</v>
      </c>
      <c r="R842">
        <f t="shared" ca="1" si="83"/>
        <v>0</v>
      </c>
      <c r="S842" t="s">
        <v>22</v>
      </c>
      <c r="T842">
        <v>3</v>
      </c>
      <c r="U842" t="s">
        <v>1394</v>
      </c>
      <c r="V842" t="s">
        <v>1394</v>
      </c>
      <c r="W842" t="s">
        <v>1394</v>
      </c>
      <c r="X842" s="3">
        <v>3</v>
      </c>
      <c r="Y842" t="s">
        <v>1398</v>
      </c>
      <c r="Z842">
        <v>59775</v>
      </c>
      <c r="AA842">
        <v>0.15</v>
      </c>
      <c r="AB842">
        <v>68741.25</v>
      </c>
    </row>
    <row r="843" spans="1:28" x14ac:dyDescent="0.35">
      <c r="A843" t="str">
        <f t="shared" si="78"/>
        <v>EMP0842</v>
      </c>
      <c r="B843" t="str" cm="1">
        <f t="array" ref="B843">_xlfn.IFS(
ROW()&lt;=421,"NA",
ROW()&lt;=781,"LATAM",
ROW()&lt;=1021,"EMEA",
TRUE,"APAC"
)</f>
        <v>EMEA</v>
      </c>
      <c r="C843" t="str">
        <f t="shared" si="79"/>
        <v>Germany</v>
      </c>
      <c r="D843" t="s">
        <v>32</v>
      </c>
      <c r="E843" t="s">
        <v>380</v>
      </c>
      <c r="F843" t="s">
        <v>570</v>
      </c>
      <c r="G843" t="s">
        <v>28</v>
      </c>
      <c r="H843" s="2">
        <v>43282</v>
      </c>
      <c r="I843" t="s">
        <v>29</v>
      </c>
      <c r="J843" t="s">
        <v>33</v>
      </c>
      <c r="K843" t="str">
        <f t="shared" ca="1" si="82"/>
        <v>OK</v>
      </c>
      <c r="L843" t="s">
        <v>478</v>
      </c>
      <c r="M843">
        <v>5</v>
      </c>
      <c r="N843" s="2">
        <v>45994</v>
      </c>
      <c r="O843" s="2" t="s">
        <v>22</v>
      </c>
      <c r="P843" s="4">
        <f t="shared" ca="1" si="80"/>
        <v>7</v>
      </c>
      <c r="Q843" s="4" t="str">
        <f t="shared" ca="1" si="81"/>
        <v>6-10 Years</v>
      </c>
      <c r="R843">
        <f t="shared" ca="1" si="83"/>
        <v>0</v>
      </c>
      <c r="S843" t="s">
        <v>22</v>
      </c>
      <c r="T843">
        <v>5</v>
      </c>
      <c r="U843" t="s">
        <v>1394</v>
      </c>
      <c r="V843" t="s">
        <v>1394</v>
      </c>
      <c r="W843" t="s">
        <v>1394</v>
      </c>
      <c r="X843" s="3">
        <v>2</v>
      </c>
      <c r="Y843" t="s">
        <v>1397</v>
      </c>
      <c r="Z843">
        <v>42325</v>
      </c>
      <c r="AA843">
        <v>0.1</v>
      </c>
      <c r="AB843">
        <v>46557.500000000007</v>
      </c>
    </row>
    <row r="844" spans="1:28" x14ac:dyDescent="0.35">
      <c r="A844" t="str">
        <f t="shared" si="78"/>
        <v>EMP0843</v>
      </c>
      <c r="B844" t="str" cm="1">
        <f t="array" ref="B844">_xlfn.IFS(
ROW()&lt;=421,"NA",
ROW()&lt;=781,"LATAM",
ROW()&lt;=1021,"EMEA",
TRUE,"APAC"
)</f>
        <v>EMEA</v>
      </c>
      <c r="C844" t="str">
        <f t="shared" si="79"/>
        <v>Germany</v>
      </c>
      <c r="D844" t="s">
        <v>26</v>
      </c>
      <c r="E844" t="s">
        <v>380</v>
      </c>
      <c r="F844" t="s">
        <v>931</v>
      </c>
      <c r="G844" t="s">
        <v>28</v>
      </c>
      <c r="H844" s="2">
        <v>43269</v>
      </c>
      <c r="I844" t="s">
        <v>29</v>
      </c>
      <c r="J844" t="s">
        <v>30</v>
      </c>
      <c r="K844" t="str">
        <f t="shared" ca="1" si="82"/>
        <v>OK</v>
      </c>
      <c r="L844" t="s">
        <v>1375</v>
      </c>
      <c r="M844">
        <v>5</v>
      </c>
      <c r="N844" s="2">
        <v>46024</v>
      </c>
      <c r="O844" s="2" t="s">
        <v>22</v>
      </c>
      <c r="P844" s="4">
        <f t="shared" ca="1" si="80"/>
        <v>7</v>
      </c>
      <c r="Q844" s="4" t="str">
        <f t="shared" ca="1" si="81"/>
        <v>6-10 Years</v>
      </c>
      <c r="R844">
        <f t="shared" ca="1" si="83"/>
        <v>0</v>
      </c>
      <c r="S844" t="s">
        <v>22</v>
      </c>
      <c r="T844">
        <v>4</v>
      </c>
      <c r="U844" t="s">
        <v>1394</v>
      </c>
      <c r="V844" t="s">
        <v>1394</v>
      </c>
      <c r="W844" t="s">
        <v>1394</v>
      </c>
      <c r="X844" s="3">
        <v>3</v>
      </c>
      <c r="Y844" t="s">
        <v>1398</v>
      </c>
      <c r="Z844">
        <v>38177</v>
      </c>
      <c r="AA844">
        <v>0.1</v>
      </c>
      <c r="AB844">
        <v>41994.700000000004</v>
      </c>
    </row>
    <row r="845" spans="1:28" x14ac:dyDescent="0.35">
      <c r="A845" t="str">
        <f t="shared" si="78"/>
        <v>EMP0844</v>
      </c>
      <c r="B845" t="str" cm="1">
        <f t="array" ref="B845">_xlfn.IFS(
ROW()&lt;=421,"NA",
ROW()&lt;=781,"LATAM",
ROW()&lt;=1021,"EMEA",
TRUE,"APAC"
)</f>
        <v>EMEA</v>
      </c>
      <c r="C845" t="str">
        <f t="shared" si="79"/>
        <v>Germany</v>
      </c>
      <c r="D845" t="s">
        <v>41</v>
      </c>
      <c r="E845" t="s">
        <v>380</v>
      </c>
      <c r="F845" t="s">
        <v>790</v>
      </c>
      <c r="G845" t="s">
        <v>28</v>
      </c>
      <c r="H845" s="2">
        <v>43266</v>
      </c>
      <c r="I845" t="s">
        <v>29</v>
      </c>
      <c r="J845" t="s">
        <v>42</v>
      </c>
      <c r="K845" t="str">
        <f t="shared" ca="1" si="82"/>
        <v>OK</v>
      </c>
      <c r="L845" t="s">
        <v>1312</v>
      </c>
      <c r="M845">
        <v>5</v>
      </c>
      <c r="N845" s="2">
        <v>46039</v>
      </c>
      <c r="O845" s="2" t="s">
        <v>22</v>
      </c>
      <c r="P845" s="4">
        <f t="shared" ca="1" si="80"/>
        <v>7</v>
      </c>
      <c r="Q845" s="4" t="str">
        <f t="shared" ca="1" si="81"/>
        <v>6-10 Years</v>
      </c>
      <c r="R845">
        <f t="shared" ca="1" si="83"/>
        <v>0</v>
      </c>
      <c r="S845" t="s">
        <v>22</v>
      </c>
      <c r="T845">
        <v>5</v>
      </c>
      <c r="U845" t="s">
        <v>1396</v>
      </c>
      <c r="V845" t="s">
        <v>1396</v>
      </c>
      <c r="W845" t="s">
        <v>1394</v>
      </c>
      <c r="X845" s="3">
        <v>4</v>
      </c>
      <c r="Y845" t="s">
        <v>1395</v>
      </c>
      <c r="Z845">
        <v>25837</v>
      </c>
      <c r="AA845">
        <v>0.1</v>
      </c>
      <c r="AB845">
        <v>28420.7</v>
      </c>
    </row>
    <row r="846" spans="1:28" x14ac:dyDescent="0.35">
      <c r="A846" t="str">
        <f t="shared" si="78"/>
        <v>EMP0845</v>
      </c>
      <c r="B846" t="str" cm="1">
        <f t="array" ref="B846">_xlfn.IFS(
ROW()&lt;=421,"NA",
ROW()&lt;=781,"LATAM",
ROW()&lt;=1021,"EMEA",
TRUE,"APAC"
)</f>
        <v>EMEA</v>
      </c>
      <c r="C846" t="str">
        <f t="shared" si="79"/>
        <v>Germany</v>
      </c>
      <c r="D846" t="s">
        <v>32</v>
      </c>
      <c r="E846" t="s">
        <v>380</v>
      </c>
      <c r="F846" t="s">
        <v>436</v>
      </c>
      <c r="G846" t="s">
        <v>28</v>
      </c>
      <c r="H846" s="2">
        <v>43258</v>
      </c>
      <c r="I846" t="s">
        <v>29</v>
      </c>
      <c r="J846" t="s">
        <v>33</v>
      </c>
      <c r="K846" t="str">
        <f t="shared" ca="1" si="82"/>
        <v>OK</v>
      </c>
      <c r="L846" t="s">
        <v>437</v>
      </c>
      <c r="M846">
        <v>5</v>
      </c>
      <c r="N846" s="2">
        <v>46032</v>
      </c>
      <c r="O846" s="2" t="s">
        <v>22</v>
      </c>
      <c r="P846" s="4">
        <f t="shared" ca="1" si="80"/>
        <v>7</v>
      </c>
      <c r="Q846" s="4" t="str">
        <f t="shared" ca="1" si="81"/>
        <v>6-10 Years</v>
      </c>
      <c r="R846">
        <f t="shared" ca="1" si="83"/>
        <v>0</v>
      </c>
      <c r="S846" t="s">
        <v>22</v>
      </c>
      <c r="T846">
        <v>4</v>
      </c>
      <c r="U846" t="s">
        <v>1394</v>
      </c>
      <c r="V846" t="s">
        <v>1396</v>
      </c>
      <c r="W846" t="s">
        <v>1394</v>
      </c>
      <c r="X846" s="3">
        <v>4</v>
      </c>
      <c r="Y846" t="s">
        <v>1395</v>
      </c>
      <c r="Z846">
        <v>20096</v>
      </c>
      <c r="AA846">
        <v>0.1</v>
      </c>
      <c r="AB846">
        <v>22105.600000000002</v>
      </c>
    </row>
    <row r="847" spans="1:28" x14ac:dyDescent="0.35">
      <c r="A847" t="str">
        <f t="shared" si="78"/>
        <v>EMP0846</v>
      </c>
      <c r="B847" t="str" cm="1">
        <f t="array" ref="B847">_xlfn.IFS(
ROW()&lt;=421,"NA",
ROW()&lt;=781,"LATAM",
ROW()&lt;=1021,"EMEA",
TRUE,"APAC"
)</f>
        <v>EMEA</v>
      </c>
      <c r="C847" t="str">
        <f t="shared" si="79"/>
        <v>Germany</v>
      </c>
      <c r="D847" t="s">
        <v>32</v>
      </c>
      <c r="E847" t="s">
        <v>380</v>
      </c>
      <c r="F847" t="s">
        <v>418</v>
      </c>
      <c r="G847" t="s">
        <v>28</v>
      </c>
      <c r="H847" s="2">
        <v>43258</v>
      </c>
      <c r="I847" t="s">
        <v>29</v>
      </c>
      <c r="J847" t="s">
        <v>33</v>
      </c>
      <c r="K847" t="str">
        <f t="shared" ca="1" si="82"/>
        <v>OK</v>
      </c>
      <c r="L847" t="s">
        <v>739</v>
      </c>
      <c r="M847">
        <v>5</v>
      </c>
      <c r="N847" s="2">
        <v>46077</v>
      </c>
      <c r="O847" s="2" t="s">
        <v>22</v>
      </c>
      <c r="P847" s="4">
        <f t="shared" ca="1" si="80"/>
        <v>7</v>
      </c>
      <c r="Q847" s="4" t="str">
        <f t="shared" ca="1" si="81"/>
        <v>6-10 Years</v>
      </c>
      <c r="R847">
        <f t="shared" ca="1" si="83"/>
        <v>0</v>
      </c>
      <c r="S847" t="s">
        <v>22</v>
      </c>
      <c r="T847">
        <v>3</v>
      </c>
      <c r="U847" t="s">
        <v>1396</v>
      </c>
      <c r="V847" t="s">
        <v>1394</v>
      </c>
      <c r="W847" t="s">
        <v>1394</v>
      </c>
      <c r="X847" s="3">
        <v>1</v>
      </c>
      <c r="Y847" t="s">
        <v>1397</v>
      </c>
      <c r="Z847">
        <v>28649</v>
      </c>
      <c r="AA847">
        <v>0.1</v>
      </c>
      <c r="AB847">
        <v>31513.9</v>
      </c>
    </row>
    <row r="848" spans="1:28" x14ac:dyDescent="0.35">
      <c r="A848" t="str">
        <f t="shared" si="78"/>
        <v>EMP0847</v>
      </c>
      <c r="B848" t="str" cm="1">
        <f t="array" ref="B848">_xlfn.IFS(
ROW()&lt;=421,"NA",
ROW()&lt;=781,"LATAM",
ROW()&lt;=1021,"EMEA",
TRUE,"APAC"
)</f>
        <v>EMEA</v>
      </c>
      <c r="C848" t="str">
        <f t="shared" si="79"/>
        <v>Germany</v>
      </c>
      <c r="D848" t="s">
        <v>41</v>
      </c>
      <c r="E848" t="s">
        <v>27</v>
      </c>
      <c r="F848" t="s">
        <v>22</v>
      </c>
      <c r="G848" t="s">
        <v>28</v>
      </c>
      <c r="H848" s="2">
        <v>43256</v>
      </c>
      <c r="I848" t="s">
        <v>29</v>
      </c>
      <c r="J848" t="s">
        <v>42</v>
      </c>
      <c r="K848" t="str">
        <f t="shared" ca="1" si="82"/>
        <v>⚠ Review</v>
      </c>
      <c r="L848" t="s">
        <v>43</v>
      </c>
      <c r="M848">
        <v>1</v>
      </c>
      <c r="N848" s="2">
        <v>46040</v>
      </c>
      <c r="O848" s="2" t="s">
        <v>22</v>
      </c>
      <c r="P848" s="4">
        <f t="shared" ca="1" si="80"/>
        <v>7</v>
      </c>
      <c r="Q848" s="4" t="str">
        <f t="shared" ca="1" si="81"/>
        <v>6-10 Years</v>
      </c>
      <c r="R848">
        <f t="shared" ca="1" si="83"/>
        <v>0</v>
      </c>
      <c r="S848" t="s">
        <v>22</v>
      </c>
      <c r="T848">
        <v>3</v>
      </c>
      <c r="U848" t="s">
        <v>1396</v>
      </c>
      <c r="V848" t="s">
        <v>1394</v>
      </c>
      <c r="W848" t="s">
        <v>1394</v>
      </c>
      <c r="X848" s="3">
        <v>5</v>
      </c>
      <c r="Y848" t="s">
        <v>1395</v>
      </c>
      <c r="Z848">
        <v>265583</v>
      </c>
      <c r="AA848">
        <v>0.3</v>
      </c>
      <c r="AB848">
        <v>345257.9</v>
      </c>
    </row>
    <row r="849" spans="1:28" x14ac:dyDescent="0.35">
      <c r="A849" t="str">
        <f t="shared" si="78"/>
        <v>EMP0848</v>
      </c>
      <c r="B849" t="str" cm="1">
        <f t="array" ref="B849">_xlfn.IFS(
ROW()&lt;=421,"NA",
ROW()&lt;=781,"LATAM",
ROW()&lt;=1021,"EMEA",
TRUE,"APAC"
)</f>
        <v>EMEA</v>
      </c>
      <c r="C849" t="str">
        <f t="shared" si="79"/>
        <v>Germany</v>
      </c>
      <c r="D849" t="s">
        <v>41</v>
      </c>
      <c r="E849" t="s">
        <v>380</v>
      </c>
      <c r="F849" t="s">
        <v>613</v>
      </c>
      <c r="G849" t="s">
        <v>28</v>
      </c>
      <c r="H849" s="2">
        <v>43254</v>
      </c>
      <c r="I849" t="s">
        <v>57</v>
      </c>
      <c r="J849" t="s">
        <v>42</v>
      </c>
      <c r="K849" t="str">
        <f t="shared" ca="1" si="82"/>
        <v>OK</v>
      </c>
      <c r="L849" t="s">
        <v>614</v>
      </c>
      <c r="M849">
        <v>5</v>
      </c>
      <c r="N849" s="2">
        <v>46043</v>
      </c>
      <c r="O849" s="2">
        <v>45003</v>
      </c>
      <c r="P849" s="4">
        <f t="shared" ca="1" si="80"/>
        <v>4</v>
      </c>
      <c r="Q849" s="4" t="str">
        <f t="shared" ca="1" si="81"/>
        <v>3-5 Years</v>
      </c>
      <c r="R849">
        <f t="shared" ca="1" si="83"/>
        <v>0</v>
      </c>
      <c r="S849" t="s">
        <v>23</v>
      </c>
      <c r="T849">
        <v>4</v>
      </c>
      <c r="U849" t="s">
        <v>1394</v>
      </c>
      <c r="V849" t="s">
        <v>1394</v>
      </c>
      <c r="W849" t="s">
        <v>1394</v>
      </c>
      <c r="X849" s="3">
        <v>3</v>
      </c>
      <c r="Y849" t="s">
        <v>1398</v>
      </c>
      <c r="Z849">
        <v>48126</v>
      </c>
      <c r="AA849">
        <v>0.1</v>
      </c>
      <c r="AB849">
        <v>52938.600000000006</v>
      </c>
    </row>
    <row r="850" spans="1:28" x14ac:dyDescent="0.35">
      <c r="A850" t="str">
        <f t="shared" si="78"/>
        <v>EMP0849</v>
      </c>
      <c r="B850" t="str" cm="1">
        <f t="array" ref="B850">_xlfn.IFS(
ROW()&lt;=421,"NA",
ROW()&lt;=781,"LATAM",
ROW()&lt;=1021,"EMEA",
TRUE,"APAC"
)</f>
        <v>EMEA</v>
      </c>
      <c r="C850" t="str">
        <f t="shared" si="79"/>
        <v>Germany</v>
      </c>
      <c r="D850" t="s">
        <v>32</v>
      </c>
      <c r="E850" t="s">
        <v>45</v>
      </c>
      <c r="F850" t="s">
        <v>49</v>
      </c>
      <c r="G850" t="s">
        <v>28</v>
      </c>
      <c r="H850" s="2">
        <v>43247</v>
      </c>
      <c r="I850" t="s">
        <v>29</v>
      </c>
      <c r="J850" t="s">
        <v>33</v>
      </c>
      <c r="K850" t="str">
        <f t="shared" ca="1" si="82"/>
        <v>OK</v>
      </c>
      <c r="L850" t="s">
        <v>51</v>
      </c>
      <c r="M850">
        <v>2</v>
      </c>
      <c r="N850" s="2">
        <v>46042</v>
      </c>
      <c r="O850" s="2" t="s">
        <v>22</v>
      </c>
      <c r="P850" s="4">
        <f t="shared" ca="1" si="80"/>
        <v>7</v>
      </c>
      <c r="Q850" s="4" t="str">
        <f t="shared" ca="1" si="81"/>
        <v>6-10 Years</v>
      </c>
      <c r="R850">
        <f t="shared" ca="1" si="83"/>
        <v>0</v>
      </c>
      <c r="S850" t="s">
        <v>22</v>
      </c>
      <c r="T850">
        <v>2</v>
      </c>
      <c r="U850" t="s">
        <v>1396</v>
      </c>
      <c r="V850" t="s">
        <v>1394</v>
      </c>
      <c r="W850" t="s">
        <v>1394</v>
      </c>
      <c r="X850" s="3">
        <v>2</v>
      </c>
      <c r="Y850" t="s">
        <v>1397</v>
      </c>
      <c r="Z850">
        <v>167124</v>
      </c>
      <c r="AA850">
        <v>0.25</v>
      </c>
      <c r="AB850">
        <v>208905</v>
      </c>
    </row>
    <row r="851" spans="1:28" x14ac:dyDescent="0.35">
      <c r="A851" t="str">
        <f t="shared" si="78"/>
        <v>EMP0850</v>
      </c>
      <c r="B851" t="str" cm="1">
        <f t="array" ref="B851">_xlfn.IFS(
ROW()&lt;=421,"NA",
ROW()&lt;=781,"LATAM",
ROW()&lt;=1021,"EMEA",
TRUE,"APAC"
)</f>
        <v>EMEA</v>
      </c>
      <c r="C851" t="str">
        <f t="shared" si="79"/>
        <v>Germany</v>
      </c>
      <c r="D851" t="s">
        <v>44</v>
      </c>
      <c r="E851" t="s">
        <v>380</v>
      </c>
      <c r="F851" t="s">
        <v>486</v>
      </c>
      <c r="G851" t="s">
        <v>28</v>
      </c>
      <c r="H851" s="2">
        <v>43244</v>
      </c>
      <c r="I851" t="s">
        <v>29</v>
      </c>
      <c r="J851" t="s">
        <v>47</v>
      </c>
      <c r="K851" t="str">
        <f t="shared" ca="1" si="82"/>
        <v>OK</v>
      </c>
      <c r="L851" t="s">
        <v>927</v>
      </c>
      <c r="M851">
        <v>5</v>
      </c>
      <c r="N851" s="2">
        <v>46011</v>
      </c>
      <c r="O851" s="2" t="s">
        <v>22</v>
      </c>
      <c r="P851" s="4">
        <f t="shared" ca="1" si="80"/>
        <v>7</v>
      </c>
      <c r="Q851" s="4" t="str">
        <f t="shared" ca="1" si="81"/>
        <v>6-10 Years</v>
      </c>
      <c r="R851">
        <f t="shared" ca="1" si="83"/>
        <v>0</v>
      </c>
      <c r="S851" t="s">
        <v>22</v>
      </c>
      <c r="T851">
        <v>3</v>
      </c>
      <c r="U851" t="s">
        <v>1396</v>
      </c>
      <c r="V851" t="s">
        <v>1394</v>
      </c>
      <c r="W851" t="s">
        <v>1394</v>
      </c>
      <c r="X851" s="3">
        <v>4</v>
      </c>
      <c r="Y851" t="s">
        <v>1395</v>
      </c>
      <c r="Z851">
        <v>38058</v>
      </c>
      <c r="AA851">
        <v>0.1</v>
      </c>
      <c r="AB851">
        <v>41863.800000000003</v>
      </c>
    </row>
    <row r="852" spans="1:28" x14ac:dyDescent="0.35">
      <c r="A852" t="str">
        <f t="shared" si="78"/>
        <v>EMP0851</v>
      </c>
      <c r="B852" t="str" cm="1">
        <f t="array" ref="B852">_xlfn.IFS(
ROW()&lt;=421,"NA",
ROW()&lt;=781,"LATAM",
ROW()&lt;=1021,"EMEA",
TRUE,"APAC"
)</f>
        <v>EMEA</v>
      </c>
      <c r="C852" t="str">
        <f t="shared" si="79"/>
        <v>Germany</v>
      </c>
      <c r="D852" t="s">
        <v>41</v>
      </c>
      <c r="E852" t="s">
        <v>380</v>
      </c>
      <c r="F852" t="s">
        <v>772</v>
      </c>
      <c r="G852" t="s">
        <v>28</v>
      </c>
      <c r="H852" s="2">
        <v>43243</v>
      </c>
      <c r="I852" t="s">
        <v>29</v>
      </c>
      <c r="J852" t="s">
        <v>42</v>
      </c>
      <c r="K852" t="str">
        <f t="shared" ca="1" si="82"/>
        <v>OK</v>
      </c>
      <c r="L852" t="s">
        <v>1278</v>
      </c>
      <c r="M852">
        <v>5</v>
      </c>
      <c r="N852" s="2">
        <v>46067</v>
      </c>
      <c r="O852" s="2" t="s">
        <v>22</v>
      </c>
      <c r="P852" s="4">
        <f t="shared" ca="1" si="80"/>
        <v>7</v>
      </c>
      <c r="Q852" s="4" t="str">
        <f t="shared" ca="1" si="81"/>
        <v>6-10 Years</v>
      </c>
      <c r="R852">
        <f t="shared" ca="1" si="83"/>
        <v>0</v>
      </c>
      <c r="S852" t="s">
        <v>22</v>
      </c>
      <c r="T852">
        <v>2</v>
      </c>
      <c r="U852" t="s">
        <v>1394</v>
      </c>
      <c r="V852" t="s">
        <v>1396</v>
      </c>
      <c r="W852" t="s">
        <v>1394</v>
      </c>
      <c r="X852" s="3">
        <v>5</v>
      </c>
      <c r="Y852" t="s">
        <v>1395</v>
      </c>
      <c r="Z852">
        <v>32048</v>
      </c>
      <c r="AA852">
        <v>0.1</v>
      </c>
      <c r="AB852">
        <v>35252.800000000003</v>
      </c>
    </row>
    <row r="853" spans="1:28" x14ac:dyDescent="0.35">
      <c r="A853" t="str">
        <f t="shared" si="78"/>
        <v>EMP0852</v>
      </c>
      <c r="B853" t="str" cm="1">
        <f t="array" ref="B853">_xlfn.IFS(
ROW()&lt;=421,"NA",
ROW()&lt;=781,"LATAM",
ROW()&lt;=1021,"EMEA",
TRUE,"APAC"
)</f>
        <v>EMEA</v>
      </c>
      <c r="C853" t="str">
        <f t="shared" si="79"/>
        <v>Germany</v>
      </c>
      <c r="D853" t="s">
        <v>32</v>
      </c>
      <c r="E853" t="s">
        <v>69</v>
      </c>
      <c r="F853" t="s">
        <v>76</v>
      </c>
      <c r="G853" t="s">
        <v>28</v>
      </c>
      <c r="H853" s="2">
        <v>43240</v>
      </c>
      <c r="I853" t="s">
        <v>29</v>
      </c>
      <c r="J853" t="s">
        <v>33</v>
      </c>
      <c r="K853" t="str">
        <f t="shared" ca="1" si="82"/>
        <v>OK</v>
      </c>
      <c r="L853" t="s">
        <v>144</v>
      </c>
      <c r="M853">
        <v>3</v>
      </c>
      <c r="N853" s="2">
        <v>46009</v>
      </c>
      <c r="O853" s="2" t="s">
        <v>22</v>
      </c>
      <c r="P853" s="4">
        <f t="shared" ca="1" si="80"/>
        <v>7</v>
      </c>
      <c r="Q853" s="4" t="str">
        <f t="shared" ca="1" si="81"/>
        <v>6-10 Years</v>
      </c>
      <c r="R853">
        <f t="shared" ca="1" si="83"/>
        <v>0</v>
      </c>
      <c r="S853" t="s">
        <v>22</v>
      </c>
      <c r="T853">
        <v>3</v>
      </c>
      <c r="U853" t="s">
        <v>1394</v>
      </c>
      <c r="V853" t="s">
        <v>1394</v>
      </c>
      <c r="W853" t="s">
        <v>1394</v>
      </c>
      <c r="X853" s="3">
        <v>4</v>
      </c>
      <c r="Y853" t="s">
        <v>1395</v>
      </c>
      <c r="Z853">
        <v>129929</v>
      </c>
      <c r="AA853">
        <v>0.2</v>
      </c>
      <c r="AB853">
        <v>155914.79999999999</v>
      </c>
    </row>
    <row r="854" spans="1:28" x14ac:dyDescent="0.35">
      <c r="A854" t="str">
        <f t="shared" si="78"/>
        <v>EMP0853</v>
      </c>
      <c r="B854" t="str" cm="1">
        <f t="array" ref="B854">_xlfn.IFS(
ROW()&lt;=421,"NA",
ROW()&lt;=781,"LATAM",
ROW()&lt;=1021,"EMEA",
TRUE,"APAC"
)</f>
        <v>EMEA</v>
      </c>
      <c r="C854" t="str">
        <f t="shared" si="79"/>
        <v>Germany</v>
      </c>
      <c r="D854" t="s">
        <v>44</v>
      </c>
      <c r="E854" t="s">
        <v>145</v>
      </c>
      <c r="F854" t="s">
        <v>166</v>
      </c>
      <c r="G854" t="s">
        <v>28</v>
      </c>
      <c r="H854" s="2">
        <v>43236</v>
      </c>
      <c r="I854" t="s">
        <v>57</v>
      </c>
      <c r="J854" t="s">
        <v>47</v>
      </c>
      <c r="K854" t="str">
        <f t="shared" ca="1" si="82"/>
        <v>OK</v>
      </c>
      <c r="L854" t="s">
        <v>334</v>
      </c>
      <c r="M854">
        <v>4</v>
      </c>
      <c r="N854" s="2">
        <v>45995</v>
      </c>
      <c r="O854" s="2">
        <v>44971</v>
      </c>
      <c r="P854" s="4">
        <f t="shared" ca="1" si="80"/>
        <v>4</v>
      </c>
      <c r="Q854" s="4" t="str">
        <f t="shared" ca="1" si="81"/>
        <v>3-5 Years</v>
      </c>
      <c r="R854">
        <f t="shared" ca="1" si="83"/>
        <v>0</v>
      </c>
      <c r="S854" t="s">
        <v>23</v>
      </c>
      <c r="T854">
        <v>4</v>
      </c>
      <c r="U854" t="s">
        <v>1396</v>
      </c>
      <c r="V854" t="s">
        <v>1394</v>
      </c>
      <c r="W854" t="s">
        <v>1394</v>
      </c>
      <c r="X854" s="3">
        <v>2</v>
      </c>
      <c r="Y854" t="s">
        <v>1397</v>
      </c>
      <c r="Z854">
        <v>73752</v>
      </c>
      <c r="AA854">
        <v>0.15</v>
      </c>
      <c r="AB854">
        <v>84814.799999999988</v>
      </c>
    </row>
    <row r="855" spans="1:28" x14ac:dyDescent="0.35">
      <c r="A855" t="str">
        <f t="shared" si="78"/>
        <v>EMP0854</v>
      </c>
      <c r="B855" t="str" cm="1">
        <f t="array" ref="B855">_xlfn.IFS(
ROW()&lt;=421,"NA",
ROW()&lt;=781,"LATAM",
ROW()&lt;=1021,"EMEA",
TRUE,"APAC"
)</f>
        <v>EMEA</v>
      </c>
      <c r="C855" t="str">
        <f t="shared" si="79"/>
        <v>Germany</v>
      </c>
      <c r="D855" t="s">
        <v>35</v>
      </c>
      <c r="E855" t="s">
        <v>380</v>
      </c>
      <c r="F855" t="s">
        <v>474</v>
      </c>
      <c r="G855" t="s">
        <v>28</v>
      </c>
      <c r="H855" s="2">
        <v>43233</v>
      </c>
      <c r="I855" t="s">
        <v>29</v>
      </c>
      <c r="J855" t="s">
        <v>36</v>
      </c>
      <c r="K855" t="str">
        <f t="shared" ca="1" si="82"/>
        <v>OK</v>
      </c>
      <c r="L855" t="s">
        <v>1092</v>
      </c>
      <c r="M855">
        <v>5</v>
      </c>
      <c r="N855" s="2">
        <v>45991</v>
      </c>
      <c r="O855" s="2" t="s">
        <v>22</v>
      </c>
      <c r="P855" s="4">
        <f t="shared" ca="1" si="80"/>
        <v>7</v>
      </c>
      <c r="Q855" s="4" t="str">
        <f t="shared" ca="1" si="81"/>
        <v>6-10 Years</v>
      </c>
      <c r="R855">
        <f t="shared" ca="1" si="83"/>
        <v>0</v>
      </c>
      <c r="S855" t="s">
        <v>22</v>
      </c>
      <c r="T855">
        <v>4</v>
      </c>
      <c r="U855" t="s">
        <v>1394</v>
      </c>
      <c r="V855" t="s">
        <v>1394</v>
      </c>
      <c r="W855" t="s">
        <v>1394</v>
      </c>
      <c r="X855" s="3">
        <v>4</v>
      </c>
      <c r="Y855" t="s">
        <v>1395</v>
      </c>
      <c r="Z855">
        <v>42984</v>
      </c>
      <c r="AA855">
        <v>0.1</v>
      </c>
      <c r="AB855">
        <v>47282.400000000001</v>
      </c>
    </row>
    <row r="856" spans="1:28" x14ac:dyDescent="0.35">
      <c r="A856" t="str">
        <f t="shared" si="78"/>
        <v>EMP0855</v>
      </c>
      <c r="B856" t="str" cm="1">
        <f t="array" ref="B856">_xlfn.IFS(
ROW()&lt;=421,"NA",
ROW()&lt;=781,"LATAM",
ROW()&lt;=1021,"EMEA",
TRUE,"APAC"
)</f>
        <v>EMEA</v>
      </c>
      <c r="C856" t="str">
        <f t="shared" si="79"/>
        <v>Germany</v>
      </c>
      <c r="D856" t="s">
        <v>26</v>
      </c>
      <c r="E856" t="s">
        <v>145</v>
      </c>
      <c r="F856" t="s">
        <v>152</v>
      </c>
      <c r="G856" t="s">
        <v>28</v>
      </c>
      <c r="H856" s="2">
        <v>43227</v>
      </c>
      <c r="I856" t="s">
        <v>29</v>
      </c>
      <c r="J856" t="s">
        <v>30</v>
      </c>
      <c r="K856" t="str">
        <f t="shared" ca="1" si="82"/>
        <v>OK</v>
      </c>
      <c r="L856" t="s">
        <v>321</v>
      </c>
      <c r="M856">
        <v>4</v>
      </c>
      <c r="N856" s="2">
        <v>46054</v>
      </c>
      <c r="O856" s="2" t="s">
        <v>22</v>
      </c>
      <c r="P856" s="4">
        <f t="shared" ca="1" si="80"/>
        <v>7</v>
      </c>
      <c r="Q856" s="4" t="str">
        <f t="shared" ca="1" si="81"/>
        <v>6-10 Years</v>
      </c>
      <c r="R856">
        <f t="shared" ca="1" si="83"/>
        <v>0</v>
      </c>
      <c r="S856" t="s">
        <v>22</v>
      </c>
      <c r="T856">
        <v>3</v>
      </c>
      <c r="U856" t="s">
        <v>1394</v>
      </c>
      <c r="V856" t="s">
        <v>1394</v>
      </c>
      <c r="W856" t="s">
        <v>1394</v>
      </c>
      <c r="X856" s="3">
        <v>3</v>
      </c>
      <c r="Y856" t="s">
        <v>1398</v>
      </c>
      <c r="Z856">
        <v>71357</v>
      </c>
      <c r="AA856">
        <v>0.15</v>
      </c>
      <c r="AB856">
        <v>82060.549999999988</v>
      </c>
    </row>
    <row r="857" spans="1:28" x14ac:dyDescent="0.35">
      <c r="A857" t="str">
        <f t="shared" si="78"/>
        <v>EMP0856</v>
      </c>
      <c r="B857" t="str" cm="1">
        <f t="array" ref="B857">_xlfn.IFS(
ROW()&lt;=421,"NA",
ROW()&lt;=781,"LATAM",
ROW()&lt;=1021,"EMEA",
TRUE,"APAC"
)</f>
        <v>EMEA</v>
      </c>
      <c r="C857" t="str">
        <f t="shared" si="79"/>
        <v>Germany</v>
      </c>
      <c r="D857" t="s">
        <v>35</v>
      </c>
      <c r="E857" t="s">
        <v>380</v>
      </c>
      <c r="F857" t="s">
        <v>418</v>
      </c>
      <c r="G857" t="s">
        <v>28</v>
      </c>
      <c r="H857" s="2">
        <v>43227</v>
      </c>
      <c r="I857" t="s">
        <v>29</v>
      </c>
      <c r="J857" t="s">
        <v>36</v>
      </c>
      <c r="K857" t="str">
        <f t="shared" ca="1" si="82"/>
        <v>OK</v>
      </c>
      <c r="L857" t="s">
        <v>1054</v>
      </c>
      <c r="M857">
        <v>5</v>
      </c>
      <c r="N857" s="2">
        <v>45996</v>
      </c>
      <c r="O857" s="2" t="s">
        <v>22</v>
      </c>
      <c r="P857" s="4">
        <f t="shared" ca="1" si="80"/>
        <v>7</v>
      </c>
      <c r="Q857" s="4" t="str">
        <f t="shared" ca="1" si="81"/>
        <v>6-10 Years</v>
      </c>
      <c r="R857">
        <f t="shared" ca="1" si="83"/>
        <v>0</v>
      </c>
      <c r="S857" t="s">
        <v>22</v>
      </c>
      <c r="T857">
        <v>3</v>
      </c>
      <c r="U857" t="s">
        <v>1394</v>
      </c>
      <c r="V857" t="s">
        <v>1394</v>
      </c>
      <c r="W857" t="s">
        <v>1394</v>
      </c>
      <c r="X857" s="3">
        <v>4</v>
      </c>
      <c r="Y857" t="s">
        <v>1395</v>
      </c>
      <c r="Z857">
        <v>35673</v>
      </c>
      <c r="AA857">
        <v>0.1</v>
      </c>
      <c r="AB857">
        <v>39240.300000000003</v>
      </c>
    </row>
    <row r="858" spans="1:28" x14ac:dyDescent="0.35">
      <c r="A858" t="str">
        <f t="shared" si="78"/>
        <v>EMP0857</v>
      </c>
      <c r="B858" t="str" cm="1">
        <f t="array" ref="B858">_xlfn.IFS(
ROW()&lt;=421,"NA",
ROW()&lt;=781,"LATAM",
ROW()&lt;=1021,"EMEA",
TRUE,"APAC"
)</f>
        <v>EMEA</v>
      </c>
      <c r="C858" t="str">
        <f t="shared" si="79"/>
        <v>Germany</v>
      </c>
      <c r="D858" t="s">
        <v>38</v>
      </c>
      <c r="E858" t="s">
        <v>145</v>
      </c>
      <c r="F858" t="s">
        <v>162</v>
      </c>
      <c r="G858" t="s">
        <v>28</v>
      </c>
      <c r="H858" s="2">
        <v>43223</v>
      </c>
      <c r="I858" t="s">
        <v>29</v>
      </c>
      <c r="J858" t="s">
        <v>39</v>
      </c>
      <c r="K858" t="str">
        <f t="shared" ca="1" si="82"/>
        <v>OK</v>
      </c>
      <c r="L858" t="s">
        <v>265</v>
      </c>
      <c r="M858">
        <v>4</v>
      </c>
      <c r="N858" s="2">
        <v>46040</v>
      </c>
      <c r="O858" s="2" t="s">
        <v>22</v>
      </c>
      <c r="P858" s="4">
        <f t="shared" ca="1" si="80"/>
        <v>7</v>
      </c>
      <c r="Q858" s="4" t="str">
        <f t="shared" ca="1" si="81"/>
        <v>6-10 Years</v>
      </c>
      <c r="R858">
        <f t="shared" ca="1" si="83"/>
        <v>0</v>
      </c>
      <c r="S858" t="s">
        <v>22</v>
      </c>
      <c r="T858">
        <v>4</v>
      </c>
      <c r="U858" t="s">
        <v>1394</v>
      </c>
      <c r="V858" t="s">
        <v>1394</v>
      </c>
      <c r="W858" t="s">
        <v>1394</v>
      </c>
      <c r="X858" s="3">
        <v>5</v>
      </c>
      <c r="Y858" t="s">
        <v>1395</v>
      </c>
      <c r="Z858">
        <v>87232</v>
      </c>
      <c r="AA858">
        <v>0.15</v>
      </c>
      <c r="AB858">
        <v>100316.79999999999</v>
      </c>
    </row>
    <row r="859" spans="1:28" x14ac:dyDescent="0.35">
      <c r="A859" t="str">
        <f t="shared" si="78"/>
        <v>EMP0858</v>
      </c>
      <c r="B859" t="str" cm="1">
        <f t="array" ref="B859">_xlfn.IFS(
ROW()&lt;=421,"NA",
ROW()&lt;=781,"LATAM",
ROW()&lt;=1021,"EMEA",
TRUE,"APAC"
)</f>
        <v>EMEA</v>
      </c>
      <c r="C859" t="str">
        <f t="shared" si="79"/>
        <v>Germany</v>
      </c>
      <c r="D859" t="s">
        <v>26</v>
      </c>
      <c r="E859" t="s">
        <v>380</v>
      </c>
      <c r="F859" t="s">
        <v>412</v>
      </c>
      <c r="G859" t="s">
        <v>28</v>
      </c>
      <c r="H859" s="2">
        <v>43216</v>
      </c>
      <c r="I859" t="s">
        <v>29</v>
      </c>
      <c r="J859" t="s">
        <v>30</v>
      </c>
      <c r="K859" t="str">
        <f t="shared" ca="1" si="82"/>
        <v>OK</v>
      </c>
      <c r="L859" t="s">
        <v>516</v>
      </c>
      <c r="M859">
        <v>5</v>
      </c>
      <c r="N859" s="2">
        <v>46074</v>
      </c>
      <c r="O859" s="2" t="s">
        <v>22</v>
      </c>
      <c r="P859" s="4">
        <f t="shared" ca="1" si="80"/>
        <v>7</v>
      </c>
      <c r="Q859" s="4" t="str">
        <f t="shared" ca="1" si="81"/>
        <v>6-10 Years</v>
      </c>
      <c r="R859">
        <f t="shared" ca="1" si="83"/>
        <v>0</v>
      </c>
      <c r="S859" t="s">
        <v>22</v>
      </c>
      <c r="T859">
        <v>4</v>
      </c>
      <c r="U859" t="s">
        <v>1394</v>
      </c>
      <c r="V859" t="s">
        <v>1394</v>
      </c>
      <c r="W859" t="s">
        <v>1394</v>
      </c>
      <c r="X859" s="3">
        <v>1</v>
      </c>
      <c r="Y859" t="s">
        <v>1397</v>
      </c>
      <c r="Z859">
        <v>32157</v>
      </c>
      <c r="AA859">
        <v>0.1</v>
      </c>
      <c r="AB859">
        <v>35372.700000000004</v>
      </c>
    </row>
    <row r="860" spans="1:28" x14ac:dyDescent="0.35">
      <c r="A860" t="str">
        <f t="shared" si="78"/>
        <v>EMP0859</v>
      </c>
      <c r="B860" t="str" cm="1">
        <f t="array" ref="B860">_xlfn.IFS(
ROW()&lt;=421,"NA",
ROW()&lt;=781,"LATAM",
ROW()&lt;=1021,"EMEA",
TRUE,"APAC"
)</f>
        <v>EMEA</v>
      </c>
      <c r="C860" t="str">
        <f t="shared" si="79"/>
        <v>Germany</v>
      </c>
      <c r="D860" t="s">
        <v>41</v>
      </c>
      <c r="E860" t="s">
        <v>380</v>
      </c>
      <c r="F860" t="s">
        <v>490</v>
      </c>
      <c r="G860" t="s">
        <v>28</v>
      </c>
      <c r="H860" s="2">
        <v>43215</v>
      </c>
      <c r="I860" t="s">
        <v>29</v>
      </c>
      <c r="J860" t="s">
        <v>42</v>
      </c>
      <c r="K860" t="str">
        <f t="shared" ca="1" si="82"/>
        <v>OK</v>
      </c>
      <c r="L860" t="s">
        <v>370</v>
      </c>
      <c r="M860">
        <v>5</v>
      </c>
      <c r="N860" s="2">
        <v>46021</v>
      </c>
      <c r="O860" s="2" t="s">
        <v>22</v>
      </c>
      <c r="P860" s="4">
        <f t="shared" ca="1" si="80"/>
        <v>7</v>
      </c>
      <c r="Q860" s="4" t="str">
        <f t="shared" ca="1" si="81"/>
        <v>6-10 Years</v>
      </c>
      <c r="R860">
        <f t="shared" ca="1" si="83"/>
        <v>0</v>
      </c>
      <c r="S860" t="s">
        <v>22</v>
      </c>
      <c r="T860">
        <v>4</v>
      </c>
      <c r="U860" t="s">
        <v>1394</v>
      </c>
      <c r="V860" t="s">
        <v>1396</v>
      </c>
      <c r="W860" t="s">
        <v>1394</v>
      </c>
      <c r="X860" s="3">
        <v>4</v>
      </c>
      <c r="Y860" t="s">
        <v>1395</v>
      </c>
      <c r="Z860">
        <v>25688</v>
      </c>
      <c r="AA860">
        <v>0.1</v>
      </c>
      <c r="AB860">
        <v>28256.800000000003</v>
      </c>
    </row>
    <row r="861" spans="1:28" x14ac:dyDescent="0.35">
      <c r="A861" t="str">
        <f t="shared" si="78"/>
        <v>EMP0860</v>
      </c>
      <c r="B861" t="str" cm="1">
        <f t="array" ref="B861">_xlfn.IFS(
ROW()&lt;=421,"NA",
ROW()&lt;=781,"LATAM",
ROW()&lt;=1021,"EMEA",
TRUE,"APAC"
)</f>
        <v>EMEA</v>
      </c>
      <c r="C861" t="str">
        <f t="shared" si="79"/>
        <v>Germany</v>
      </c>
      <c r="D861" t="s">
        <v>26</v>
      </c>
      <c r="E861" t="s">
        <v>380</v>
      </c>
      <c r="F861" t="s">
        <v>722</v>
      </c>
      <c r="G861" t="s">
        <v>28</v>
      </c>
      <c r="H861" s="2">
        <v>43212</v>
      </c>
      <c r="I861" t="s">
        <v>29</v>
      </c>
      <c r="J861" t="s">
        <v>30</v>
      </c>
      <c r="K861" t="str">
        <f t="shared" ca="1" si="82"/>
        <v>OK</v>
      </c>
      <c r="L861" t="s">
        <v>1084</v>
      </c>
      <c r="M861">
        <v>5</v>
      </c>
      <c r="N861" s="2">
        <v>46077</v>
      </c>
      <c r="O861" s="2" t="s">
        <v>22</v>
      </c>
      <c r="P861" s="4">
        <f t="shared" ca="1" si="80"/>
        <v>7</v>
      </c>
      <c r="Q861" s="4" t="str">
        <f t="shared" ca="1" si="81"/>
        <v>6-10 Years</v>
      </c>
      <c r="R861">
        <f t="shared" ca="1" si="83"/>
        <v>0</v>
      </c>
      <c r="S861" t="s">
        <v>22</v>
      </c>
      <c r="T861">
        <v>2</v>
      </c>
      <c r="U861" t="s">
        <v>1394</v>
      </c>
      <c r="V861" t="s">
        <v>1394</v>
      </c>
      <c r="W861" t="s">
        <v>1394</v>
      </c>
      <c r="X861" s="3">
        <v>5</v>
      </c>
      <c r="Y861" t="s">
        <v>1395</v>
      </c>
      <c r="Z861">
        <v>33937</v>
      </c>
      <c r="AA861">
        <v>0.1</v>
      </c>
      <c r="AB861">
        <v>37330.700000000004</v>
      </c>
    </row>
    <row r="862" spans="1:28" x14ac:dyDescent="0.35">
      <c r="A862" t="str">
        <f t="shared" si="78"/>
        <v>EMP0861</v>
      </c>
      <c r="B862" t="str" cm="1">
        <f t="array" ref="B862">_xlfn.IFS(
ROW()&lt;=421,"NA",
ROW()&lt;=781,"LATAM",
ROW()&lt;=1021,"EMEA",
TRUE,"APAC"
)</f>
        <v>EMEA</v>
      </c>
      <c r="C862" t="str">
        <f t="shared" si="79"/>
        <v>Germany</v>
      </c>
      <c r="D862" t="s">
        <v>26</v>
      </c>
      <c r="E862" t="s">
        <v>380</v>
      </c>
      <c r="F862" t="s">
        <v>680</v>
      </c>
      <c r="G862" t="s">
        <v>28</v>
      </c>
      <c r="H862" s="2">
        <v>43207</v>
      </c>
      <c r="I862" t="s">
        <v>29</v>
      </c>
      <c r="J862" t="s">
        <v>30</v>
      </c>
      <c r="K862" t="str">
        <f t="shared" ca="1" si="82"/>
        <v>OK</v>
      </c>
      <c r="L862" t="s">
        <v>1240</v>
      </c>
      <c r="M862">
        <v>5</v>
      </c>
      <c r="N862" s="2">
        <v>46052</v>
      </c>
      <c r="O862" s="2" t="s">
        <v>22</v>
      </c>
      <c r="P862" s="4">
        <f t="shared" ca="1" si="80"/>
        <v>7</v>
      </c>
      <c r="Q862" s="4" t="str">
        <f t="shared" ca="1" si="81"/>
        <v>6-10 Years</v>
      </c>
      <c r="R862">
        <f t="shared" ca="1" si="83"/>
        <v>0</v>
      </c>
      <c r="S862" t="s">
        <v>22</v>
      </c>
      <c r="T862">
        <v>2</v>
      </c>
      <c r="U862" t="s">
        <v>1394</v>
      </c>
      <c r="V862" t="s">
        <v>1394</v>
      </c>
      <c r="W862" t="s">
        <v>1394</v>
      </c>
      <c r="X862" s="3">
        <v>1</v>
      </c>
      <c r="Y862" t="s">
        <v>1397</v>
      </c>
      <c r="Z862">
        <v>44373</v>
      </c>
      <c r="AA862">
        <v>0.1</v>
      </c>
      <c r="AB862">
        <v>48810.3</v>
      </c>
    </row>
    <row r="863" spans="1:28" x14ac:dyDescent="0.35">
      <c r="A863" t="str">
        <f t="shared" si="78"/>
        <v>EMP0862</v>
      </c>
      <c r="B863" t="str" cm="1">
        <f t="array" ref="B863">_xlfn.IFS(
ROW()&lt;=421,"NA",
ROW()&lt;=781,"LATAM",
ROW()&lt;=1021,"EMEA",
TRUE,"APAC"
)</f>
        <v>EMEA</v>
      </c>
      <c r="C863" t="str">
        <f t="shared" si="79"/>
        <v>Germany</v>
      </c>
      <c r="D863" t="s">
        <v>41</v>
      </c>
      <c r="E863" t="s">
        <v>145</v>
      </c>
      <c r="F863" t="s">
        <v>203</v>
      </c>
      <c r="G863" t="s">
        <v>28</v>
      </c>
      <c r="H863" s="2">
        <v>43203</v>
      </c>
      <c r="I863" t="s">
        <v>29</v>
      </c>
      <c r="J863" t="s">
        <v>42</v>
      </c>
      <c r="K863" t="str">
        <f t="shared" ca="1" si="82"/>
        <v>OK</v>
      </c>
      <c r="L863" t="s">
        <v>377</v>
      </c>
      <c r="M863">
        <v>4</v>
      </c>
      <c r="N863" s="2">
        <v>46042</v>
      </c>
      <c r="O863" s="2" t="s">
        <v>22</v>
      </c>
      <c r="P863" s="4">
        <f t="shared" ca="1" si="80"/>
        <v>7</v>
      </c>
      <c r="Q863" s="4" t="str">
        <f t="shared" ca="1" si="81"/>
        <v>6-10 Years</v>
      </c>
      <c r="R863">
        <f t="shared" ca="1" si="83"/>
        <v>0</v>
      </c>
      <c r="S863" t="s">
        <v>22</v>
      </c>
      <c r="T863">
        <v>2</v>
      </c>
      <c r="U863" t="s">
        <v>1394</v>
      </c>
      <c r="V863" t="s">
        <v>1394</v>
      </c>
      <c r="W863" t="s">
        <v>1394</v>
      </c>
      <c r="X863" s="3">
        <v>5</v>
      </c>
      <c r="Y863" t="s">
        <v>1395</v>
      </c>
      <c r="Z863">
        <v>81946</v>
      </c>
      <c r="AA863">
        <v>0.15</v>
      </c>
      <c r="AB863">
        <v>94237.9</v>
      </c>
    </row>
    <row r="864" spans="1:28" x14ac:dyDescent="0.35">
      <c r="A864" t="str">
        <f t="shared" si="78"/>
        <v>EMP0863</v>
      </c>
      <c r="B864" t="str" cm="1">
        <f t="array" ref="B864">_xlfn.IFS(
ROW()&lt;=421,"NA",
ROW()&lt;=781,"LATAM",
ROW()&lt;=1021,"EMEA",
TRUE,"APAC"
)</f>
        <v>EMEA</v>
      </c>
      <c r="C864" t="str">
        <f t="shared" si="79"/>
        <v>Germany</v>
      </c>
      <c r="D864" t="s">
        <v>26</v>
      </c>
      <c r="E864" t="s">
        <v>380</v>
      </c>
      <c r="F864" t="s">
        <v>638</v>
      </c>
      <c r="G864" t="s">
        <v>53</v>
      </c>
      <c r="H864" s="2">
        <v>43203</v>
      </c>
      <c r="I864" t="s">
        <v>29</v>
      </c>
      <c r="J864" t="s">
        <v>30</v>
      </c>
      <c r="K864" t="str">
        <f t="shared" ca="1" si="82"/>
        <v>OK</v>
      </c>
      <c r="L864" t="s">
        <v>970</v>
      </c>
      <c r="M864">
        <v>5</v>
      </c>
      <c r="N864" s="2">
        <v>46003</v>
      </c>
      <c r="O864" s="2" t="s">
        <v>22</v>
      </c>
      <c r="P864" s="4">
        <f t="shared" ca="1" si="80"/>
        <v>7</v>
      </c>
      <c r="Q864" s="4" t="str">
        <f t="shared" ca="1" si="81"/>
        <v>6-10 Years</v>
      </c>
      <c r="R864">
        <f t="shared" ca="1" si="83"/>
        <v>0</v>
      </c>
      <c r="S864" t="s">
        <v>22</v>
      </c>
      <c r="T864">
        <v>2</v>
      </c>
      <c r="U864" t="s">
        <v>1394</v>
      </c>
      <c r="V864" t="s">
        <v>1394</v>
      </c>
      <c r="W864" t="s">
        <v>1394</v>
      </c>
      <c r="X864" s="3">
        <v>4</v>
      </c>
      <c r="Y864" t="s">
        <v>1395</v>
      </c>
      <c r="Z864">
        <v>30578</v>
      </c>
      <c r="AA864">
        <v>0.1</v>
      </c>
      <c r="AB864">
        <v>33635.800000000003</v>
      </c>
    </row>
    <row r="865" spans="1:28" x14ac:dyDescent="0.35">
      <c r="A865" t="str">
        <f t="shared" si="78"/>
        <v>EMP0864</v>
      </c>
      <c r="B865" t="str" cm="1">
        <f t="array" ref="B865">_xlfn.IFS(
ROW()&lt;=421,"NA",
ROW()&lt;=781,"LATAM",
ROW()&lt;=1021,"EMEA",
TRUE,"APAC"
)</f>
        <v>EMEA</v>
      </c>
      <c r="C865" t="str">
        <f t="shared" si="79"/>
        <v>Germany</v>
      </c>
      <c r="D865" t="s">
        <v>32</v>
      </c>
      <c r="E865" t="s">
        <v>380</v>
      </c>
      <c r="F865" t="s">
        <v>518</v>
      </c>
      <c r="G865" t="s">
        <v>28</v>
      </c>
      <c r="H865" s="2">
        <v>43199</v>
      </c>
      <c r="I865" t="s">
        <v>29</v>
      </c>
      <c r="J865" t="s">
        <v>33</v>
      </c>
      <c r="K865" t="str">
        <f t="shared" ca="1" si="82"/>
        <v>OK</v>
      </c>
      <c r="L865" t="s">
        <v>1352</v>
      </c>
      <c r="M865">
        <v>5</v>
      </c>
      <c r="N865" s="2">
        <v>46012</v>
      </c>
      <c r="O865" s="2" t="s">
        <v>22</v>
      </c>
      <c r="P865" s="4">
        <f t="shared" ca="1" si="80"/>
        <v>7</v>
      </c>
      <c r="Q865" s="4" t="str">
        <f t="shared" ca="1" si="81"/>
        <v>6-10 Years</v>
      </c>
      <c r="R865">
        <f t="shared" ca="1" si="83"/>
        <v>0</v>
      </c>
      <c r="S865" t="s">
        <v>22</v>
      </c>
      <c r="T865">
        <v>4</v>
      </c>
      <c r="U865" t="s">
        <v>1394</v>
      </c>
      <c r="V865" t="s">
        <v>1394</v>
      </c>
      <c r="W865" t="s">
        <v>1394</v>
      </c>
      <c r="X865" s="3">
        <v>3</v>
      </c>
      <c r="Y865" t="s">
        <v>1398</v>
      </c>
      <c r="Z865">
        <v>36571</v>
      </c>
      <c r="AA865">
        <v>0.1</v>
      </c>
      <c r="AB865">
        <v>40228.100000000006</v>
      </c>
    </row>
    <row r="866" spans="1:28" x14ac:dyDescent="0.35">
      <c r="A866" t="str">
        <f t="shared" si="78"/>
        <v>EMP0865</v>
      </c>
      <c r="B866" t="str" cm="1">
        <f t="array" ref="B866">_xlfn.IFS(
ROW()&lt;=421,"NA",
ROW()&lt;=781,"LATAM",
ROW()&lt;=1021,"EMEA",
TRUE,"APAC"
)</f>
        <v>EMEA</v>
      </c>
      <c r="C866" t="str">
        <f t="shared" si="79"/>
        <v>Germany</v>
      </c>
      <c r="D866" t="s">
        <v>44</v>
      </c>
      <c r="E866" t="s">
        <v>380</v>
      </c>
      <c r="F866" t="s">
        <v>684</v>
      </c>
      <c r="G866" t="s">
        <v>53</v>
      </c>
      <c r="H866" s="2">
        <v>43197</v>
      </c>
      <c r="I866" t="s">
        <v>29</v>
      </c>
      <c r="J866" t="s">
        <v>47</v>
      </c>
      <c r="K866" t="str">
        <f t="shared" ca="1" si="82"/>
        <v>OK</v>
      </c>
      <c r="L866" t="s">
        <v>685</v>
      </c>
      <c r="M866">
        <v>5</v>
      </c>
      <c r="N866" s="2">
        <v>46030</v>
      </c>
      <c r="O866" s="2" t="s">
        <v>22</v>
      </c>
      <c r="P866" s="4">
        <f t="shared" ca="1" si="80"/>
        <v>7</v>
      </c>
      <c r="Q866" s="4" t="str">
        <f t="shared" ca="1" si="81"/>
        <v>6-10 Years</v>
      </c>
      <c r="R866">
        <f t="shared" ca="1" si="83"/>
        <v>0</v>
      </c>
      <c r="S866" t="s">
        <v>22</v>
      </c>
      <c r="T866">
        <v>2</v>
      </c>
      <c r="U866" t="s">
        <v>1396</v>
      </c>
      <c r="V866" t="s">
        <v>1394</v>
      </c>
      <c r="W866" t="s">
        <v>1394</v>
      </c>
      <c r="X866" s="3">
        <v>5</v>
      </c>
      <c r="Y866" t="s">
        <v>1395</v>
      </c>
      <c r="Z866">
        <v>47409</v>
      </c>
      <c r="AA866">
        <v>0.1</v>
      </c>
      <c r="AB866">
        <v>52149.9</v>
      </c>
    </row>
    <row r="867" spans="1:28" x14ac:dyDescent="0.35">
      <c r="A867" t="str">
        <f t="shared" si="78"/>
        <v>EMP0866</v>
      </c>
      <c r="B867" t="str" cm="1">
        <f t="array" ref="B867">_xlfn.IFS(
ROW()&lt;=421,"NA",
ROW()&lt;=781,"LATAM",
ROW()&lt;=1021,"EMEA",
TRUE,"APAC"
)</f>
        <v>EMEA</v>
      </c>
      <c r="C867" t="str">
        <f t="shared" si="79"/>
        <v>Germany</v>
      </c>
      <c r="D867" t="s">
        <v>32</v>
      </c>
      <c r="E867" t="s">
        <v>380</v>
      </c>
      <c r="F867" t="s">
        <v>393</v>
      </c>
      <c r="G867" t="s">
        <v>28</v>
      </c>
      <c r="H867" s="2">
        <v>43195</v>
      </c>
      <c r="I867" t="s">
        <v>29</v>
      </c>
      <c r="J867" t="s">
        <v>33</v>
      </c>
      <c r="K867" t="str">
        <f t="shared" ca="1" si="82"/>
        <v>OK</v>
      </c>
      <c r="L867" t="s">
        <v>627</v>
      </c>
      <c r="M867">
        <v>5</v>
      </c>
      <c r="N867" s="2">
        <v>46009</v>
      </c>
      <c r="O867" s="2" t="s">
        <v>22</v>
      </c>
      <c r="P867" s="4">
        <f t="shared" ca="1" si="80"/>
        <v>7</v>
      </c>
      <c r="Q867" s="4" t="str">
        <f t="shared" ca="1" si="81"/>
        <v>6-10 Years</v>
      </c>
      <c r="R867">
        <f t="shared" ca="1" si="83"/>
        <v>0</v>
      </c>
      <c r="S867" t="s">
        <v>22</v>
      </c>
      <c r="T867">
        <v>4</v>
      </c>
      <c r="U867" t="s">
        <v>1394</v>
      </c>
      <c r="V867" t="s">
        <v>1394</v>
      </c>
      <c r="W867" t="s">
        <v>1394</v>
      </c>
      <c r="X867" s="3">
        <v>5</v>
      </c>
      <c r="Y867" t="s">
        <v>1395</v>
      </c>
      <c r="Z867">
        <v>42714</v>
      </c>
      <c r="AA867">
        <v>0.1</v>
      </c>
      <c r="AB867">
        <v>46985.4</v>
      </c>
    </row>
    <row r="868" spans="1:28" x14ac:dyDescent="0.35">
      <c r="A868" t="str">
        <f t="shared" si="78"/>
        <v>EMP0867</v>
      </c>
      <c r="B868" t="str" cm="1">
        <f t="array" ref="B868">_xlfn.IFS(
ROW()&lt;=421,"NA",
ROW()&lt;=781,"LATAM",
ROW()&lt;=1021,"EMEA",
TRUE,"APAC"
)</f>
        <v>EMEA</v>
      </c>
      <c r="C868" t="str">
        <f t="shared" si="79"/>
        <v>Germany</v>
      </c>
      <c r="D868" t="s">
        <v>26</v>
      </c>
      <c r="E868" t="s">
        <v>380</v>
      </c>
      <c r="F868" t="s">
        <v>562</v>
      </c>
      <c r="G868" t="s">
        <v>28</v>
      </c>
      <c r="H868" s="2">
        <v>43192</v>
      </c>
      <c r="I868" t="s">
        <v>29</v>
      </c>
      <c r="J868" t="s">
        <v>30</v>
      </c>
      <c r="K868" t="str">
        <f t="shared" ca="1" si="82"/>
        <v>OK</v>
      </c>
      <c r="L868" t="s">
        <v>563</v>
      </c>
      <c r="M868">
        <v>5</v>
      </c>
      <c r="N868" s="2">
        <v>45999</v>
      </c>
      <c r="O868" s="2" t="s">
        <v>22</v>
      </c>
      <c r="P868" s="4">
        <f t="shared" ca="1" si="80"/>
        <v>7</v>
      </c>
      <c r="Q868" s="4" t="str">
        <f t="shared" ca="1" si="81"/>
        <v>6-10 Years</v>
      </c>
      <c r="R868">
        <f t="shared" ca="1" si="83"/>
        <v>0</v>
      </c>
      <c r="S868" t="s">
        <v>22</v>
      </c>
      <c r="T868">
        <v>5</v>
      </c>
      <c r="U868" t="s">
        <v>1394</v>
      </c>
      <c r="V868" t="s">
        <v>1394</v>
      </c>
      <c r="W868" t="s">
        <v>1394</v>
      </c>
      <c r="X868" s="3">
        <v>5</v>
      </c>
      <c r="Y868" t="s">
        <v>1395</v>
      </c>
      <c r="Z868">
        <v>36051</v>
      </c>
      <c r="AA868">
        <v>0.1</v>
      </c>
      <c r="AB868">
        <v>39656.100000000006</v>
      </c>
    </row>
    <row r="869" spans="1:28" x14ac:dyDescent="0.35">
      <c r="A869" t="str">
        <f t="shared" si="78"/>
        <v>EMP0868</v>
      </c>
      <c r="B869" t="str" cm="1">
        <f t="array" ref="B869">_xlfn.IFS(
ROW()&lt;=421,"NA",
ROW()&lt;=781,"LATAM",
ROW()&lt;=1021,"EMEA",
TRUE,"APAC"
)</f>
        <v>EMEA</v>
      </c>
      <c r="C869" t="str">
        <f t="shared" si="79"/>
        <v>Germany</v>
      </c>
      <c r="D869" t="s">
        <v>35</v>
      </c>
      <c r="E869" t="s">
        <v>380</v>
      </c>
      <c r="F869" t="s">
        <v>964</v>
      </c>
      <c r="G869" t="s">
        <v>28</v>
      </c>
      <c r="H869" s="2">
        <v>43192</v>
      </c>
      <c r="I869" t="s">
        <v>29</v>
      </c>
      <c r="J869" t="s">
        <v>36</v>
      </c>
      <c r="K869" t="str">
        <f t="shared" ca="1" si="82"/>
        <v>OK</v>
      </c>
      <c r="L869" t="s">
        <v>965</v>
      </c>
      <c r="M869">
        <v>5</v>
      </c>
      <c r="N869" s="2">
        <v>45994</v>
      </c>
      <c r="O869" s="2" t="s">
        <v>22</v>
      </c>
      <c r="P869" s="4">
        <f t="shared" ca="1" si="80"/>
        <v>7</v>
      </c>
      <c r="Q869" s="4" t="str">
        <f t="shared" ca="1" si="81"/>
        <v>6-10 Years</v>
      </c>
      <c r="R869">
        <f t="shared" ca="1" si="83"/>
        <v>0</v>
      </c>
      <c r="S869" t="s">
        <v>22</v>
      </c>
      <c r="T869">
        <v>2</v>
      </c>
      <c r="U869" t="s">
        <v>1394</v>
      </c>
      <c r="V869" t="s">
        <v>1394</v>
      </c>
      <c r="W869" t="s">
        <v>1394</v>
      </c>
      <c r="X869" s="3">
        <v>4</v>
      </c>
      <c r="Y869" t="s">
        <v>1395</v>
      </c>
      <c r="Z869">
        <v>31667</v>
      </c>
      <c r="AA869">
        <v>0.1</v>
      </c>
      <c r="AB869">
        <v>34833.700000000004</v>
      </c>
    </row>
    <row r="870" spans="1:28" x14ac:dyDescent="0.35">
      <c r="A870" t="str">
        <f t="shared" si="78"/>
        <v>EMP0869</v>
      </c>
      <c r="B870" t="str" cm="1">
        <f t="array" ref="B870">_xlfn.IFS(
ROW()&lt;=421,"NA",
ROW()&lt;=781,"LATAM",
ROW()&lt;=1021,"EMEA",
TRUE,"APAC"
)</f>
        <v>EMEA</v>
      </c>
      <c r="C870" t="str">
        <f t="shared" si="79"/>
        <v>Germany</v>
      </c>
      <c r="D870" t="s">
        <v>41</v>
      </c>
      <c r="E870" t="s">
        <v>380</v>
      </c>
      <c r="F870" t="s">
        <v>663</v>
      </c>
      <c r="G870" t="s">
        <v>28</v>
      </c>
      <c r="H870" s="2">
        <v>43184</v>
      </c>
      <c r="I870" t="s">
        <v>29</v>
      </c>
      <c r="J870" t="s">
        <v>42</v>
      </c>
      <c r="K870" t="str">
        <f t="shared" ca="1" si="82"/>
        <v>OK</v>
      </c>
      <c r="L870" t="s">
        <v>677</v>
      </c>
      <c r="M870">
        <v>5</v>
      </c>
      <c r="N870" s="2">
        <v>46059</v>
      </c>
      <c r="O870" s="2" t="s">
        <v>22</v>
      </c>
      <c r="P870" s="4">
        <f t="shared" ca="1" si="80"/>
        <v>7</v>
      </c>
      <c r="Q870" s="4" t="str">
        <f t="shared" ca="1" si="81"/>
        <v>6-10 Years</v>
      </c>
      <c r="R870">
        <f t="shared" ca="1" si="83"/>
        <v>0</v>
      </c>
      <c r="S870" t="s">
        <v>22</v>
      </c>
      <c r="T870">
        <v>3</v>
      </c>
      <c r="U870" t="s">
        <v>1394</v>
      </c>
      <c r="V870" t="s">
        <v>1394</v>
      </c>
      <c r="W870" t="s">
        <v>1394</v>
      </c>
      <c r="X870" s="3">
        <v>2</v>
      </c>
      <c r="Y870" t="s">
        <v>1397</v>
      </c>
      <c r="Z870">
        <v>38865</v>
      </c>
      <c r="AA870">
        <v>0.1</v>
      </c>
      <c r="AB870">
        <v>42751.5</v>
      </c>
    </row>
    <row r="871" spans="1:28" x14ac:dyDescent="0.35">
      <c r="A871" t="str">
        <f t="shared" si="78"/>
        <v>EMP0870</v>
      </c>
      <c r="B871" t="str" cm="1">
        <f t="array" ref="B871">_xlfn.IFS(
ROW()&lt;=421,"NA",
ROW()&lt;=781,"LATAM",
ROW()&lt;=1021,"EMEA",
TRUE,"APAC"
)</f>
        <v>EMEA</v>
      </c>
      <c r="C871" t="str">
        <f t="shared" si="79"/>
        <v>Germany</v>
      </c>
      <c r="D871" t="s">
        <v>44</v>
      </c>
      <c r="E871" t="s">
        <v>380</v>
      </c>
      <c r="F871" t="s">
        <v>512</v>
      </c>
      <c r="G871" t="s">
        <v>28</v>
      </c>
      <c r="H871" s="2">
        <v>43177</v>
      </c>
      <c r="I871" t="s">
        <v>29</v>
      </c>
      <c r="J871" t="s">
        <v>47</v>
      </c>
      <c r="K871" t="str">
        <f t="shared" ca="1" si="82"/>
        <v>OK</v>
      </c>
      <c r="L871" t="s">
        <v>879</v>
      </c>
      <c r="M871">
        <v>5</v>
      </c>
      <c r="N871" s="2">
        <v>46042</v>
      </c>
      <c r="O871" s="2" t="s">
        <v>22</v>
      </c>
      <c r="P871" s="4">
        <f t="shared" ca="1" si="80"/>
        <v>7</v>
      </c>
      <c r="Q871" s="4" t="str">
        <f t="shared" ca="1" si="81"/>
        <v>6-10 Years</v>
      </c>
      <c r="R871">
        <f t="shared" ca="1" si="83"/>
        <v>0</v>
      </c>
      <c r="S871" t="s">
        <v>22</v>
      </c>
      <c r="T871">
        <v>2</v>
      </c>
      <c r="U871" t="s">
        <v>1396</v>
      </c>
      <c r="V871" t="s">
        <v>1394</v>
      </c>
      <c r="W871" t="s">
        <v>1394</v>
      </c>
      <c r="X871" s="3">
        <v>5</v>
      </c>
      <c r="Y871" t="s">
        <v>1395</v>
      </c>
      <c r="Z871">
        <v>41543</v>
      </c>
      <c r="AA871">
        <v>0.1</v>
      </c>
      <c r="AB871">
        <v>45697.3</v>
      </c>
    </row>
    <row r="872" spans="1:28" x14ac:dyDescent="0.35">
      <c r="A872" t="str">
        <f t="shared" si="78"/>
        <v>EMP0871</v>
      </c>
      <c r="B872" t="str" cm="1">
        <f t="array" ref="B872">_xlfn.IFS(
ROW()&lt;=421,"NA",
ROW()&lt;=781,"LATAM",
ROW()&lt;=1021,"EMEA",
TRUE,"APAC"
)</f>
        <v>EMEA</v>
      </c>
      <c r="C872" t="str">
        <f t="shared" si="79"/>
        <v>Germany</v>
      </c>
      <c r="D872" t="s">
        <v>41</v>
      </c>
      <c r="E872" t="s">
        <v>380</v>
      </c>
      <c r="F872" t="s">
        <v>582</v>
      </c>
      <c r="G872" t="s">
        <v>28</v>
      </c>
      <c r="H872" s="2">
        <v>43174</v>
      </c>
      <c r="I872" t="s">
        <v>29</v>
      </c>
      <c r="J872" t="s">
        <v>42</v>
      </c>
      <c r="K872" t="str">
        <f t="shared" ca="1" si="82"/>
        <v>OK</v>
      </c>
      <c r="L872" t="s">
        <v>1022</v>
      </c>
      <c r="M872">
        <v>5</v>
      </c>
      <c r="N872" s="2">
        <v>46051</v>
      </c>
      <c r="O872" s="2" t="s">
        <v>22</v>
      </c>
      <c r="P872" s="4">
        <f t="shared" ca="1" si="80"/>
        <v>7</v>
      </c>
      <c r="Q872" s="4" t="str">
        <f t="shared" ca="1" si="81"/>
        <v>6-10 Years</v>
      </c>
      <c r="R872">
        <f t="shared" ca="1" si="83"/>
        <v>0</v>
      </c>
      <c r="S872" t="s">
        <v>22</v>
      </c>
      <c r="T872">
        <v>3</v>
      </c>
      <c r="U872" t="s">
        <v>1394</v>
      </c>
      <c r="V872" t="s">
        <v>1394</v>
      </c>
      <c r="W872" t="s">
        <v>1394</v>
      </c>
      <c r="X872" s="3">
        <v>3</v>
      </c>
      <c r="Y872" t="s">
        <v>1398</v>
      </c>
      <c r="Z872">
        <v>27301</v>
      </c>
      <c r="AA872">
        <v>0.1</v>
      </c>
      <c r="AB872">
        <v>30031.100000000002</v>
      </c>
    </row>
    <row r="873" spans="1:28" x14ac:dyDescent="0.35">
      <c r="A873" t="str">
        <f t="shared" si="78"/>
        <v>EMP0872</v>
      </c>
      <c r="B873" t="str" cm="1">
        <f t="array" ref="B873">_xlfn.IFS(
ROW()&lt;=421,"NA",
ROW()&lt;=781,"LATAM",
ROW()&lt;=1021,"EMEA",
TRUE,"APAC"
)</f>
        <v>EMEA</v>
      </c>
      <c r="C873" t="str">
        <f t="shared" si="79"/>
        <v>Germany</v>
      </c>
      <c r="D873" t="s">
        <v>35</v>
      </c>
      <c r="E873" t="s">
        <v>380</v>
      </c>
      <c r="F873" t="s">
        <v>522</v>
      </c>
      <c r="G873" t="s">
        <v>28</v>
      </c>
      <c r="H873" s="2">
        <v>43172</v>
      </c>
      <c r="I873" t="s">
        <v>57</v>
      </c>
      <c r="J873" t="s">
        <v>36</v>
      </c>
      <c r="K873" t="str">
        <f t="shared" ca="1" si="82"/>
        <v>OK</v>
      </c>
      <c r="L873" t="s">
        <v>1310</v>
      </c>
      <c r="M873">
        <v>5</v>
      </c>
      <c r="N873" s="2">
        <v>46031</v>
      </c>
      <c r="O873" s="2">
        <v>45665</v>
      </c>
      <c r="P873" s="4">
        <f t="shared" ca="1" si="80"/>
        <v>6</v>
      </c>
      <c r="Q873" s="4" t="str">
        <f t="shared" ca="1" si="81"/>
        <v>6-10 Years</v>
      </c>
      <c r="R873">
        <f t="shared" ca="1" si="83"/>
        <v>0</v>
      </c>
      <c r="S873" t="s">
        <v>23</v>
      </c>
      <c r="T873">
        <v>3</v>
      </c>
      <c r="U873" t="s">
        <v>1394</v>
      </c>
      <c r="V873" t="s">
        <v>1394</v>
      </c>
      <c r="W873" t="s">
        <v>1394</v>
      </c>
      <c r="X873" s="3">
        <v>2</v>
      </c>
      <c r="Y873" t="s">
        <v>1397</v>
      </c>
      <c r="Z873">
        <v>46118</v>
      </c>
      <c r="AA873">
        <v>0.1</v>
      </c>
      <c r="AB873">
        <v>50729.8</v>
      </c>
    </row>
    <row r="874" spans="1:28" x14ac:dyDescent="0.35">
      <c r="A874" t="str">
        <f t="shared" si="78"/>
        <v>EMP0873</v>
      </c>
      <c r="B874" t="str" cm="1">
        <f t="array" ref="B874">_xlfn.IFS(
ROW()&lt;=421,"NA",
ROW()&lt;=781,"LATAM",
ROW()&lt;=1021,"EMEA",
TRUE,"APAC"
)</f>
        <v>EMEA</v>
      </c>
      <c r="C874" t="str">
        <f t="shared" si="79"/>
        <v>Germany</v>
      </c>
      <c r="D874" t="s">
        <v>35</v>
      </c>
      <c r="E874" t="s">
        <v>380</v>
      </c>
      <c r="F874" t="s">
        <v>695</v>
      </c>
      <c r="G874" t="s">
        <v>28</v>
      </c>
      <c r="H874" s="2">
        <v>43171</v>
      </c>
      <c r="I874" t="s">
        <v>29</v>
      </c>
      <c r="J874" t="s">
        <v>36</v>
      </c>
      <c r="K874" t="str">
        <f t="shared" ca="1" si="82"/>
        <v>OK</v>
      </c>
      <c r="L874" t="s">
        <v>834</v>
      </c>
      <c r="M874">
        <v>5</v>
      </c>
      <c r="N874" s="2">
        <v>46008</v>
      </c>
      <c r="O874" s="2" t="s">
        <v>22</v>
      </c>
      <c r="P874" s="4">
        <f t="shared" ca="1" si="80"/>
        <v>7</v>
      </c>
      <c r="Q874" s="4" t="str">
        <f t="shared" ca="1" si="81"/>
        <v>6-10 Years</v>
      </c>
      <c r="R874">
        <f t="shared" ca="1" si="83"/>
        <v>0</v>
      </c>
      <c r="S874" t="s">
        <v>22</v>
      </c>
      <c r="T874">
        <v>4</v>
      </c>
      <c r="U874" t="s">
        <v>1394</v>
      </c>
      <c r="V874" t="s">
        <v>1396</v>
      </c>
      <c r="W874" t="s">
        <v>1394</v>
      </c>
      <c r="X874" s="3">
        <v>1</v>
      </c>
      <c r="Y874" t="s">
        <v>1397</v>
      </c>
      <c r="Z874">
        <v>35989</v>
      </c>
      <c r="AA874">
        <v>0.1</v>
      </c>
      <c r="AB874">
        <v>39587.9</v>
      </c>
    </row>
    <row r="875" spans="1:28" x14ac:dyDescent="0.35">
      <c r="A875" t="str">
        <f t="shared" si="78"/>
        <v>EMP0874</v>
      </c>
      <c r="B875" t="str" cm="1">
        <f t="array" ref="B875">_xlfn.IFS(
ROW()&lt;=421,"NA",
ROW()&lt;=781,"LATAM",
ROW()&lt;=1021,"EMEA",
TRUE,"APAC"
)</f>
        <v>EMEA</v>
      </c>
      <c r="C875" t="str">
        <f t="shared" si="79"/>
        <v>Germany</v>
      </c>
      <c r="D875" t="s">
        <v>26</v>
      </c>
      <c r="E875" t="s">
        <v>145</v>
      </c>
      <c r="F875" t="s">
        <v>261</v>
      </c>
      <c r="G875" t="s">
        <v>28</v>
      </c>
      <c r="H875" s="2">
        <v>43166</v>
      </c>
      <c r="I875" t="s">
        <v>29</v>
      </c>
      <c r="J875" t="s">
        <v>30</v>
      </c>
      <c r="K875" t="str">
        <f t="shared" ca="1" si="82"/>
        <v>OK</v>
      </c>
      <c r="L875" t="s">
        <v>277</v>
      </c>
      <c r="M875">
        <v>4</v>
      </c>
      <c r="N875" s="2">
        <v>46036</v>
      </c>
      <c r="O875" s="2" t="s">
        <v>22</v>
      </c>
      <c r="P875" s="4">
        <f t="shared" ca="1" si="80"/>
        <v>7</v>
      </c>
      <c r="Q875" s="4" t="str">
        <f t="shared" ca="1" si="81"/>
        <v>6-10 Years</v>
      </c>
      <c r="R875">
        <f t="shared" ca="1" si="83"/>
        <v>0</v>
      </c>
      <c r="S875" t="s">
        <v>22</v>
      </c>
      <c r="T875">
        <v>3</v>
      </c>
      <c r="U875" t="s">
        <v>1394</v>
      </c>
      <c r="V875" t="s">
        <v>1394</v>
      </c>
      <c r="W875" t="s">
        <v>1394</v>
      </c>
      <c r="X875" s="3">
        <v>2</v>
      </c>
      <c r="Y875" t="s">
        <v>1397</v>
      </c>
      <c r="Z875">
        <v>82374</v>
      </c>
      <c r="AA875">
        <v>0.15</v>
      </c>
      <c r="AB875">
        <v>94730.099999999991</v>
      </c>
    </row>
    <row r="876" spans="1:28" x14ac:dyDescent="0.35">
      <c r="A876" t="str">
        <f t="shared" si="78"/>
        <v>EMP0875</v>
      </c>
      <c r="B876" t="str" cm="1">
        <f t="array" ref="B876">_xlfn.IFS(
ROW()&lt;=421,"NA",
ROW()&lt;=781,"LATAM",
ROW()&lt;=1021,"EMEA",
TRUE,"APAC"
)</f>
        <v>EMEA</v>
      </c>
      <c r="C876" t="str">
        <f t="shared" si="79"/>
        <v>Germany</v>
      </c>
      <c r="D876" t="s">
        <v>41</v>
      </c>
      <c r="E876" t="s">
        <v>380</v>
      </c>
      <c r="F876" t="s">
        <v>535</v>
      </c>
      <c r="G876" t="s">
        <v>28</v>
      </c>
      <c r="H876" s="2">
        <v>43166</v>
      </c>
      <c r="I876" t="s">
        <v>29</v>
      </c>
      <c r="J876" t="s">
        <v>42</v>
      </c>
      <c r="K876" t="str">
        <f t="shared" ca="1" si="82"/>
        <v>OK</v>
      </c>
      <c r="L876" t="s">
        <v>756</v>
      </c>
      <c r="M876">
        <v>5</v>
      </c>
      <c r="N876" s="2">
        <v>46041</v>
      </c>
      <c r="O876" s="2" t="s">
        <v>22</v>
      </c>
      <c r="P876" s="4">
        <f t="shared" ca="1" si="80"/>
        <v>7</v>
      </c>
      <c r="Q876" s="4" t="str">
        <f t="shared" ca="1" si="81"/>
        <v>6-10 Years</v>
      </c>
      <c r="R876">
        <f t="shared" ca="1" si="83"/>
        <v>0</v>
      </c>
      <c r="S876" t="s">
        <v>22</v>
      </c>
      <c r="T876">
        <v>5</v>
      </c>
      <c r="U876" t="s">
        <v>1396</v>
      </c>
      <c r="V876" t="s">
        <v>1394</v>
      </c>
      <c r="W876" t="s">
        <v>1394</v>
      </c>
      <c r="X876" s="3">
        <v>1</v>
      </c>
      <c r="Y876" t="s">
        <v>1397</v>
      </c>
      <c r="Z876">
        <v>39232</v>
      </c>
      <c r="AA876">
        <v>0.1</v>
      </c>
      <c r="AB876">
        <v>43155.200000000004</v>
      </c>
    </row>
    <row r="877" spans="1:28" x14ac:dyDescent="0.35">
      <c r="A877" t="str">
        <f t="shared" si="78"/>
        <v>EMP0876</v>
      </c>
      <c r="B877" t="str" cm="1">
        <f t="array" ref="B877">_xlfn.IFS(
ROW()&lt;=421,"NA",
ROW()&lt;=781,"LATAM",
ROW()&lt;=1021,"EMEA",
TRUE,"APAC"
)</f>
        <v>EMEA</v>
      </c>
      <c r="C877" t="str">
        <f t="shared" si="79"/>
        <v>Germany</v>
      </c>
      <c r="D877" t="s">
        <v>41</v>
      </c>
      <c r="E877" t="s">
        <v>380</v>
      </c>
      <c r="G877" t="s">
        <v>28</v>
      </c>
      <c r="H877" s="2">
        <v>43159</v>
      </c>
      <c r="I877" t="s">
        <v>57</v>
      </c>
      <c r="J877" t="s">
        <v>42</v>
      </c>
      <c r="K877" t="str">
        <f t="shared" ca="1" si="82"/>
        <v>⚠ Review</v>
      </c>
      <c r="L877" t="s">
        <v>960</v>
      </c>
      <c r="M877">
        <v>5</v>
      </c>
      <c r="N877" s="2">
        <v>46074</v>
      </c>
      <c r="O877" s="2">
        <v>44977</v>
      </c>
      <c r="P877" s="4">
        <f t="shared" ca="1" si="80"/>
        <v>4</v>
      </c>
      <c r="Q877" s="4" t="str">
        <f t="shared" ca="1" si="81"/>
        <v>3-5 Years</v>
      </c>
      <c r="R877">
        <f t="shared" ca="1" si="83"/>
        <v>0</v>
      </c>
      <c r="S877" t="s">
        <v>23</v>
      </c>
      <c r="T877">
        <v>3</v>
      </c>
      <c r="U877" t="s">
        <v>1394</v>
      </c>
      <c r="V877" t="s">
        <v>1394</v>
      </c>
      <c r="W877" t="s">
        <v>1394</v>
      </c>
      <c r="X877" s="3">
        <v>3</v>
      </c>
      <c r="Y877" t="s">
        <v>1398</v>
      </c>
      <c r="Z877">
        <v>41532</v>
      </c>
      <c r="AA877">
        <v>0.1</v>
      </c>
      <c r="AB877">
        <v>45685.200000000004</v>
      </c>
    </row>
    <row r="878" spans="1:28" x14ac:dyDescent="0.35">
      <c r="A878" t="str">
        <f t="shared" si="78"/>
        <v>EMP0877</v>
      </c>
      <c r="B878" t="str" cm="1">
        <f t="array" ref="B878">_xlfn.IFS(
ROW()&lt;=421,"NA",
ROW()&lt;=781,"LATAM",
ROW()&lt;=1021,"EMEA",
TRUE,"APAC"
)</f>
        <v>EMEA</v>
      </c>
      <c r="C878" t="str">
        <f t="shared" si="79"/>
        <v>Germany</v>
      </c>
      <c r="D878" t="s">
        <v>41</v>
      </c>
      <c r="E878" t="s">
        <v>380</v>
      </c>
      <c r="F878" t="s">
        <v>406</v>
      </c>
      <c r="G878" t="s">
        <v>28</v>
      </c>
      <c r="H878" s="2">
        <v>43159</v>
      </c>
      <c r="I878" t="s">
        <v>29</v>
      </c>
      <c r="J878" t="s">
        <v>42</v>
      </c>
      <c r="K878" t="str">
        <f t="shared" ca="1" si="82"/>
        <v>OK</v>
      </c>
      <c r="L878" t="s">
        <v>764</v>
      </c>
      <c r="M878">
        <v>5</v>
      </c>
      <c r="N878" s="2">
        <v>45997</v>
      </c>
      <c r="O878" s="2" t="s">
        <v>22</v>
      </c>
      <c r="P878" s="4">
        <f t="shared" ca="1" si="80"/>
        <v>8</v>
      </c>
      <c r="Q878" s="4" t="str">
        <f t="shared" ca="1" si="81"/>
        <v>6-10 Years</v>
      </c>
      <c r="R878">
        <f t="shared" ca="1" si="83"/>
        <v>0</v>
      </c>
      <c r="S878" t="s">
        <v>22</v>
      </c>
      <c r="T878">
        <v>4</v>
      </c>
      <c r="U878" t="s">
        <v>1396</v>
      </c>
      <c r="V878" t="s">
        <v>1394</v>
      </c>
      <c r="W878" t="s">
        <v>1394</v>
      </c>
      <c r="X878" s="3">
        <v>5</v>
      </c>
      <c r="Y878" t="s">
        <v>1395</v>
      </c>
      <c r="Z878">
        <v>21058</v>
      </c>
      <c r="AA878">
        <v>0.1</v>
      </c>
      <c r="AB878">
        <v>23163.800000000003</v>
      </c>
    </row>
    <row r="879" spans="1:28" x14ac:dyDescent="0.35">
      <c r="A879" t="str">
        <f t="shared" si="78"/>
        <v>EMP0878</v>
      </c>
      <c r="B879" t="str" cm="1">
        <f t="array" ref="B879">_xlfn.IFS(
ROW()&lt;=421,"NA",
ROW()&lt;=781,"LATAM",
ROW()&lt;=1021,"EMEA",
TRUE,"APAC"
)</f>
        <v>EMEA</v>
      </c>
      <c r="C879" t="str">
        <f t="shared" si="79"/>
        <v>Germany</v>
      </c>
      <c r="D879" t="s">
        <v>32</v>
      </c>
      <c r="E879" t="s">
        <v>69</v>
      </c>
      <c r="F879" t="s">
        <v>94</v>
      </c>
      <c r="G879" t="s">
        <v>28</v>
      </c>
      <c r="H879" s="2">
        <v>43142</v>
      </c>
      <c r="I879" t="s">
        <v>29</v>
      </c>
      <c r="J879" t="s">
        <v>33</v>
      </c>
      <c r="K879" t="str">
        <f t="shared" ca="1" si="82"/>
        <v>OK</v>
      </c>
      <c r="L879" t="s">
        <v>132</v>
      </c>
      <c r="M879">
        <v>3</v>
      </c>
      <c r="N879" s="2">
        <v>46014</v>
      </c>
      <c r="O879" s="2" t="s">
        <v>22</v>
      </c>
      <c r="P879" s="4">
        <f t="shared" ca="1" si="80"/>
        <v>8</v>
      </c>
      <c r="Q879" s="4" t="str">
        <f t="shared" ca="1" si="81"/>
        <v>6-10 Years</v>
      </c>
      <c r="R879">
        <f t="shared" ca="1" si="83"/>
        <v>0</v>
      </c>
      <c r="S879" t="s">
        <v>22</v>
      </c>
      <c r="T879">
        <v>2</v>
      </c>
      <c r="U879" t="s">
        <v>1396</v>
      </c>
      <c r="V879" t="s">
        <v>1394</v>
      </c>
      <c r="W879" t="s">
        <v>1394</v>
      </c>
      <c r="X879" s="3">
        <v>1</v>
      </c>
      <c r="Y879" t="s">
        <v>1397</v>
      </c>
      <c r="Z879">
        <v>124547</v>
      </c>
      <c r="AA879">
        <v>0.2</v>
      </c>
      <c r="AB879">
        <v>149456.4</v>
      </c>
    </row>
    <row r="880" spans="1:28" x14ac:dyDescent="0.35">
      <c r="A880" t="str">
        <f t="shared" si="78"/>
        <v>EMP0879</v>
      </c>
      <c r="B880" t="str" cm="1">
        <f t="array" ref="B880">_xlfn.IFS(
ROW()&lt;=421,"NA",
ROW()&lt;=781,"LATAM",
ROW()&lt;=1021,"EMEA",
TRUE,"APAC"
)</f>
        <v>EMEA</v>
      </c>
      <c r="C880" t="str">
        <f t="shared" si="79"/>
        <v>Germany</v>
      </c>
      <c r="D880" t="s">
        <v>35</v>
      </c>
      <c r="E880" t="s">
        <v>145</v>
      </c>
      <c r="F880" t="s">
        <v>225</v>
      </c>
      <c r="G880" t="s">
        <v>28</v>
      </c>
      <c r="H880" s="2">
        <v>43137</v>
      </c>
      <c r="I880" t="s">
        <v>29</v>
      </c>
      <c r="J880" t="s">
        <v>36</v>
      </c>
      <c r="K880" t="str">
        <f t="shared" ca="1" si="82"/>
        <v>OK</v>
      </c>
      <c r="L880" t="s">
        <v>226</v>
      </c>
      <c r="M880">
        <v>4</v>
      </c>
      <c r="N880" s="2">
        <v>46028</v>
      </c>
      <c r="O880" s="2" t="s">
        <v>22</v>
      </c>
      <c r="P880" s="4">
        <f t="shared" ca="1" si="80"/>
        <v>8</v>
      </c>
      <c r="Q880" s="4" t="str">
        <f t="shared" ca="1" si="81"/>
        <v>6-10 Years</v>
      </c>
      <c r="R880">
        <f t="shared" ca="1" si="83"/>
        <v>0</v>
      </c>
      <c r="S880" t="s">
        <v>22</v>
      </c>
      <c r="T880">
        <v>3</v>
      </c>
      <c r="U880" t="s">
        <v>1394</v>
      </c>
      <c r="V880" t="s">
        <v>1394</v>
      </c>
      <c r="W880" t="s">
        <v>1394</v>
      </c>
      <c r="X880" s="3">
        <v>4</v>
      </c>
      <c r="Y880" t="s">
        <v>1395</v>
      </c>
      <c r="Z880">
        <v>67574</v>
      </c>
      <c r="AA880">
        <v>0.15</v>
      </c>
      <c r="AB880">
        <v>77710.099999999991</v>
      </c>
    </row>
    <row r="881" spans="1:28" x14ac:dyDescent="0.35">
      <c r="A881" t="str">
        <f t="shared" si="78"/>
        <v>EMP0880</v>
      </c>
      <c r="B881" t="str" cm="1">
        <f t="array" ref="B881">_xlfn.IFS(
ROW()&lt;=421,"NA",
ROW()&lt;=781,"LATAM",
ROW()&lt;=1021,"EMEA",
TRUE,"APAC"
)</f>
        <v>EMEA</v>
      </c>
      <c r="C881" t="str">
        <f t="shared" si="79"/>
        <v>Germany</v>
      </c>
      <c r="D881" t="s">
        <v>26</v>
      </c>
      <c r="E881" t="s">
        <v>380</v>
      </c>
      <c r="F881" t="s">
        <v>749</v>
      </c>
      <c r="G881" t="s">
        <v>28</v>
      </c>
      <c r="H881" s="2">
        <v>43134</v>
      </c>
      <c r="I881" t="s">
        <v>29</v>
      </c>
      <c r="J881" t="s">
        <v>30</v>
      </c>
      <c r="K881" t="str">
        <f t="shared" ca="1" si="82"/>
        <v>OK</v>
      </c>
      <c r="L881" t="s">
        <v>750</v>
      </c>
      <c r="M881">
        <v>5</v>
      </c>
      <c r="N881" s="2">
        <v>46052</v>
      </c>
      <c r="O881" s="2" t="s">
        <v>22</v>
      </c>
      <c r="P881" s="4">
        <f t="shared" ca="1" si="80"/>
        <v>8</v>
      </c>
      <c r="Q881" s="4" t="str">
        <f t="shared" ca="1" si="81"/>
        <v>6-10 Years</v>
      </c>
      <c r="R881">
        <f t="shared" ca="1" si="83"/>
        <v>0</v>
      </c>
      <c r="S881" t="s">
        <v>22</v>
      </c>
      <c r="T881">
        <v>3</v>
      </c>
      <c r="U881" t="s">
        <v>1394</v>
      </c>
      <c r="V881" t="s">
        <v>1394</v>
      </c>
      <c r="W881" t="s">
        <v>1394</v>
      </c>
      <c r="X881" s="3">
        <v>4</v>
      </c>
      <c r="Y881" t="s">
        <v>1395</v>
      </c>
      <c r="Z881">
        <v>46215</v>
      </c>
      <c r="AA881">
        <v>0.1</v>
      </c>
      <c r="AB881">
        <v>50836.500000000007</v>
      </c>
    </row>
    <row r="882" spans="1:28" x14ac:dyDescent="0.35">
      <c r="A882" t="str">
        <f t="shared" si="78"/>
        <v>EMP0881</v>
      </c>
      <c r="B882" t="str" cm="1">
        <f t="array" ref="B882">_xlfn.IFS(
ROW()&lt;=421,"NA",
ROW()&lt;=781,"LATAM",
ROW()&lt;=1021,"EMEA",
TRUE,"APAC"
)</f>
        <v>EMEA</v>
      </c>
      <c r="C882" t="str">
        <f t="shared" si="79"/>
        <v>Germany</v>
      </c>
      <c r="D882" t="s">
        <v>44</v>
      </c>
      <c r="E882" t="s">
        <v>380</v>
      </c>
      <c r="F882" t="s">
        <v>452</v>
      </c>
      <c r="G882" t="s">
        <v>28</v>
      </c>
      <c r="H882" s="2">
        <v>43134</v>
      </c>
      <c r="I882" t="s">
        <v>29</v>
      </c>
      <c r="J882" t="s">
        <v>47</v>
      </c>
      <c r="K882" t="str">
        <f t="shared" ca="1" si="82"/>
        <v>OK</v>
      </c>
      <c r="L882" t="s">
        <v>1041</v>
      </c>
      <c r="M882">
        <v>5</v>
      </c>
      <c r="N882" s="2">
        <v>46011</v>
      </c>
      <c r="O882" s="2" t="s">
        <v>22</v>
      </c>
      <c r="P882" s="4">
        <f t="shared" ca="1" si="80"/>
        <v>8</v>
      </c>
      <c r="Q882" s="4" t="str">
        <f t="shared" ca="1" si="81"/>
        <v>6-10 Years</v>
      </c>
      <c r="R882">
        <f t="shared" ca="1" si="83"/>
        <v>0</v>
      </c>
      <c r="S882" t="s">
        <v>22</v>
      </c>
      <c r="T882">
        <v>2</v>
      </c>
      <c r="U882" t="s">
        <v>1394</v>
      </c>
      <c r="V882" t="s">
        <v>1394</v>
      </c>
      <c r="W882" t="s">
        <v>1394</v>
      </c>
      <c r="X882" s="3">
        <v>4</v>
      </c>
      <c r="Y882" t="s">
        <v>1395</v>
      </c>
      <c r="Z882">
        <v>33056</v>
      </c>
      <c r="AA882">
        <v>0.1</v>
      </c>
      <c r="AB882">
        <v>36361.600000000006</v>
      </c>
    </row>
    <row r="883" spans="1:28" x14ac:dyDescent="0.35">
      <c r="A883" t="str">
        <f t="shared" si="78"/>
        <v>EMP0882</v>
      </c>
      <c r="B883" t="str" cm="1">
        <f t="array" ref="B883">_xlfn.IFS(
ROW()&lt;=421,"NA",
ROW()&lt;=781,"LATAM",
ROW()&lt;=1021,"EMEA",
TRUE,"APAC"
)</f>
        <v>EMEA</v>
      </c>
      <c r="C883" t="str">
        <f t="shared" si="79"/>
        <v>Germany</v>
      </c>
      <c r="D883" t="s">
        <v>32</v>
      </c>
      <c r="E883" t="s">
        <v>145</v>
      </c>
      <c r="F883" t="s">
        <v>228</v>
      </c>
      <c r="G883" t="s">
        <v>28</v>
      </c>
      <c r="H883" s="2">
        <v>43133</v>
      </c>
      <c r="I883" t="s">
        <v>57</v>
      </c>
      <c r="J883" t="s">
        <v>33</v>
      </c>
      <c r="K883" t="str">
        <f t="shared" ca="1" si="82"/>
        <v>OK</v>
      </c>
      <c r="L883" t="s">
        <v>336</v>
      </c>
      <c r="M883">
        <v>4</v>
      </c>
      <c r="N883" s="2">
        <v>46005</v>
      </c>
      <c r="O883" s="2">
        <v>45249</v>
      </c>
      <c r="P883" s="4">
        <f t="shared" ca="1" si="80"/>
        <v>5</v>
      </c>
      <c r="Q883" s="4" t="str">
        <f t="shared" ca="1" si="81"/>
        <v>3-5 Years</v>
      </c>
      <c r="R883">
        <f t="shared" ca="1" si="83"/>
        <v>0</v>
      </c>
      <c r="S883" t="s">
        <v>24</v>
      </c>
      <c r="T883">
        <v>4</v>
      </c>
      <c r="U883" t="s">
        <v>1394</v>
      </c>
      <c r="V883" t="s">
        <v>1394</v>
      </c>
      <c r="W883" t="s">
        <v>1394</v>
      </c>
      <c r="X883" s="3">
        <v>2</v>
      </c>
      <c r="Y883" t="s">
        <v>1397</v>
      </c>
      <c r="Z883">
        <v>53940</v>
      </c>
      <c r="AA883">
        <v>0.15</v>
      </c>
      <c r="AB883">
        <v>62030.999999999993</v>
      </c>
    </row>
    <row r="884" spans="1:28" x14ac:dyDescent="0.35">
      <c r="A884" t="str">
        <f t="shared" si="78"/>
        <v>EMP0883</v>
      </c>
      <c r="B884" t="str" cm="1">
        <f t="array" ref="B884">_xlfn.IFS(
ROW()&lt;=421,"NA",
ROW()&lt;=781,"LATAM",
ROW()&lt;=1021,"EMEA",
TRUE,"APAC"
)</f>
        <v>EMEA</v>
      </c>
      <c r="C884" t="str">
        <f t="shared" si="79"/>
        <v>Germany</v>
      </c>
      <c r="D884" t="s">
        <v>41</v>
      </c>
      <c r="E884" t="s">
        <v>380</v>
      </c>
      <c r="F884" t="s">
        <v>399</v>
      </c>
      <c r="G884" t="s">
        <v>28</v>
      </c>
      <c r="H884" s="2">
        <v>43128</v>
      </c>
      <c r="I884" t="s">
        <v>29</v>
      </c>
      <c r="J884" t="s">
        <v>42</v>
      </c>
      <c r="K884" t="str">
        <f t="shared" ca="1" si="82"/>
        <v>OK</v>
      </c>
      <c r="L884" t="s">
        <v>529</v>
      </c>
      <c r="M884">
        <v>5</v>
      </c>
      <c r="N884" s="2">
        <v>46053</v>
      </c>
      <c r="O884" s="2" t="s">
        <v>22</v>
      </c>
      <c r="P884" s="4">
        <f t="shared" ca="1" si="80"/>
        <v>8</v>
      </c>
      <c r="Q884" s="4" t="str">
        <f t="shared" ca="1" si="81"/>
        <v>6-10 Years</v>
      </c>
      <c r="R884">
        <f t="shared" ca="1" si="83"/>
        <v>0</v>
      </c>
      <c r="S884" t="s">
        <v>22</v>
      </c>
      <c r="T884">
        <v>3</v>
      </c>
      <c r="U884" t="s">
        <v>1394</v>
      </c>
      <c r="V884" t="s">
        <v>1394</v>
      </c>
      <c r="W884" t="s">
        <v>1394</v>
      </c>
      <c r="X884" s="3">
        <v>4</v>
      </c>
      <c r="Y884" t="s">
        <v>1395</v>
      </c>
      <c r="Z884">
        <v>40660</v>
      </c>
      <c r="AA884">
        <v>0.1</v>
      </c>
      <c r="AB884">
        <v>44726</v>
      </c>
    </row>
    <row r="885" spans="1:28" x14ac:dyDescent="0.35">
      <c r="A885" t="str">
        <f t="shared" si="78"/>
        <v>EMP0884</v>
      </c>
      <c r="B885" t="str" cm="1">
        <f t="array" ref="B885">_xlfn.IFS(
ROW()&lt;=421,"NA",
ROW()&lt;=781,"LATAM",
ROW()&lt;=1021,"EMEA",
TRUE,"APAC"
)</f>
        <v>EMEA</v>
      </c>
      <c r="C885" t="str">
        <f t="shared" si="79"/>
        <v>Germany</v>
      </c>
      <c r="D885" t="s">
        <v>41</v>
      </c>
      <c r="E885" t="s">
        <v>380</v>
      </c>
      <c r="F885" t="s">
        <v>410</v>
      </c>
      <c r="G885" t="s">
        <v>28</v>
      </c>
      <c r="H885" s="2">
        <v>43118</v>
      </c>
      <c r="I885" t="s">
        <v>29</v>
      </c>
      <c r="J885" t="s">
        <v>42</v>
      </c>
      <c r="K885" t="str">
        <f t="shared" ca="1" si="82"/>
        <v>OK</v>
      </c>
      <c r="L885" t="s">
        <v>842</v>
      </c>
      <c r="M885">
        <v>5</v>
      </c>
      <c r="N885" s="2">
        <v>46052</v>
      </c>
      <c r="O885" s="2" t="s">
        <v>22</v>
      </c>
      <c r="P885" s="4">
        <f t="shared" ca="1" si="80"/>
        <v>8</v>
      </c>
      <c r="Q885" s="4" t="str">
        <f t="shared" ca="1" si="81"/>
        <v>6-10 Years</v>
      </c>
      <c r="R885">
        <f t="shared" ca="1" si="83"/>
        <v>0</v>
      </c>
      <c r="S885" t="s">
        <v>22</v>
      </c>
      <c r="T885">
        <v>4</v>
      </c>
      <c r="U885" t="s">
        <v>1394</v>
      </c>
      <c r="V885" t="s">
        <v>1394</v>
      </c>
      <c r="W885" t="s">
        <v>1394</v>
      </c>
      <c r="X885" s="3">
        <v>1</v>
      </c>
      <c r="Y885" t="s">
        <v>1397</v>
      </c>
      <c r="Z885">
        <v>24805</v>
      </c>
      <c r="AA885">
        <v>0.1</v>
      </c>
      <c r="AB885">
        <v>27285.500000000004</v>
      </c>
    </row>
    <row r="886" spans="1:28" x14ac:dyDescent="0.35">
      <c r="A886" t="str">
        <f t="shared" si="78"/>
        <v>EMP0885</v>
      </c>
      <c r="B886" t="str" cm="1">
        <f t="array" ref="B886">_xlfn.IFS(
ROW()&lt;=421,"NA",
ROW()&lt;=781,"LATAM",
ROW()&lt;=1021,"EMEA",
TRUE,"APAC"
)</f>
        <v>EMEA</v>
      </c>
      <c r="C886" t="str">
        <f t="shared" si="79"/>
        <v>Germany</v>
      </c>
      <c r="D886" t="s">
        <v>35</v>
      </c>
      <c r="E886" t="s">
        <v>145</v>
      </c>
      <c r="F886" t="s">
        <v>271</v>
      </c>
      <c r="G886" t="s">
        <v>28</v>
      </c>
      <c r="H886" s="2">
        <v>43115</v>
      </c>
      <c r="I886" t="s">
        <v>29</v>
      </c>
      <c r="J886" t="s">
        <v>36</v>
      </c>
      <c r="K886" t="str">
        <f t="shared" ca="1" si="82"/>
        <v>OK</v>
      </c>
      <c r="L886" t="s">
        <v>63</v>
      </c>
      <c r="M886">
        <v>4</v>
      </c>
      <c r="N886" s="2">
        <v>46017</v>
      </c>
      <c r="O886" s="2" t="s">
        <v>22</v>
      </c>
      <c r="P886" s="4">
        <f t="shared" ca="1" si="80"/>
        <v>8</v>
      </c>
      <c r="Q886" s="4" t="str">
        <f t="shared" ca="1" si="81"/>
        <v>6-10 Years</v>
      </c>
      <c r="R886">
        <f t="shared" ca="1" si="83"/>
        <v>0</v>
      </c>
      <c r="S886" t="s">
        <v>22</v>
      </c>
      <c r="T886">
        <v>5</v>
      </c>
      <c r="U886" t="s">
        <v>1394</v>
      </c>
      <c r="V886" t="s">
        <v>1394</v>
      </c>
      <c r="W886" t="s">
        <v>1394</v>
      </c>
      <c r="X886" s="3">
        <v>4</v>
      </c>
      <c r="Y886" t="s">
        <v>1395</v>
      </c>
      <c r="Z886">
        <v>65021</v>
      </c>
      <c r="AA886">
        <v>0.15</v>
      </c>
      <c r="AB886">
        <v>74774.149999999994</v>
      </c>
    </row>
    <row r="887" spans="1:28" x14ac:dyDescent="0.35">
      <c r="A887" t="str">
        <f t="shared" si="78"/>
        <v>EMP0886</v>
      </c>
      <c r="B887" t="str" cm="1">
        <f t="array" ref="B887">_xlfn.IFS(
ROW()&lt;=421,"NA",
ROW()&lt;=781,"LATAM",
ROW()&lt;=1021,"EMEA",
TRUE,"APAC"
)</f>
        <v>EMEA</v>
      </c>
      <c r="C887" t="str">
        <f t="shared" si="79"/>
        <v>Germany</v>
      </c>
      <c r="D887" t="s">
        <v>44</v>
      </c>
      <c r="E887" t="s">
        <v>380</v>
      </c>
      <c r="F887" t="s">
        <v>648</v>
      </c>
      <c r="G887" t="s">
        <v>28</v>
      </c>
      <c r="H887" s="2">
        <v>43114</v>
      </c>
      <c r="I887" t="s">
        <v>29</v>
      </c>
      <c r="J887" t="s">
        <v>47</v>
      </c>
      <c r="K887" t="str">
        <f t="shared" ca="1" si="82"/>
        <v>OK</v>
      </c>
      <c r="L887" t="s">
        <v>1269</v>
      </c>
      <c r="M887">
        <v>5</v>
      </c>
      <c r="N887" s="2">
        <v>46068</v>
      </c>
      <c r="O887" s="2" t="s">
        <v>22</v>
      </c>
      <c r="P887" s="4">
        <f t="shared" ca="1" si="80"/>
        <v>8</v>
      </c>
      <c r="Q887" s="4" t="str">
        <f t="shared" ca="1" si="81"/>
        <v>6-10 Years</v>
      </c>
      <c r="R887">
        <f t="shared" ca="1" si="83"/>
        <v>0</v>
      </c>
      <c r="S887" t="s">
        <v>22</v>
      </c>
      <c r="T887">
        <v>5</v>
      </c>
      <c r="U887" t="s">
        <v>1396</v>
      </c>
      <c r="V887" t="s">
        <v>1394</v>
      </c>
      <c r="W887" t="s">
        <v>1394</v>
      </c>
      <c r="X887" s="3">
        <v>4</v>
      </c>
      <c r="Y887" t="s">
        <v>1395</v>
      </c>
      <c r="Z887">
        <v>37160</v>
      </c>
      <c r="AA887">
        <v>0.1</v>
      </c>
      <c r="AB887">
        <v>40876</v>
      </c>
    </row>
    <row r="888" spans="1:28" x14ac:dyDescent="0.35">
      <c r="A888" t="str">
        <f t="shared" si="78"/>
        <v>EMP0887</v>
      </c>
      <c r="B888" t="str" cm="1">
        <f t="array" ref="B888">_xlfn.IFS(
ROW()&lt;=421,"NA",
ROW()&lt;=781,"LATAM",
ROW()&lt;=1021,"EMEA",
TRUE,"APAC"
)</f>
        <v>EMEA</v>
      </c>
      <c r="C888" t="str">
        <f t="shared" si="79"/>
        <v>Germany</v>
      </c>
      <c r="D888" t="s">
        <v>35</v>
      </c>
      <c r="E888" t="s">
        <v>380</v>
      </c>
      <c r="F888" t="s">
        <v>983</v>
      </c>
      <c r="G888" t="s">
        <v>28</v>
      </c>
      <c r="H888" s="2">
        <v>43110</v>
      </c>
      <c r="I888" t="s">
        <v>29</v>
      </c>
      <c r="J888" t="s">
        <v>36</v>
      </c>
      <c r="K888" t="str">
        <f t="shared" ca="1" si="82"/>
        <v>OK</v>
      </c>
      <c r="L888" t="s">
        <v>1049</v>
      </c>
      <c r="M888">
        <v>5</v>
      </c>
      <c r="N888" s="2">
        <v>46013</v>
      </c>
      <c r="O888" s="2" t="s">
        <v>22</v>
      </c>
      <c r="P888" s="4">
        <f t="shared" ca="1" si="80"/>
        <v>8</v>
      </c>
      <c r="Q888" s="4" t="str">
        <f t="shared" ca="1" si="81"/>
        <v>6-10 Years</v>
      </c>
      <c r="R888">
        <f t="shared" ca="1" si="83"/>
        <v>0</v>
      </c>
      <c r="S888" t="s">
        <v>22</v>
      </c>
      <c r="T888">
        <v>4</v>
      </c>
      <c r="U888" t="s">
        <v>1394</v>
      </c>
      <c r="V888" t="s">
        <v>1394</v>
      </c>
      <c r="W888" t="s">
        <v>1394</v>
      </c>
      <c r="X888" s="3">
        <v>4</v>
      </c>
      <c r="Y888" t="s">
        <v>1395</v>
      </c>
      <c r="Z888">
        <v>47226</v>
      </c>
      <c r="AA888">
        <v>0.1</v>
      </c>
      <c r="AB888">
        <v>51948.600000000006</v>
      </c>
    </row>
    <row r="889" spans="1:28" x14ac:dyDescent="0.35">
      <c r="A889" t="str">
        <f t="shared" si="78"/>
        <v>EMP0888</v>
      </c>
      <c r="B889" t="str" cm="1">
        <f t="array" ref="B889">_xlfn.IFS(
ROW()&lt;=421,"NA",
ROW()&lt;=781,"LATAM",
ROW()&lt;=1021,"EMEA",
TRUE,"APAC"
)</f>
        <v>EMEA</v>
      </c>
      <c r="C889" t="str">
        <f t="shared" si="79"/>
        <v>Germany</v>
      </c>
      <c r="D889" t="s">
        <v>26</v>
      </c>
      <c r="E889" t="s">
        <v>380</v>
      </c>
      <c r="F889" t="s">
        <v>666</v>
      </c>
      <c r="G889" t="s">
        <v>28</v>
      </c>
      <c r="H889" s="2">
        <v>43108</v>
      </c>
      <c r="I889" t="s">
        <v>29</v>
      </c>
      <c r="J889" t="s">
        <v>30</v>
      </c>
      <c r="K889" t="str">
        <f t="shared" ca="1" si="82"/>
        <v>OK</v>
      </c>
      <c r="L889" t="s">
        <v>667</v>
      </c>
      <c r="M889">
        <v>5</v>
      </c>
      <c r="N889" s="2">
        <v>46014</v>
      </c>
      <c r="O889" s="2" t="s">
        <v>22</v>
      </c>
      <c r="P889" s="4">
        <f t="shared" ca="1" si="80"/>
        <v>8</v>
      </c>
      <c r="Q889" s="4" t="str">
        <f t="shared" ca="1" si="81"/>
        <v>6-10 Years</v>
      </c>
      <c r="R889">
        <f t="shared" ca="1" si="83"/>
        <v>0</v>
      </c>
      <c r="S889" t="s">
        <v>22</v>
      </c>
      <c r="T889">
        <v>4</v>
      </c>
      <c r="U889" t="s">
        <v>1396</v>
      </c>
      <c r="V889" t="s">
        <v>1394</v>
      </c>
      <c r="W889" t="s">
        <v>1394</v>
      </c>
      <c r="X889" s="3">
        <v>4</v>
      </c>
      <c r="Y889" t="s">
        <v>1395</v>
      </c>
      <c r="Z889">
        <v>41200</v>
      </c>
      <c r="AA889">
        <v>0.1</v>
      </c>
      <c r="AB889">
        <v>45320.000000000007</v>
      </c>
    </row>
    <row r="890" spans="1:28" x14ac:dyDescent="0.35">
      <c r="A890" t="str">
        <f t="shared" si="78"/>
        <v>EMP0889</v>
      </c>
      <c r="B890" t="str" cm="1">
        <f t="array" ref="B890">_xlfn.IFS(
ROW()&lt;=421,"NA",
ROW()&lt;=781,"LATAM",
ROW()&lt;=1021,"EMEA",
TRUE,"APAC"
)</f>
        <v>EMEA</v>
      </c>
      <c r="C890" t="str">
        <f t="shared" si="79"/>
        <v>Germany</v>
      </c>
      <c r="D890" t="s">
        <v>26</v>
      </c>
      <c r="E890" t="s">
        <v>380</v>
      </c>
      <c r="F890" t="s">
        <v>566</v>
      </c>
      <c r="G890" t="s">
        <v>53</v>
      </c>
      <c r="H890" s="2">
        <v>43107</v>
      </c>
      <c r="I890" t="s">
        <v>57</v>
      </c>
      <c r="J890" t="s">
        <v>30</v>
      </c>
      <c r="K890" t="str">
        <f t="shared" ca="1" si="82"/>
        <v>OK</v>
      </c>
      <c r="L890" t="s">
        <v>864</v>
      </c>
      <c r="M890">
        <v>5</v>
      </c>
      <c r="N890" s="2">
        <v>45999</v>
      </c>
      <c r="O890" s="2">
        <v>44418</v>
      </c>
      <c r="P890" s="4">
        <f t="shared" ca="1" si="80"/>
        <v>3</v>
      </c>
      <c r="Q890" s="4" t="str">
        <f t="shared" ca="1" si="81"/>
        <v>3-5 Years</v>
      </c>
      <c r="R890">
        <f t="shared" ca="1" si="83"/>
        <v>0</v>
      </c>
      <c r="S890" t="s">
        <v>23</v>
      </c>
      <c r="T890">
        <v>3</v>
      </c>
      <c r="U890" t="s">
        <v>1394</v>
      </c>
      <c r="V890" t="s">
        <v>1394</v>
      </c>
      <c r="W890" t="s">
        <v>1394</v>
      </c>
      <c r="X890" s="3">
        <v>1</v>
      </c>
      <c r="Y890" t="s">
        <v>1397</v>
      </c>
      <c r="Z890">
        <v>33290</v>
      </c>
      <c r="AA890">
        <v>0.1</v>
      </c>
      <c r="AB890">
        <v>36619</v>
      </c>
    </row>
    <row r="891" spans="1:28" x14ac:dyDescent="0.35">
      <c r="A891" t="str">
        <f t="shared" si="78"/>
        <v>EMP0890</v>
      </c>
      <c r="B891" t="str" cm="1">
        <f t="array" ref="B891">_xlfn.IFS(
ROW()&lt;=421,"NA",
ROW()&lt;=781,"LATAM",
ROW()&lt;=1021,"EMEA",
TRUE,"APAC"
)</f>
        <v>EMEA</v>
      </c>
      <c r="C891" t="str">
        <f t="shared" si="79"/>
        <v>Germany</v>
      </c>
      <c r="D891" t="s">
        <v>32</v>
      </c>
      <c r="E891" t="s">
        <v>145</v>
      </c>
      <c r="F891" t="s">
        <v>156</v>
      </c>
      <c r="G891" t="s">
        <v>28</v>
      </c>
      <c r="H891" s="2">
        <v>43101</v>
      </c>
      <c r="I891" t="s">
        <v>29</v>
      </c>
      <c r="J891" t="s">
        <v>33</v>
      </c>
      <c r="K891" t="str">
        <f t="shared" ca="1" si="82"/>
        <v>OK</v>
      </c>
      <c r="L891" t="s">
        <v>224</v>
      </c>
      <c r="M891">
        <v>4</v>
      </c>
      <c r="N891" s="2">
        <v>46022</v>
      </c>
      <c r="O891" s="2" t="s">
        <v>22</v>
      </c>
      <c r="P891" s="4">
        <f t="shared" ca="1" si="80"/>
        <v>8</v>
      </c>
      <c r="Q891" s="4" t="str">
        <f t="shared" ca="1" si="81"/>
        <v>6-10 Years</v>
      </c>
      <c r="R891">
        <f t="shared" ca="1" si="83"/>
        <v>0</v>
      </c>
      <c r="S891" t="s">
        <v>22</v>
      </c>
      <c r="T891">
        <v>3</v>
      </c>
      <c r="U891" t="s">
        <v>1394</v>
      </c>
      <c r="V891" t="s">
        <v>1396</v>
      </c>
      <c r="W891" t="s">
        <v>1396</v>
      </c>
      <c r="X891" s="3">
        <v>1</v>
      </c>
      <c r="Y891" t="s">
        <v>1397</v>
      </c>
      <c r="Z891">
        <v>80435</v>
      </c>
      <c r="AA891">
        <v>0.15</v>
      </c>
      <c r="AB891">
        <v>92500.25</v>
      </c>
    </row>
    <row r="892" spans="1:28" x14ac:dyDescent="0.35">
      <c r="A892" t="str">
        <f t="shared" si="78"/>
        <v>EMP0891</v>
      </c>
      <c r="B892" t="str" cm="1">
        <f t="array" ref="B892">_xlfn.IFS(
ROW()&lt;=421,"NA",
ROW()&lt;=781,"LATAM",
ROW()&lt;=1021,"EMEA",
TRUE,"APAC"
)</f>
        <v>EMEA</v>
      </c>
      <c r="C892" t="str">
        <f t="shared" si="79"/>
        <v>Germany</v>
      </c>
      <c r="D892" t="s">
        <v>26</v>
      </c>
      <c r="E892" t="s">
        <v>380</v>
      </c>
      <c r="F892" t="s">
        <v>752</v>
      </c>
      <c r="G892" t="s">
        <v>28</v>
      </c>
      <c r="H892" s="2">
        <v>43090</v>
      </c>
      <c r="I892" t="s">
        <v>29</v>
      </c>
      <c r="J892" t="s">
        <v>30</v>
      </c>
      <c r="K892" t="str">
        <f t="shared" ca="1" si="82"/>
        <v>OK</v>
      </c>
      <c r="L892" t="s">
        <v>805</v>
      </c>
      <c r="M892">
        <v>5</v>
      </c>
      <c r="N892" s="2">
        <v>46045</v>
      </c>
      <c r="O892" s="2" t="s">
        <v>22</v>
      </c>
      <c r="P892" s="4">
        <f t="shared" ca="1" si="80"/>
        <v>8</v>
      </c>
      <c r="Q892" s="4" t="str">
        <f t="shared" ca="1" si="81"/>
        <v>6-10 Years</v>
      </c>
      <c r="R892">
        <f t="shared" ca="1" si="83"/>
        <v>0</v>
      </c>
      <c r="S892" t="s">
        <v>22</v>
      </c>
      <c r="T892">
        <v>4</v>
      </c>
      <c r="U892" t="s">
        <v>1396</v>
      </c>
      <c r="V892" t="s">
        <v>1394</v>
      </c>
      <c r="W892" t="s">
        <v>1394</v>
      </c>
      <c r="X892" s="3">
        <v>3</v>
      </c>
      <c r="Y892" t="s">
        <v>1398</v>
      </c>
      <c r="Z892">
        <v>28723</v>
      </c>
      <c r="AA892">
        <v>0.1</v>
      </c>
      <c r="AB892">
        <v>31595.300000000003</v>
      </c>
    </row>
    <row r="893" spans="1:28" x14ac:dyDescent="0.35">
      <c r="A893" t="str">
        <f t="shared" si="78"/>
        <v>EMP0892</v>
      </c>
      <c r="B893" t="str" cm="1">
        <f t="array" ref="B893">_xlfn.IFS(
ROW()&lt;=421,"NA",
ROW()&lt;=781,"LATAM",
ROW()&lt;=1021,"EMEA",
TRUE,"APAC"
)</f>
        <v>EMEA</v>
      </c>
      <c r="C893" t="str">
        <f t="shared" si="79"/>
        <v>Germany</v>
      </c>
      <c r="D893" t="s">
        <v>38</v>
      </c>
      <c r="E893" t="s">
        <v>145</v>
      </c>
      <c r="F893" t="s">
        <v>312</v>
      </c>
      <c r="G893" t="s">
        <v>28</v>
      </c>
      <c r="H893" s="2">
        <v>43088</v>
      </c>
      <c r="I893" t="s">
        <v>29</v>
      </c>
      <c r="J893" t="s">
        <v>39</v>
      </c>
      <c r="K893" t="str">
        <f t="shared" ca="1" si="82"/>
        <v>OK</v>
      </c>
      <c r="L893" t="s">
        <v>363</v>
      </c>
      <c r="M893">
        <v>4</v>
      </c>
      <c r="N893" s="2">
        <v>46006</v>
      </c>
      <c r="O893" s="2" t="s">
        <v>22</v>
      </c>
      <c r="P893" s="4">
        <f t="shared" ca="1" si="80"/>
        <v>8</v>
      </c>
      <c r="Q893" s="4" t="str">
        <f t="shared" ca="1" si="81"/>
        <v>6-10 Years</v>
      </c>
      <c r="R893">
        <f t="shared" ca="1" si="83"/>
        <v>0</v>
      </c>
      <c r="S893" t="s">
        <v>22</v>
      </c>
      <c r="T893">
        <v>3</v>
      </c>
      <c r="U893" t="s">
        <v>1394</v>
      </c>
      <c r="V893" t="s">
        <v>1394</v>
      </c>
      <c r="W893" t="s">
        <v>1394</v>
      </c>
      <c r="X893" s="3">
        <v>1</v>
      </c>
      <c r="Y893" t="s">
        <v>1397</v>
      </c>
      <c r="Z893">
        <v>71343</v>
      </c>
      <c r="AA893">
        <v>0.15</v>
      </c>
      <c r="AB893">
        <v>82044.45</v>
      </c>
    </row>
    <row r="894" spans="1:28" x14ac:dyDescent="0.35">
      <c r="A894" t="str">
        <f t="shared" si="78"/>
        <v>EMP0893</v>
      </c>
      <c r="B894" t="str" cm="1">
        <f t="array" ref="B894">_xlfn.IFS(
ROW()&lt;=421,"NA",
ROW()&lt;=781,"LATAM",
ROW()&lt;=1021,"EMEA",
TRUE,"APAC"
)</f>
        <v>EMEA</v>
      </c>
      <c r="C894" t="str">
        <f t="shared" si="79"/>
        <v>Germany</v>
      </c>
      <c r="D894" t="s">
        <v>41</v>
      </c>
      <c r="E894" t="s">
        <v>380</v>
      </c>
      <c r="F894" t="s">
        <v>663</v>
      </c>
      <c r="G894" t="s">
        <v>28</v>
      </c>
      <c r="H894" s="2">
        <v>43086</v>
      </c>
      <c r="I894" t="s">
        <v>29</v>
      </c>
      <c r="J894" t="s">
        <v>42</v>
      </c>
      <c r="K894" t="str">
        <f t="shared" ca="1" si="82"/>
        <v>OK</v>
      </c>
      <c r="L894" t="s">
        <v>863</v>
      </c>
      <c r="M894">
        <v>5</v>
      </c>
      <c r="N894" s="2">
        <v>46034</v>
      </c>
      <c r="O894" s="2" t="s">
        <v>22</v>
      </c>
      <c r="P894" s="4">
        <f t="shared" ca="1" si="80"/>
        <v>8</v>
      </c>
      <c r="Q894" s="4" t="str">
        <f t="shared" ca="1" si="81"/>
        <v>6-10 Years</v>
      </c>
      <c r="R894">
        <f t="shared" ca="1" si="83"/>
        <v>0</v>
      </c>
      <c r="S894" t="s">
        <v>22</v>
      </c>
      <c r="T894">
        <v>5</v>
      </c>
      <c r="U894" t="s">
        <v>1396</v>
      </c>
      <c r="V894" t="s">
        <v>1394</v>
      </c>
      <c r="W894" t="s">
        <v>1394</v>
      </c>
      <c r="X894" s="3">
        <v>1</v>
      </c>
      <c r="Y894" t="s">
        <v>1397</v>
      </c>
      <c r="Z894">
        <v>25091</v>
      </c>
      <c r="AA894">
        <v>0.1</v>
      </c>
      <c r="AB894">
        <v>27600.100000000002</v>
      </c>
    </row>
    <row r="895" spans="1:28" x14ac:dyDescent="0.35">
      <c r="A895" t="str">
        <f t="shared" si="78"/>
        <v>EMP0894</v>
      </c>
      <c r="B895" t="str" cm="1">
        <f t="array" ref="B895">_xlfn.IFS(
ROW()&lt;=421,"NA",
ROW()&lt;=781,"LATAM",
ROW()&lt;=1021,"EMEA",
TRUE,"APAC"
)</f>
        <v>EMEA</v>
      </c>
      <c r="C895" t="str">
        <f t="shared" si="79"/>
        <v>Germany</v>
      </c>
      <c r="D895" t="s">
        <v>41</v>
      </c>
      <c r="E895" t="s">
        <v>145</v>
      </c>
      <c r="F895" t="s">
        <v>150</v>
      </c>
      <c r="G895" t="s">
        <v>28</v>
      </c>
      <c r="H895" s="2">
        <v>43077</v>
      </c>
      <c r="I895" t="s">
        <v>29</v>
      </c>
      <c r="J895" t="s">
        <v>42</v>
      </c>
      <c r="K895" t="str">
        <f t="shared" ca="1" si="82"/>
        <v>OK</v>
      </c>
      <c r="L895" t="s">
        <v>151</v>
      </c>
      <c r="M895">
        <v>4</v>
      </c>
      <c r="N895" s="2">
        <v>46018</v>
      </c>
      <c r="O895" s="2" t="s">
        <v>22</v>
      </c>
      <c r="P895" s="4">
        <f t="shared" ca="1" si="80"/>
        <v>8</v>
      </c>
      <c r="Q895" s="4" t="str">
        <f t="shared" ca="1" si="81"/>
        <v>6-10 Years</v>
      </c>
      <c r="R895">
        <f t="shared" ca="1" si="83"/>
        <v>0</v>
      </c>
      <c r="S895" t="s">
        <v>22</v>
      </c>
      <c r="T895">
        <v>3</v>
      </c>
      <c r="U895" t="s">
        <v>1394</v>
      </c>
      <c r="V895" t="s">
        <v>1394</v>
      </c>
      <c r="W895" t="s">
        <v>1394</v>
      </c>
      <c r="X895" s="3">
        <v>3</v>
      </c>
      <c r="Y895" t="s">
        <v>1398</v>
      </c>
      <c r="Z895">
        <v>66870</v>
      </c>
      <c r="AA895">
        <v>0.15</v>
      </c>
      <c r="AB895">
        <v>76900.5</v>
      </c>
    </row>
    <row r="896" spans="1:28" x14ac:dyDescent="0.35">
      <c r="A896" t="str">
        <f t="shared" si="78"/>
        <v>EMP0895</v>
      </c>
      <c r="B896" t="str" cm="1">
        <f t="array" ref="B896">_xlfn.IFS(
ROW()&lt;=421,"NA",
ROW()&lt;=781,"LATAM",
ROW()&lt;=1021,"EMEA",
TRUE,"APAC"
)</f>
        <v>EMEA</v>
      </c>
      <c r="C896" t="str">
        <f t="shared" si="79"/>
        <v>Germany</v>
      </c>
      <c r="D896" t="s">
        <v>35</v>
      </c>
      <c r="E896" t="s">
        <v>380</v>
      </c>
      <c r="F896" t="s">
        <v>904</v>
      </c>
      <c r="G896" t="s">
        <v>53</v>
      </c>
      <c r="H896" s="2">
        <v>43076</v>
      </c>
      <c r="I896" t="s">
        <v>29</v>
      </c>
      <c r="J896" t="s">
        <v>36</v>
      </c>
      <c r="K896" t="str">
        <f t="shared" ca="1" si="82"/>
        <v>OK</v>
      </c>
      <c r="L896" t="s">
        <v>1242</v>
      </c>
      <c r="M896">
        <v>5</v>
      </c>
      <c r="N896" s="2">
        <v>46022</v>
      </c>
      <c r="O896" s="2" t="s">
        <v>22</v>
      </c>
      <c r="P896" s="4">
        <f t="shared" ca="1" si="80"/>
        <v>8</v>
      </c>
      <c r="Q896" s="4" t="str">
        <f t="shared" ca="1" si="81"/>
        <v>6-10 Years</v>
      </c>
      <c r="R896">
        <f t="shared" ca="1" si="83"/>
        <v>0</v>
      </c>
      <c r="S896" t="s">
        <v>22</v>
      </c>
      <c r="T896">
        <v>4</v>
      </c>
      <c r="U896" t="s">
        <v>1394</v>
      </c>
      <c r="V896" t="s">
        <v>1394</v>
      </c>
      <c r="W896" t="s">
        <v>1394</v>
      </c>
      <c r="X896" s="3">
        <v>1</v>
      </c>
      <c r="Y896" t="s">
        <v>1397</v>
      </c>
      <c r="Z896">
        <v>46472</v>
      </c>
      <c r="AA896">
        <v>0.1</v>
      </c>
      <c r="AB896">
        <v>51119.200000000004</v>
      </c>
    </row>
    <row r="897" spans="1:28" x14ac:dyDescent="0.35">
      <c r="A897" t="str">
        <f t="shared" si="78"/>
        <v>EMP0896</v>
      </c>
      <c r="B897" t="str" cm="1">
        <f t="array" ref="B897">_xlfn.IFS(
ROW()&lt;=421,"NA",
ROW()&lt;=781,"LATAM",
ROW()&lt;=1021,"EMEA",
TRUE,"APAC"
)</f>
        <v>EMEA</v>
      </c>
      <c r="C897" t="str">
        <f t="shared" si="79"/>
        <v>Germany</v>
      </c>
      <c r="D897" t="s">
        <v>32</v>
      </c>
      <c r="E897" t="s">
        <v>380</v>
      </c>
      <c r="F897" t="s">
        <v>464</v>
      </c>
      <c r="G897" t="s">
        <v>28</v>
      </c>
      <c r="H897" s="2">
        <v>43064</v>
      </c>
      <c r="I897" t="s">
        <v>29</v>
      </c>
      <c r="J897" t="s">
        <v>33</v>
      </c>
      <c r="K897" t="str">
        <f t="shared" ca="1" si="82"/>
        <v>OK</v>
      </c>
      <c r="L897" t="s">
        <v>1224</v>
      </c>
      <c r="M897">
        <v>5</v>
      </c>
      <c r="N897" s="2">
        <v>46008</v>
      </c>
      <c r="O897" s="2" t="s">
        <v>22</v>
      </c>
      <c r="P897" s="4">
        <f t="shared" ca="1" si="80"/>
        <v>8</v>
      </c>
      <c r="Q897" s="4" t="str">
        <f t="shared" ca="1" si="81"/>
        <v>6-10 Years</v>
      </c>
      <c r="R897">
        <f t="shared" ca="1" si="83"/>
        <v>0</v>
      </c>
      <c r="S897" t="s">
        <v>22</v>
      </c>
      <c r="T897">
        <v>2</v>
      </c>
      <c r="U897" t="s">
        <v>1394</v>
      </c>
      <c r="V897" t="s">
        <v>1394</v>
      </c>
      <c r="W897" t="s">
        <v>1394</v>
      </c>
      <c r="X897" s="3">
        <v>3</v>
      </c>
      <c r="Y897" t="s">
        <v>1398</v>
      </c>
      <c r="Z897">
        <v>24321</v>
      </c>
      <c r="AA897">
        <v>0.1</v>
      </c>
      <c r="AB897">
        <v>26753.100000000002</v>
      </c>
    </row>
    <row r="898" spans="1:28" x14ac:dyDescent="0.35">
      <c r="A898" t="str">
        <f t="shared" ref="A898:A961" si="84">"EMP"&amp;TEXT(ROW()-1,"0000")</f>
        <v>EMP0897</v>
      </c>
      <c r="B898" t="str" cm="1">
        <f t="array" ref="B898">_xlfn.IFS(
ROW()&lt;=421,"NA",
ROW()&lt;=781,"LATAM",
ROW()&lt;=1021,"EMEA",
TRUE,"APAC"
)</f>
        <v>EMEA</v>
      </c>
      <c r="C898" t="str">
        <f t="shared" ref="C898:C961" si="85">IF(B898="NA","USA",
IF(B898="LATAM","Mexico",
IF(B898="EMEA","Germany","Singapore")))</f>
        <v>Germany</v>
      </c>
      <c r="D898" t="s">
        <v>44</v>
      </c>
      <c r="E898" t="s">
        <v>380</v>
      </c>
      <c r="F898" t="s">
        <v>562</v>
      </c>
      <c r="G898" t="s">
        <v>28</v>
      </c>
      <c r="H898" s="2">
        <v>43063</v>
      </c>
      <c r="I898" t="s">
        <v>29</v>
      </c>
      <c r="J898" t="s">
        <v>47</v>
      </c>
      <c r="K898" t="str">
        <f t="shared" ca="1" si="82"/>
        <v>OK</v>
      </c>
      <c r="L898" t="s">
        <v>1355</v>
      </c>
      <c r="M898">
        <v>5</v>
      </c>
      <c r="N898" s="2">
        <v>46023</v>
      </c>
      <c r="O898" s="2" t="s">
        <v>22</v>
      </c>
      <c r="P898" s="4">
        <f t="shared" ref="P898:P961" ca="1" si="86">IF(H898&gt;TODAY(),
"",
IF(I898="Active",
DATEDIF(H898,TODAY(),"Y"),
DATEDIF(H898,O898,"Y")
))</f>
        <v>8</v>
      </c>
      <c r="Q898" s="4" t="str">
        <f t="shared" ref="Q898:Q961" ca="1" si="87">IF(P898&lt;=2,"0-2 Years",
IF(P898&lt;=5,"3-5 Years",
IF(P898&lt;=10,"6-10 Years","10+ Years")))</f>
        <v>6-10 Years</v>
      </c>
      <c r="R898">
        <f t="shared" ca="1" si="83"/>
        <v>0</v>
      </c>
      <c r="S898" t="s">
        <v>22</v>
      </c>
      <c r="T898">
        <v>3</v>
      </c>
      <c r="U898" t="s">
        <v>1394</v>
      </c>
      <c r="V898" t="s">
        <v>1396</v>
      </c>
      <c r="W898" t="s">
        <v>1394</v>
      </c>
      <c r="X898" s="3">
        <v>2</v>
      </c>
      <c r="Y898" t="s">
        <v>1397</v>
      </c>
      <c r="Z898">
        <v>35914</v>
      </c>
      <c r="AA898">
        <v>0.1</v>
      </c>
      <c r="AB898">
        <v>39505.4</v>
      </c>
    </row>
    <row r="899" spans="1:28" x14ac:dyDescent="0.35">
      <c r="A899" t="str">
        <f t="shared" si="84"/>
        <v>EMP0898</v>
      </c>
      <c r="B899" t="str" cm="1">
        <f t="array" ref="B899">_xlfn.IFS(
ROW()&lt;=421,"NA",
ROW()&lt;=781,"LATAM",
ROW()&lt;=1021,"EMEA",
TRUE,"APAC"
)</f>
        <v>EMEA</v>
      </c>
      <c r="C899" t="str">
        <f t="shared" si="85"/>
        <v>Germany</v>
      </c>
      <c r="D899" t="s">
        <v>44</v>
      </c>
      <c r="E899" t="s">
        <v>380</v>
      </c>
      <c r="F899" t="s">
        <v>706</v>
      </c>
      <c r="G899" t="s">
        <v>28</v>
      </c>
      <c r="H899" s="2">
        <v>43061</v>
      </c>
      <c r="I899" t="s">
        <v>29</v>
      </c>
      <c r="J899" t="s">
        <v>47</v>
      </c>
      <c r="K899" t="str">
        <f t="shared" ref="K899:K962" ca="1" si="88">IF(
OR(
H899="",
I899="",
AND(I899="Inactive",O899=""),
H899&gt;TODAY(),
Z899="",
F899="",
D899="",
X899&lt;1
),
"⚠ Review",
"OK"
)</f>
        <v>OK</v>
      </c>
      <c r="L899" t="s">
        <v>1254</v>
      </c>
      <c r="M899">
        <v>5</v>
      </c>
      <c r="N899" s="2">
        <v>46052</v>
      </c>
      <c r="O899" s="2" t="s">
        <v>22</v>
      </c>
      <c r="P899" s="4">
        <f t="shared" ca="1" si="86"/>
        <v>8</v>
      </c>
      <c r="Q899" s="4" t="str">
        <f t="shared" ca="1" si="87"/>
        <v>6-10 Years</v>
      </c>
      <c r="R899">
        <f t="shared" ref="R899:R962" ca="1" si="89">IF(P899&lt;=2,1,0)</f>
        <v>0</v>
      </c>
      <c r="S899" t="s">
        <v>22</v>
      </c>
      <c r="T899">
        <v>3</v>
      </c>
      <c r="U899" t="s">
        <v>1394</v>
      </c>
      <c r="V899" t="s">
        <v>1394</v>
      </c>
      <c r="W899" t="s">
        <v>1394</v>
      </c>
      <c r="X899" s="3">
        <v>1</v>
      </c>
      <c r="Y899" t="s">
        <v>1397</v>
      </c>
      <c r="Z899">
        <v>23954</v>
      </c>
      <c r="AA899">
        <v>0.1</v>
      </c>
      <c r="AB899">
        <v>26349.4</v>
      </c>
    </row>
    <row r="900" spans="1:28" x14ac:dyDescent="0.35">
      <c r="A900" t="str">
        <f t="shared" si="84"/>
        <v>EMP0899</v>
      </c>
      <c r="B900" t="str" cm="1">
        <f t="array" ref="B900">_xlfn.IFS(
ROW()&lt;=421,"NA",
ROW()&lt;=781,"LATAM",
ROW()&lt;=1021,"EMEA",
TRUE,"APAC"
)</f>
        <v>EMEA</v>
      </c>
      <c r="C900" t="str">
        <f t="shared" si="85"/>
        <v>Germany</v>
      </c>
      <c r="D900" t="s">
        <v>26</v>
      </c>
      <c r="E900" t="s">
        <v>380</v>
      </c>
      <c r="F900" t="s">
        <v>648</v>
      </c>
      <c r="G900" t="s">
        <v>28</v>
      </c>
      <c r="H900" s="2">
        <v>43061</v>
      </c>
      <c r="I900" t="s">
        <v>29</v>
      </c>
      <c r="J900" t="s">
        <v>30</v>
      </c>
      <c r="K900" t="str">
        <f t="shared" ca="1" si="88"/>
        <v>OK</v>
      </c>
      <c r="L900" t="s">
        <v>1345</v>
      </c>
      <c r="M900">
        <v>5</v>
      </c>
      <c r="N900" s="2">
        <v>46078</v>
      </c>
      <c r="O900" s="2" t="s">
        <v>22</v>
      </c>
      <c r="P900" s="4">
        <f t="shared" ca="1" si="86"/>
        <v>8</v>
      </c>
      <c r="Q900" s="4" t="str">
        <f t="shared" ca="1" si="87"/>
        <v>6-10 Years</v>
      </c>
      <c r="R900">
        <f t="shared" ca="1" si="89"/>
        <v>0</v>
      </c>
      <c r="S900" t="s">
        <v>22</v>
      </c>
      <c r="T900">
        <v>4</v>
      </c>
      <c r="U900" t="s">
        <v>1394</v>
      </c>
      <c r="V900" t="s">
        <v>1394</v>
      </c>
      <c r="W900" t="s">
        <v>1394</v>
      </c>
      <c r="X900" s="3">
        <v>1</v>
      </c>
      <c r="Y900" t="s">
        <v>1397</v>
      </c>
      <c r="Z900">
        <v>49902</v>
      </c>
      <c r="AA900">
        <v>0.1</v>
      </c>
      <c r="AB900">
        <v>54892.200000000004</v>
      </c>
    </row>
    <row r="901" spans="1:28" x14ac:dyDescent="0.35">
      <c r="A901" t="str">
        <f t="shared" si="84"/>
        <v>EMP0900</v>
      </c>
      <c r="B901" t="str" cm="1">
        <f t="array" ref="B901">_xlfn.IFS(
ROW()&lt;=421,"NA",
ROW()&lt;=781,"LATAM",
ROW()&lt;=1021,"EMEA",
TRUE,"APAC"
)</f>
        <v>EMEA</v>
      </c>
      <c r="C901" t="str">
        <f t="shared" si="85"/>
        <v>Germany</v>
      </c>
      <c r="D901" t="s">
        <v>41</v>
      </c>
      <c r="E901" t="s">
        <v>380</v>
      </c>
      <c r="F901" t="s">
        <v>479</v>
      </c>
      <c r="G901" t="s">
        <v>28</v>
      </c>
      <c r="H901" s="2">
        <v>43059</v>
      </c>
      <c r="I901" t="s">
        <v>29</v>
      </c>
      <c r="J901" t="s">
        <v>42</v>
      </c>
      <c r="K901" t="str">
        <f t="shared" ca="1" si="88"/>
        <v>OK</v>
      </c>
      <c r="L901" t="s">
        <v>1297</v>
      </c>
      <c r="M901">
        <v>5</v>
      </c>
      <c r="N901" s="2">
        <v>46001</v>
      </c>
      <c r="O901" s="2" t="s">
        <v>22</v>
      </c>
      <c r="P901" s="4">
        <f t="shared" ca="1" si="86"/>
        <v>8</v>
      </c>
      <c r="Q901" s="4" t="str">
        <f t="shared" ca="1" si="87"/>
        <v>6-10 Years</v>
      </c>
      <c r="R901">
        <f t="shared" ca="1" si="89"/>
        <v>0</v>
      </c>
      <c r="S901" t="s">
        <v>22</v>
      </c>
      <c r="T901">
        <v>4</v>
      </c>
      <c r="U901" t="s">
        <v>1394</v>
      </c>
      <c r="V901" t="s">
        <v>1394</v>
      </c>
      <c r="W901" t="s">
        <v>1394</v>
      </c>
      <c r="X901" s="3">
        <v>5</v>
      </c>
      <c r="Y901" t="s">
        <v>1395</v>
      </c>
      <c r="Z901">
        <v>49353</v>
      </c>
      <c r="AA901">
        <v>0.1</v>
      </c>
      <c r="AB901">
        <v>54288.3</v>
      </c>
    </row>
    <row r="902" spans="1:28" x14ac:dyDescent="0.35">
      <c r="A902" t="str">
        <f t="shared" si="84"/>
        <v>EMP0901</v>
      </c>
      <c r="B902" t="str" cm="1">
        <f t="array" ref="B902">_xlfn.IFS(
ROW()&lt;=421,"NA",
ROW()&lt;=781,"LATAM",
ROW()&lt;=1021,"EMEA",
TRUE,"APAC"
)</f>
        <v>EMEA</v>
      </c>
      <c r="C902" t="str">
        <f t="shared" si="85"/>
        <v>Germany</v>
      </c>
      <c r="D902" t="s">
        <v>44</v>
      </c>
      <c r="E902" t="s">
        <v>380</v>
      </c>
      <c r="F902" t="s">
        <v>648</v>
      </c>
      <c r="G902" t="s">
        <v>28</v>
      </c>
      <c r="H902" s="2">
        <v>43055</v>
      </c>
      <c r="I902" t="s">
        <v>29</v>
      </c>
      <c r="J902" t="s">
        <v>47</v>
      </c>
      <c r="K902" t="str">
        <f t="shared" ca="1" si="88"/>
        <v>OK</v>
      </c>
      <c r="L902" t="s">
        <v>730</v>
      </c>
      <c r="M902">
        <v>5</v>
      </c>
      <c r="N902" s="2">
        <v>46073</v>
      </c>
      <c r="O902" s="2" t="s">
        <v>22</v>
      </c>
      <c r="P902" s="4">
        <f t="shared" ca="1" si="86"/>
        <v>8</v>
      </c>
      <c r="Q902" s="4" t="str">
        <f t="shared" ca="1" si="87"/>
        <v>6-10 Years</v>
      </c>
      <c r="R902">
        <f t="shared" ca="1" si="89"/>
        <v>0</v>
      </c>
      <c r="S902" t="s">
        <v>22</v>
      </c>
      <c r="T902">
        <v>2</v>
      </c>
      <c r="U902" t="s">
        <v>1394</v>
      </c>
      <c r="V902" t="s">
        <v>1394</v>
      </c>
      <c r="W902" t="s">
        <v>1394</v>
      </c>
      <c r="X902" s="3">
        <v>3</v>
      </c>
      <c r="Y902" t="s">
        <v>1398</v>
      </c>
      <c r="Z902">
        <v>30752</v>
      </c>
      <c r="AA902">
        <v>0.1</v>
      </c>
      <c r="AB902">
        <v>33827.200000000004</v>
      </c>
    </row>
    <row r="903" spans="1:28" x14ac:dyDescent="0.35">
      <c r="A903" t="str">
        <f t="shared" si="84"/>
        <v>EMP0902</v>
      </c>
      <c r="B903" t="str" cm="1">
        <f t="array" ref="B903">_xlfn.IFS(
ROW()&lt;=421,"NA",
ROW()&lt;=781,"LATAM",
ROW()&lt;=1021,"EMEA",
TRUE,"APAC"
)</f>
        <v>EMEA</v>
      </c>
      <c r="C903" t="str">
        <f t="shared" si="85"/>
        <v>Germany</v>
      </c>
      <c r="D903" t="s">
        <v>41</v>
      </c>
      <c r="E903" t="s">
        <v>69</v>
      </c>
      <c r="F903" t="s">
        <v>88</v>
      </c>
      <c r="G903" t="s">
        <v>28</v>
      </c>
      <c r="H903" s="2">
        <v>43052</v>
      </c>
      <c r="I903" t="s">
        <v>29</v>
      </c>
      <c r="J903" t="s">
        <v>42</v>
      </c>
      <c r="K903" t="str">
        <f t="shared" ca="1" si="88"/>
        <v>OK</v>
      </c>
      <c r="L903" t="s">
        <v>141</v>
      </c>
      <c r="M903">
        <v>3</v>
      </c>
      <c r="N903" s="2">
        <v>45997</v>
      </c>
      <c r="O903" s="2" t="s">
        <v>22</v>
      </c>
      <c r="P903" s="4">
        <f t="shared" ca="1" si="86"/>
        <v>8</v>
      </c>
      <c r="Q903" s="4" t="str">
        <f t="shared" ca="1" si="87"/>
        <v>6-10 Years</v>
      </c>
      <c r="R903">
        <f t="shared" ca="1" si="89"/>
        <v>0</v>
      </c>
      <c r="S903" t="s">
        <v>22</v>
      </c>
      <c r="T903">
        <v>4</v>
      </c>
      <c r="U903" t="s">
        <v>1394</v>
      </c>
      <c r="V903" t="s">
        <v>1394</v>
      </c>
      <c r="W903" t="s">
        <v>1394</v>
      </c>
      <c r="X903" s="3">
        <v>2</v>
      </c>
      <c r="Y903" t="s">
        <v>1397</v>
      </c>
      <c r="Z903">
        <v>137074</v>
      </c>
      <c r="AA903">
        <v>0.2</v>
      </c>
      <c r="AB903">
        <v>164488.79999999999</v>
      </c>
    </row>
    <row r="904" spans="1:28" x14ac:dyDescent="0.35">
      <c r="A904" t="str">
        <f t="shared" si="84"/>
        <v>EMP0903</v>
      </c>
      <c r="B904" t="str" cm="1">
        <f t="array" ref="B904">_xlfn.IFS(
ROW()&lt;=421,"NA",
ROW()&lt;=781,"LATAM",
ROW()&lt;=1021,"EMEA",
TRUE,"APAC"
)</f>
        <v>EMEA</v>
      </c>
      <c r="C904" t="str">
        <f t="shared" si="85"/>
        <v>Germany</v>
      </c>
      <c r="D904" t="s">
        <v>32</v>
      </c>
      <c r="E904" t="s">
        <v>380</v>
      </c>
      <c r="F904" t="s">
        <v>722</v>
      </c>
      <c r="G904" t="s">
        <v>28</v>
      </c>
      <c r="H904" s="2">
        <v>43041</v>
      </c>
      <c r="I904" t="s">
        <v>29</v>
      </c>
      <c r="J904" t="s">
        <v>33</v>
      </c>
      <c r="K904" t="str">
        <f t="shared" ca="1" si="88"/>
        <v>OK</v>
      </c>
      <c r="L904" t="s">
        <v>1108</v>
      </c>
      <c r="M904">
        <v>5</v>
      </c>
      <c r="N904" s="2">
        <v>46076</v>
      </c>
      <c r="O904" s="2" t="s">
        <v>22</v>
      </c>
      <c r="P904" s="4">
        <f t="shared" ca="1" si="86"/>
        <v>8</v>
      </c>
      <c r="Q904" s="4" t="str">
        <f t="shared" ca="1" si="87"/>
        <v>6-10 Years</v>
      </c>
      <c r="R904">
        <f t="shared" ca="1" si="89"/>
        <v>0</v>
      </c>
      <c r="S904" t="s">
        <v>22</v>
      </c>
      <c r="T904">
        <v>4</v>
      </c>
      <c r="U904" t="s">
        <v>1394</v>
      </c>
      <c r="V904" t="s">
        <v>1394</v>
      </c>
      <c r="W904" t="s">
        <v>1394</v>
      </c>
      <c r="X904" s="3">
        <v>4</v>
      </c>
      <c r="Y904" t="s">
        <v>1395</v>
      </c>
      <c r="Z904">
        <v>43829</v>
      </c>
      <c r="AA904">
        <v>0.1</v>
      </c>
      <c r="AB904">
        <v>48211.9</v>
      </c>
    </row>
    <row r="905" spans="1:28" x14ac:dyDescent="0.35">
      <c r="A905" t="str">
        <f t="shared" si="84"/>
        <v>EMP0904</v>
      </c>
      <c r="B905" t="str" cm="1">
        <f t="array" ref="B905">_xlfn.IFS(
ROW()&lt;=421,"NA",
ROW()&lt;=781,"LATAM",
ROW()&lt;=1021,"EMEA",
TRUE,"APAC"
)</f>
        <v>EMEA</v>
      </c>
      <c r="C905" t="str">
        <f t="shared" si="85"/>
        <v>Germany</v>
      </c>
      <c r="D905" t="s">
        <v>38</v>
      </c>
      <c r="E905" t="s">
        <v>380</v>
      </c>
      <c r="F905" t="s">
        <v>828</v>
      </c>
      <c r="G905" t="s">
        <v>28</v>
      </c>
      <c r="H905" s="2">
        <v>43029</v>
      </c>
      <c r="I905" t="s">
        <v>29</v>
      </c>
      <c r="J905" t="s">
        <v>39</v>
      </c>
      <c r="K905" t="str">
        <f t="shared" ca="1" si="88"/>
        <v>OK</v>
      </c>
      <c r="L905" t="s">
        <v>829</v>
      </c>
      <c r="M905">
        <v>5</v>
      </c>
      <c r="N905" s="2">
        <v>46071</v>
      </c>
      <c r="O905" s="2" t="s">
        <v>22</v>
      </c>
      <c r="P905" s="4">
        <f t="shared" ca="1" si="86"/>
        <v>8</v>
      </c>
      <c r="Q905" s="4" t="str">
        <f t="shared" ca="1" si="87"/>
        <v>6-10 Years</v>
      </c>
      <c r="R905">
        <f t="shared" ca="1" si="89"/>
        <v>0</v>
      </c>
      <c r="S905" t="s">
        <v>22</v>
      </c>
      <c r="T905">
        <v>3</v>
      </c>
      <c r="U905" t="s">
        <v>1396</v>
      </c>
      <c r="V905" t="s">
        <v>1394</v>
      </c>
      <c r="W905" t="s">
        <v>1394</v>
      </c>
      <c r="X905" s="3">
        <v>1</v>
      </c>
      <c r="Y905" t="s">
        <v>1397</v>
      </c>
      <c r="Z905">
        <v>21910</v>
      </c>
      <c r="AA905">
        <v>0.1</v>
      </c>
      <c r="AB905">
        <v>24101.000000000004</v>
      </c>
    </row>
    <row r="906" spans="1:28" x14ac:dyDescent="0.35">
      <c r="A906" t="str">
        <f t="shared" si="84"/>
        <v>EMP0905</v>
      </c>
      <c r="B906" t="str" cm="1">
        <f t="array" ref="B906">_xlfn.IFS(
ROW()&lt;=421,"NA",
ROW()&lt;=781,"LATAM",
ROW()&lt;=1021,"EMEA",
TRUE,"APAC"
)</f>
        <v>EMEA</v>
      </c>
      <c r="C906" t="str">
        <f t="shared" si="85"/>
        <v>Germany</v>
      </c>
      <c r="D906" t="s">
        <v>35</v>
      </c>
      <c r="E906" t="s">
        <v>380</v>
      </c>
      <c r="F906" t="s">
        <v>381</v>
      </c>
      <c r="G906" t="s">
        <v>28</v>
      </c>
      <c r="H906" s="2">
        <v>43028</v>
      </c>
      <c r="I906" t="s">
        <v>29</v>
      </c>
      <c r="J906" t="s">
        <v>36</v>
      </c>
      <c r="K906" t="str">
        <f t="shared" ca="1" si="88"/>
        <v>OK</v>
      </c>
      <c r="L906" t="s">
        <v>382</v>
      </c>
      <c r="M906">
        <v>5</v>
      </c>
      <c r="N906" s="2">
        <v>46020</v>
      </c>
      <c r="O906" s="2" t="s">
        <v>22</v>
      </c>
      <c r="P906" s="4">
        <f t="shared" ca="1" si="86"/>
        <v>8</v>
      </c>
      <c r="Q906" s="4" t="str">
        <f t="shared" ca="1" si="87"/>
        <v>6-10 Years</v>
      </c>
      <c r="R906">
        <f t="shared" ca="1" si="89"/>
        <v>0</v>
      </c>
      <c r="S906" t="s">
        <v>22</v>
      </c>
      <c r="T906">
        <v>3</v>
      </c>
      <c r="U906" t="s">
        <v>1396</v>
      </c>
      <c r="V906" t="s">
        <v>1394</v>
      </c>
      <c r="W906" t="s">
        <v>1394</v>
      </c>
      <c r="X906" s="3">
        <v>1</v>
      </c>
      <c r="Y906" t="s">
        <v>1397</v>
      </c>
      <c r="Z906">
        <v>33006</v>
      </c>
      <c r="AA906">
        <v>0.1</v>
      </c>
      <c r="AB906">
        <v>36306.600000000006</v>
      </c>
    </row>
    <row r="907" spans="1:28" x14ac:dyDescent="0.35">
      <c r="A907" t="str">
        <f t="shared" si="84"/>
        <v>EMP0906</v>
      </c>
      <c r="B907" t="str" cm="1">
        <f t="array" ref="B907">_xlfn.IFS(
ROW()&lt;=421,"NA",
ROW()&lt;=781,"LATAM",
ROW()&lt;=1021,"EMEA",
TRUE,"APAC"
)</f>
        <v>EMEA</v>
      </c>
      <c r="C907" t="str">
        <f t="shared" si="85"/>
        <v>Germany</v>
      </c>
      <c r="D907" t="s">
        <v>26</v>
      </c>
      <c r="E907" t="s">
        <v>380</v>
      </c>
      <c r="F907" t="s">
        <v>642</v>
      </c>
      <c r="G907" t="s">
        <v>28</v>
      </c>
      <c r="H907" s="2">
        <v>43027</v>
      </c>
      <c r="I907" t="s">
        <v>29</v>
      </c>
      <c r="J907" t="s">
        <v>30</v>
      </c>
      <c r="K907" t="str">
        <f t="shared" ca="1" si="88"/>
        <v>OK</v>
      </c>
      <c r="L907" t="s">
        <v>643</v>
      </c>
      <c r="M907">
        <v>5</v>
      </c>
      <c r="N907" s="2">
        <v>45988</v>
      </c>
      <c r="O907" s="2" t="s">
        <v>22</v>
      </c>
      <c r="P907" s="4">
        <f t="shared" ca="1" si="86"/>
        <v>8</v>
      </c>
      <c r="Q907" s="4" t="str">
        <f t="shared" ca="1" si="87"/>
        <v>6-10 Years</v>
      </c>
      <c r="R907">
        <f t="shared" ca="1" si="89"/>
        <v>0</v>
      </c>
      <c r="S907" t="s">
        <v>22</v>
      </c>
      <c r="T907">
        <v>4</v>
      </c>
      <c r="U907" t="s">
        <v>1394</v>
      </c>
      <c r="V907" t="s">
        <v>1394</v>
      </c>
      <c r="W907" t="s">
        <v>1394</v>
      </c>
      <c r="X907" s="3">
        <v>1</v>
      </c>
      <c r="Y907" t="s">
        <v>1397</v>
      </c>
      <c r="Z907">
        <v>22390</v>
      </c>
      <c r="AA907">
        <v>0.1</v>
      </c>
      <c r="AB907">
        <v>24629.000000000004</v>
      </c>
    </row>
    <row r="908" spans="1:28" x14ac:dyDescent="0.35">
      <c r="A908" t="str">
        <f t="shared" si="84"/>
        <v>EMP0907</v>
      </c>
      <c r="B908" t="str" cm="1">
        <f t="array" ref="B908">_xlfn.IFS(
ROW()&lt;=421,"NA",
ROW()&lt;=781,"LATAM",
ROW()&lt;=1021,"EMEA",
TRUE,"APAC"
)</f>
        <v>EMEA</v>
      </c>
      <c r="C908" t="str">
        <f t="shared" si="85"/>
        <v>Germany</v>
      </c>
      <c r="D908" t="s">
        <v>41</v>
      </c>
      <c r="E908" t="s">
        <v>380</v>
      </c>
      <c r="F908" t="s">
        <v>770</v>
      </c>
      <c r="G908" t="s">
        <v>28</v>
      </c>
      <c r="H908" s="2">
        <v>43022</v>
      </c>
      <c r="I908" t="s">
        <v>29</v>
      </c>
      <c r="J908" t="s">
        <v>42</v>
      </c>
      <c r="K908" t="str">
        <f t="shared" ca="1" si="88"/>
        <v>OK</v>
      </c>
      <c r="L908" t="s">
        <v>771</v>
      </c>
      <c r="M908">
        <v>5</v>
      </c>
      <c r="N908" s="2">
        <v>46024</v>
      </c>
      <c r="O908" s="2" t="s">
        <v>22</v>
      </c>
      <c r="P908" s="4">
        <f t="shared" ca="1" si="86"/>
        <v>8</v>
      </c>
      <c r="Q908" s="4" t="str">
        <f t="shared" ca="1" si="87"/>
        <v>6-10 Years</v>
      </c>
      <c r="R908">
        <f t="shared" ca="1" si="89"/>
        <v>0</v>
      </c>
      <c r="S908" t="s">
        <v>22</v>
      </c>
      <c r="T908">
        <v>3</v>
      </c>
      <c r="U908" t="s">
        <v>1394</v>
      </c>
      <c r="V908" t="s">
        <v>1394</v>
      </c>
      <c r="W908" t="s">
        <v>1394</v>
      </c>
      <c r="X908" s="3">
        <v>3</v>
      </c>
      <c r="Y908" t="s">
        <v>1398</v>
      </c>
      <c r="Z908">
        <v>49530</v>
      </c>
      <c r="AA908">
        <v>0.1</v>
      </c>
      <c r="AB908">
        <v>54483.000000000007</v>
      </c>
    </row>
    <row r="909" spans="1:28" x14ac:dyDescent="0.35">
      <c r="A909" t="str">
        <f t="shared" si="84"/>
        <v>EMP0908</v>
      </c>
      <c r="B909" t="str" cm="1">
        <f t="array" ref="B909">_xlfn.IFS(
ROW()&lt;=421,"NA",
ROW()&lt;=781,"LATAM",
ROW()&lt;=1021,"EMEA",
TRUE,"APAC"
)</f>
        <v>EMEA</v>
      </c>
      <c r="C909" t="str">
        <f t="shared" si="85"/>
        <v>Germany</v>
      </c>
      <c r="D909" t="s">
        <v>35</v>
      </c>
      <c r="E909" t="s">
        <v>380</v>
      </c>
      <c r="F909" t="s">
        <v>474</v>
      </c>
      <c r="G909" t="s">
        <v>53</v>
      </c>
      <c r="H909" s="2">
        <v>43022</v>
      </c>
      <c r="I909" t="s">
        <v>29</v>
      </c>
      <c r="J909" t="s">
        <v>36</v>
      </c>
      <c r="K909" t="str">
        <f t="shared" ca="1" si="88"/>
        <v>OK</v>
      </c>
      <c r="L909" t="s">
        <v>1133</v>
      </c>
      <c r="M909">
        <v>5</v>
      </c>
      <c r="N909" s="2">
        <v>46068</v>
      </c>
      <c r="O909" s="2" t="s">
        <v>22</v>
      </c>
      <c r="P909" s="4">
        <f t="shared" ca="1" si="86"/>
        <v>8</v>
      </c>
      <c r="Q909" s="4" t="str">
        <f t="shared" ca="1" si="87"/>
        <v>6-10 Years</v>
      </c>
      <c r="R909">
        <f t="shared" ca="1" si="89"/>
        <v>0</v>
      </c>
      <c r="S909" t="s">
        <v>22</v>
      </c>
      <c r="T909">
        <v>3</v>
      </c>
      <c r="U909" t="s">
        <v>1394</v>
      </c>
      <c r="V909" t="s">
        <v>1394</v>
      </c>
      <c r="W909" t="s">
        <v>1394</v>
      </c>
      <c r="X909" s="3">
        <v>4</v>
      </c>
      <c r="Y909" t="s">
        <v>1395</v>
      </c>
      <c r="Z909">
        <v>43567</v>
      </c>
      <c r="AA909">
        <v>0.1</v>
      </c>
      <c r="AB909">
        <v>47923.700000000004</v>
      </c>
    </row>
    <row r="910" spans="1:28" x14ac:dyDescent="0.35">
      <c r="A910" t="str">
        <f t="shared" si="84"/>
        <v>EMP0909</v>
      </c>
      <c r="B910" t="str" cm="1">
        <f t="array" ref="B910">_xlfn.IFS(
ROW()&lt;=421,"NA",
ROW()&lt;=781,"LATAM",
ROW()&lt;=1021,"EMEA",
TRUE,"APAC"
)</f>
        <v>EMEA</v>
      </c>
      <c r="C910" t="str">
        <f t="shared" si="85"/>
        <v>Germany</v>
      </c>
      <c r="D910" t="s">
        <v>35</v>
      </c>
      <c r="E910" t="s">
        <v>380</v>
      </c>
      <c r="F910" t="s">
        <v>393</v>
      </c>
      <c r="G910" t="s">
        <v>28</v>
      </c>
      <c r="H910" s="2">
        <v>43021</v>
      </c>
      <c r="I910" t="s">
        <v>29</v>
      </c>
      <c r="J910" t="s">
        <v>36</v>
      </c>
      <c r="K910" t="str">
        <f t="shared" ca="1" si="88"/>
        <v>OK</v>
      </c>
      <c r="L910" t="s">
        <v>394</v>
      </c>
      <c r="M910">
        <v>5</v>
      </c>
      <c r="N910" s="2">
        <v>46013</v>
      </c>
      <c r="O910" s="2" t="s">
        <v>22</v>
      </c>
      <c r="P910" s="4">
        <f t="shared" ca="1" si="86"/>
        <v>8</v>
      </c>
      <c r="Q910" s="4" t="str">
        <f t="shared" ca="1" si="87"/>
        <v>6-10 Years</v>
      </c>
      <c r="R910">
        <f t="shared" ca="1" si="89"/>
        <v>0</v>
      </c>
      <c r="S910" t="s">
        <v>22</v>
      </c>
      <c r="T910">
        <v>3</v>
      </c>
      <c r="U910" t="s">
        <v>1396</v>
      </c>
      <c r="V910" t="s">
        <v>1394</v>
      </c>
      <c r="W910" t="s">
        <v>1394</v>
      </c>
      <c r="X910" s="3">
        <v>5</v>
      </c>
      <c r="Y910" t="s">
        <v>1395</v>
      </c>
      <c r="Z910">
        <v>24604</v>
      </c>
      <c r="AA910">
        <v>0.1</v>
      </c>
      <c r="AB910">
        <v>27064.400000000001</v>
      </c>
    </row>
    <row r="911" spans="1:28" x14ac:dyDescent="0.35">
      <c r="A911" t="str">
        <f t="shared" si="84"/>
        <v>EMP0910</v>
      </c>
      <c r="B911" t="str" cm="1">
        <f t="array" ref="B911">_xlfn.IFS(
ROW()&lt;=421,"NA",
ROW()&lt;=781,"LATAM",
ROW()&lt;=1021,"EMEA",
TRUE,"APAC"
)</f>
        <v>EMEA</v>
      </c>
      <c r="C911" t="str">
        <f t="shared" si="85"/>
        <v>Germany</v>
      </c>
      <c r="D911" t="s">
        <v>32</v>
      </c>
      <c r="E911" t="s">
        <v>380</v>
      </c>
      <c r="F911" t="s">
        <v>476</v>
      </c>
      <c r="G911" t="s">
        <v>28</v>
      </c>
      <c r="H911" s="2">
        <v>43020</v>
      </c>
      <c r="I911" t="s">
        <v>29</v>
      </c>
      <c r="J911" t="s">
        <v>33</v>
      </c>
      <c r="K911" t="str">
        <f t="shared" ca="1" si="88"/>
        <v>OK</v>
      </c>
      <c r="L911" t="s">
        <v>1251</v>
      </c>
      <c r="M911">
        <v>5</v>
      </c>
      <c r="N911" s="2">
        <v>46004</v>
      </c>
      <c r="O911" s="2" t="s">
        <v>22</v>
      </c>
      <c r="P911" s="4">
        <f t="shared" ca="1" si="86"/>
        <v>8</v>
      </c>
      <c r="Q911" s="4" t="str">
        <f t="shared" ca="1" si="87"/>
        <v>6-10 Years</v>
      </c>
      <c r="R911">
        <f t="shared" ca="1" si="89"/>
        <v>0</v>
      </c>
      <c r="S911" t="s">
        <v>22</v>
      </c>
      <c r="T911">
        <v>4</v>
      </c>
      <c r="U911" t="s">
        <v>1394</v>
      </c>
      <c r="V911" t="s">
        <v>1394</v>
      </c>
      <c r="W911" t="s">
        <v>1394</v>
      </c>
      <c r="X911" s="3">
        <v>4</v>
      </c>
      <c r="Y911" t="s">
        <v>1395</v>
      </c>
      <c r="Z911">
        <v>32814</v>
      </c>
      <c r="AA911">
        <v>0.1</v>
      </c>
      <c r="AB911">
        <v>36095.4</v>
      </c>
    </row>
    <row r="912" spans="1:28" x14ac:dyDescent="0.35">
      <c r="A912" t="str">
        <f t="shared" si="84"/>
        <v>EMP0911</v>
      </c>
      <c r="B912" t="str" cm="1">
        <f t="array" ref="B912">_xlfn.IFS(
ROW()&lt;=421,"NA",
ROW()&lt;=781,"LATAM",
ROW()&lt;=1021,"EMEA",
TRUE,"APAC"
)</f>
        <v>EMEA</v>
      </c>
      <c r="C912" t="str">
        <f t="shared" si="85"/>
        <v>Germany</v>
      </c>
      <c r="D912" t="s">
        <v>38</v>
      </c>
      <c r="E912" t="s">
        <v>380</v>
      </c>
      <c r="F912" t="s">
        <v>567</v>
      </c>
      <c r="G912" t="s">
        <v>28</v>
      </c>
      <c r="H912" s="2">
        <v>43017</v>
      </c>
      <c r="I912" t="s">
        <v>29</v>
      </c>
      <c r="J912" t="s">
        <v>39</v>
      </c>
      <c r="K912" t="str">
        <f t="shared" ca="1" si="88"/>
        <v>OK</v>
      </c>
      <c r="L912" t="s">
        <v>704</v>
      </c>
      <c r="M912">
        <v>5</v>
      </c>
      <c r="N912" s="2">
        <v>46036</v>
      </c>
      <c r="O912" s="2" t="s">
        <v>22</v>
      </c>
      <c r="P912" s="4">
        <f t="shared" ca="1" si="86"/>
        <v>8</v>
      </c>
      <c r="Q912" s="4" t="str">
        <f t="shared" ca="1" si="87"/>
        <v>6-10 Years</v>
      </c>
      <c r="R912">
        <f t="shared" ca="1" si="89"/>
        <v>0</v>
      </c>
      <c r="S912" t="s">
        <v>22</v>
      </c>
      <c r="T912">
        <v>3</v>
      </c>
      <c r="U912" t="s">
        <v>1394</v>
      </c>
      <c r="V912" t="s">
        <v>1394</v>
      </c>
      <c r="W912" t="s">
        <v>1394</v>
      </c>
      <c r="X912" s="3">
        <v>1</v>
      </c>
      <c r="Y912" t="s">
        <v>1397</v>
      </c>
      <c r="Z912">
        <v>45135</v>
      </c>
      <c r="AA912">
        <v>0.1</v>
      </c>
      <c r="AB912">
        <v>49648.500000000007</v>
      </c>
    </row>
    <row r="913" spans="1:28" x14ac:dyDescent="0.35">
      <c r="A913" t="str">
        <f t="shared" si="84"/>
        <v>EMP0912</v>
      </c>
      <c r="B913" t="str" cm="1">
        <f t="array" ref="B913">_xlfn.IFS(
ROW()&lt;=421,"NA",
ROW()&lt;=781,"LATAM",
ROW()&lt;=1021,"EMEA",
TRUE,"APAC"
)</f>
        <v>EMEA</v>
      </c>
      <c r="C913" t="str">
        <f t="shared" si="85"/>
        <v>Germany</v>
      </c>
      <c r="D913" t="s">
        <v>32</v>
      </c>
      <c r="E913" t="s">
        <v>380</v>
      </c>
      <c r="F913" t="s">
        <v>609</v>
      </c>
      <c r="G913" t="s">
        <v>28</v>
      </c>
      <c r="H913" s="2">
        <v>43013</v>
      </c>
      <c r="I913" t="s">
        <v>29</v>
      </c>
      <c r="J913" t="s">
        <v>33</v>
      </c>
      <c r="K913" t="str">
        <f t="shared" ca="1" si="88"/>
        <v>OK</v>
      </c>
      <c r="L913" t="s">
        <v>617</v>
      </c>
      <c r="M913">
        <v>5</v>
      </c>
      <c r="N913" s="2">
        <v>46046</v>
      </c>
      <c r="O913" s="2" t="s">
        <v>22</v>
      </c>
      <c r="P913" s="4">
        <f t="shared" ca="1" si="86"/>
        <v>8</v>
      </c>
      <c r="Q913" s="4" t="str">
        <f t="shared" ca="1" si="87"/>
        <v>6-10 Years</v>
      </c>
      <c r="R913">
        <f t="shared" ca="1" si="89"/>
        <v>0</v>
      </c>
      <c r="S913" t="s">
        <v>22</v>
      </c>
      <c r="T913">
        <v>2</v>
      </c>
      <c r="U913" t="s">
        <v>1394</v>
      </c>
      <c r="V913" t="s">
        <v>1396</v>
      </c>
      <c r="W913" t="s">
        <v>1394</v>
      </c>
      <c r="X913" s="3">
        <v>3</v>
      </c>
      <c r="Y913" t="s">
        <v>1398</v>
      </c>
      <c r="Z913">
        <v>27622</v>
      </c>
      <c r="AA913">
        <v>0.1</v>
      </c>
      <c r="AB913">
        <v>30384.2</v>
      </c>
    </row>
    <row r="914" spans="1:28" x14ac:dyDescent="0.35">
      <c r="A914" t="str">
        <f t="shared" si="84"/>
        <v>EMP0913</v>
      </c>
      <c r="B914" t="str" cm="1">
        <f t="array" ref="B914">_xlfn.IFS(
ROW()&lt;=421,"NA",
ROW()&lt;=781,"LATAM",
ROW()&lt;=1021,"EMEA",
TRUE,"APAC"
)</f>
        <v>EMEA</v>
      </c>
      <c r="C914" t="str">
        <f t="shared" si="85"/>
        <v>Germany</v>
      </c>
      <c r="D914" t="s">
        <v>44</v>
      </c>
      <c r="E914" t="s">
        <v>145</v>
      </c>
      <c r="F914" t="s">
        <v>303</v>
      </c>
      <c r="G914" t="s">
        <v>28</v>
      </c>
      <c r="H914" s="2">
        <v>43012</v>
      </c>
      <c r="I914" t="s">
        <v>29</v>
      </c>
      <c r="J914" t="s">
        <v>47</v>
      </c>
      <c r="K914" t="str">
        <f t="shared" ca="1" si="88"/>
        <v>OK</v>
      </c>
      <c r="L914" t="s">
        <v>304</v>
      </c>
      <c r="M914">
        <v>4</v>
      </c>
      <c r="N914" s="2">
        <v>46050</v>
      </c>
      <c r="O914" s="2" t="s">
        <v>22</v>
      </c>
      <c r="P914" s="4">
        <f t="shared" ca="1" si="86"/>
        <v>8</v>
      </c>
      <c r="Q914" s="4" t="str">
        <f t="shared" ca="1" si="87"/>
        <v>6-10 Years</v>
      </c>
      <c r="R914">
        <f t="shared" ca="1" si="89"/>
        <v>0</v>
      </c>
      <c r="S914" t="s">
        <v>22</v>
      </c>
      <c r="T914">
        <v>3</v>
      </c>
      <c r="U914" t="s">
        <v>1394</v>
      </c>
      <c r="V914" t="s">
        <v>1394</v>
      </c>
      <c r="W914" t="s">
        <v>1394</v>
      </c>
      <c r="X914" s="3">
        <v>5</v>
      </c>
      <c r="Y914" t="s">
        <v>1395</v>
      </c>
      <c r="Z914">
        <v>87294</v>
      </c>
      <c r="AA914">
        <v>0.15</v>
      </c>
      <c r="AB914">
        <v>100388.09999999999</v>
      </c>
    </row>
    <row r="915" spans="1:28" x14ac:dyDescent="0.35">
      <c r="A915" t="str">
        <f t="shared" si="84"/>
        <v>EMP0914</v>
      </c>
      <c r="B915" t="str" cm="1">
        <f t="array" ref="B915">_xlfn.IFS(
ROW()&lt;=421,"NA",
ROW()&lt;=781,"LATAM",
ROW()&lt;=1021,"EMEA",
TRUE,"APAC"
)</f>
        <v>EMEA</v>
      </c>
      <c r="C915" t="str">
        <f t="shared" si="85"/>
        <v>Germany</v>
      </c>
      <c r="D915" t="s">
        <v>26</v>
      </c>
      <c r="E915" t="s">
        <v>380</v>
      </c>
      <c r="F915" t="s">
        <v>531</v>
      </c>
      <c r="G915" t="s">
        <v>28</v>
      </c>
      <c r="H915" s="2">
        <v>43012</v>
      </c>
      <c r="I915" t="s">
        <v>29</v>
      </c>
      <c r="J915" t="s">
        <v>30</v>
      </c>
      <c r="K915" t="str">
        <f t="shared" ca="1" si="88"/>
        <v>OK</v>
      </c>
      <c r="L915" t="s">
        <v>532</v>
      </c>
      <c r="M915">
        <v>5</v>
      </c>
      <c r="N915" s="2">
        <v>46010</v>
      </c>
      <c r="O915" s="2" t="s">
        <v>22</v>
      </c>
      <c r="P915" s="4">
        <f t="shared" ca="1" si="86"/>
        <v>8</v>
      </c>
      <c r="Q915" s="4" t="str">
        <f t="shared" ca="1" si="87"/>
        <v>6-10 Years</v>
      </c>
      <c r="R915">
        <f t="shared" ca="1" si="89"/>
        <v>0</v>
      </c>
      <c r="S915" t="s">
        <v>22</v>
      </c>
      <c r="T915">
        <v>3</v>
      </c>
      <c r="U915" t="s">
        <v>1394</v>
      </c>
      <c r="V915" t="s">
        <v>1394</v>
      </c>
      <c r="W915" t="s">
        <v>1394</v>
      </c>
      <c r="X915" s="3">
        <v>5</v>
      </c>
      <c r="Y915" t="s">
        <v>1395</v>
      </c>
      <c r="Z915">
        <v>25694</v>
      </c>
      <c r="AA915">
        <v>0.1</v>
      </c>
      <c r="AB915">
        <v>28263.4</v>
      </c>
    </row>
    <row r="916" spans="1:28" x14ac:dyDescent="0.35">
      <c r="A916" t="str">
        <f t="shared" si="84"/>
        <v>EMP0915</v>
      </c>
      <c r="B916" t="str" cm="1">
        <f t="array" ref="B916">_xlfn.IFS(
ROW()&lt;=421,"NA",
ROW()&lt;=781,"LATAM",
ROW()&lt;=1021,"EMEA",
TRUE,"APAC"
)</f>
        <v>EMEA</v>
      </c>
      <c r="C916" t="str">
        <f t="shared" si="85"/>
        <v>Germany</v>
      </c>
      <c r="D916" t="s">
        <v>26</v>
      </c>
      <c r="E916" t="s">
        <v>380</v>
      </c>
      <c r="F916" t="s">
        <v>429</v>
      </c>
      <c r="G916" t="s">
        <v>28</v>
      </c>
      <c r="H916" s="2">
        <v>43012</v>
      </c>
      <c r="I916" t="s">
        <v>29</v>
      </c>
      <c r="J916" t="s">
        <v>30</v>
      </c>
      <c r="K916" t="str">
        <f t="shared" ca="1" si="88"/>
        <v>OK</v>
      </c>
      <c r="L916" t="s">
        <v>928</v>
      </c>
      <c r="M916">
        <v>5</v>
      </c>
      <c r="N916" s="2">
        <v>45990</v>
      </c>
      <c r="O916" s="2" t="s">
        <v>22</v>
      </c>
      <c r="P916" s="4">
        <f t="shared" ca="1" si="86"/>
        <v>8</v>
      </c>
      <c r="Q916" s="4" t="str">
        <f t="shared" ca="1" si="87"/>
        <v>6-10 Years</v>
      </c>
      <c r="R916">
        <f t="shared" ca="1" si="89"/>
        <v>0</v>
      </c>
      <c r="S916" t="s">
        <v>22</v>
      </c>
      <c r="T916">
        <v>5</v>
      </c>
      <c r="U916" t="s">
        <v>1396</v>
      </c>
      <c r="V916" t="s">
        <v>1394</v>
      </c>
      <c r="W916" t="s">
        <v>1394</v>
      </c>
      <c r="X916" s="3">
        <v>4</v>
      </c>
      <c r="Y916" t="s">
        <v>1395</v>
      </c>
      <c r="Z916">
        <v>43076</v>
      </c>
      <c r="AA916">
        <v>0.1</v>
      </c>
      <c r="AB916">
        <v>47383.600000000006</v>
      </c>
    </row>
    <row r="917" spans="1:28" x14ac:dyDescent="0.35">
      <c r="A917" t="str">
        <f t="shared" si="84"/>
        <v>EMP0916</v>
      </c>
      <c r="B917" t="str" cm="1">
        <f t="array" ref="B917">_xlfn.IFS(
ROW()&lt;=421,"NA",
ROW()&lt;=781,"LATAM",
ROW()&lt;=1021,"EMEA",
TRUE,"APAC"
)</f>
        <v>EMEA</v>
      </c>
      <c r="C917" t="str">
        <f t="shared" si="85"/>
        <v>Germany</v>
      </c>
      <c r="D917" t="s">
        <v>35</v>
      </c>
      <c r="E917" t="s">
        <v>380</v>
      </c>
      <c r="F917" t="s">
        <v>807</v>
      </c>
      <c r="G917" t="s">
        <v>53</v>
      </c>
      <c r="H917" s="2">
        <v>43009</v>
      </c>
      <c r="I917" t="s">
        <v>29</v>
      </c>
      <c r="J917" t="s">
        <v>36</v>
      </c>
      <c r="K917" t="str">
        <f t="shared" ca="1" si="88"/>
        <v>OK</v>
      </c>
      <c r="L917" t="s">
        <v>808</v>
      </c>
      <c r="M917">
        <v>5</v>
      </c>
      <c r="N917" s="2">
        <v>46063</v>
      </c>
      <c r="O917" s="2" t="s">
        <v>22</v>
      </c>
      <c r="P917" s="4">
        <f t="shared" ca="1" si="86"/>
        <v>8</v>
      </c>
      <c r="Q917" s="4" t="str">
        <f t="shared" ca="1" si="87"/>
        <v>6-10 Years</v>
      </c>
      <c r="R917">
        <f t="shared" ca="1" si="89"/>
        <v>0</v>
      </c>
      <c r="S917" t="s">
        <v>22</v>
      </c>
      <c r="T917">
        <v>4</v>
      </c>
      <c r="U917" t="s">
        <v>1394</v>
      </c>
      <c r="V917" t="s">
        <v>1396</v>
      </c>
      <c r="W917" t="s">
        <v>1394</v>
      </c>
      <c r="X917" s="3">
        <v>2</v>
      </c>
      <c r="Y917" t="s">
        <v>1397</v>
      </c>
      <c r="Z917">
        <v>28018</v>
      </c>
      <c r="AA917">
        <v>0.1</v>
      </c>
      <c r="AB917">
        <v>30819.800000000003</v>
      </c>
    </row>
    <row r="918" spans="1:28" x14ac:dyDescent="0.35">
      <c r="A918" t="str">
        <f t="shared" si="84"/>
        <v>EMP0917</v>
      </c>
      <c r="B918" t="str" cm="1">
        <f t="array" ref="B918">_xlfn.IFS(
ROW()&lt;=421,"NA",
ROW()&lt;=781,"LATAM",
ROW()&lt;=1021,"EMEA",
TRUE,"APAC"
)</f>
        <v>EMEA</v>
      </c>
      <c r="C918" t="str">
        <f t="shared" si="85"/>
        <v>Germany</v>
      </c>
      <c r="D918" t="s">
        <v>38</v>
      </c>
      <c r="E918" t="s">
        <v>380</v>
      </c>
      <c r="F918" t="s">
        <v>426</v>
      </c>
      <c r="G918" t="s">
        <v>28</v>
      </c>
      <c r="H918" s="2">
        <v>43000</v>
      </c>
      <c r="I918" t="s">
        <v>29</v>
      </c>
      <c r="J918" t="s">
        <v>39</v>
      </c>
      <c r="K918" t="str">
        <f t="shared" ca="1" si="88"/>
        <v>OK</v>
      </c>
      <c r="L918" t="s">
        <v>1081</v>
      </c>
      <c r="M918">
        <v>5</v>
      </c>
      <c r="N918" s="2">
        <v>46004</v>
      </c>
      <c r="O918" s="2" t="s">
        <v>22</v>
      </c>
      <c r="P918" s="4">
        <f t="shared" ca="1" si="86"/>
        <v>8</v>
      </c>
      <c r="Q918" s="4" t="str">
        <f t="shared" ca="1" si="87"/>
        <v>6-10 Years</v>
      </c>
      <c r="R918">
        <f t="shared" ca="1" si="89"/>
        <v>0</v>
      </c>
      <c r="S918" t="s">
        <v>22</v>
      </c>
      <c r="T918">
        <v>4</v>
      </c>
      <c r="U918" t="s">
        <v>1394</v>
      </c>
      <c r="V918" t="s">
        <v>1394</v>
      </c>
      <c r="W918" t="s">
        <v>1394</v>
      </c>
      <c r="X918" s="3">
        <v>2</v>
      </c>
      <c r="Y918" t="s">
        <v>1397</v>
      </c>
      <c r="Z918">
        <v>27425</v>
      </c>
      <c r="AA918">
        <v>0.1</v>
      </c>
      <c r="AB918">
        <v>30167.500000000004</v>
      </c>
    </row>
    <row r="919" spans="1:28" x14ac:dyDescent="0.35">
      <c r="A919" t="str">
        <f t="shared" si="84"/>
        <v>EMP0918</v>
      </c>
      <c r="B919" t="str" cm="1">
        <f t="array" ref="B919">_xlfn.IFS(
ROW()&lt;=421,"NA",
ROW()&lt;=781,"LATAM",
ROW()&lt;=1021,"EMEA",
TRUE,"APAC"
)</f>
        <v>EMEA</v>
      </c>
      <c r="C919" t="str">
        <f t="shared" si="85"/>
        <v>Germany</v>
      </c>
      <c r="D919" t="s">
        <v>32</v>
      </c>
      <c r="E919" t="s">
        <v>380</v>
      </c>
      <c r="F919" t="s">
        <v>506</v>
      </c>
      <c r="G919" t="s">
        <v>28</v>
      </c>
      <c r="H919" s="2">
        <v>42995</v>
      </c>
      <c r="I919" t="s">
        <v>29</v>
      </c>
      <c r="J919" t="s">
        <v>33</v>
      </c>
      <c r="K919" t="str">
        <f t="shared" ca="1" si="88"/>
        <v>OK</v>
      </c>
      <c r="L919" t="s">
        <v>507</v>
      </c>
      <c r="M919">
        <v>5</v>
      </c>
      <c r="N919" s="2">
        <v>46048</v>
      </c>
      <c r="O919" s="2" t="s">
        <v>22</v>
      </c>
      <c r="P919" s="4">
        <f t="shared" ca="1" si="86"/>
        <v>8</v>
      </c>
      <c r="Q919" s="4" t="str">
        <f t="shared" ca="1" si="87"/>
        <v>6-10 Years</v>
      </c>
      <c r="R919">
        <f t="shared" ca="1" si="89"/>
        <v>0</v>
      </c>
      <c r="S919" t="s">
        <v>22</v>
      </c>
      <c r="T919">
        <v>3</v>
      </c>
      <c r="U919" t="s">
        <v>1394</v>
      </c>
      <c r="V919" t="s">
        <v>1394</v>
      </c>
      <c r="W919" t="s">
        <v>1394</v>
      </c>
      <c r="X919" s="3">
        <v>3</v>
      </c>
      <c r="Y919" t="s">
        <v>1398</v>
      </c>
      <c r="Z919">
        <v>33892</v>
      </c>
      <c r="AA919">
        <v>0.1</v>
      </c>
      <c r="AB919">
        <v>37281.200000000004</v>
      </c>
    </row>
    <row r="920" spans="1:28" x14ac:dyDescent="0.35">
      <c r="A920" t="str">
        <f t="shared" si="84"/>
        <v>EMP0919</v>
      </c>
      <c r="B920" t="str" cm="1">
        <f t="array" ref="B920">_xlfn.IFS(
ROW()&lt;=421,"NA",
ROW()&lt;=781,"LATAM",
ROW()&lt;=1021,"EMEA",
TRUE,"APAC"
)</f>
        <v>EMEA</v>
      </c>
      <c r="C920" t="str">
        <f t="shared" si="85"/>
        <v>Germany</v>
      </c>
      <c r="D920" t="s">
        <v>41</v>
      </c>
      <c r="E920" t="s">
        <v>145</v>
      </c>
      <c r="F920" t="s">
        <v>273</v>
      </c>
      <c r="G920" t="s">
        <v>28</v>
      </c>
      <c r="H920" s="2">
        <v>42991</v>
      </c>
      <c r="I920" t="s">
        <v>57</v>
      </c>
      <c r="J920" t="s">
        <v>42</v>
      </c>
      <c r="K920" t="str">
        <f t="shared" ca="1" si="88"/>
        <v>OK</v>
      </c>
      <c r="L920" t="s">
        <v>351</v>
      </c>
      <c r="M920">
        <v>4</v>
      </c>
      <c r="N920" s="2">
        <v>46002</v>
      </c>
      <c r="O920" s="2">
        <v>44208</v>
      </c>
      <c r="P920" s="4">
        <f t="shared" ca="1" si="86"/>
        <v>3</v>
      </c>
      <c r="Q920" s="4" t="str">
        <f t="shared" ca="1" si="87"/>
        <v>3-5 Years</v>
      </c>
      <c r="R920">
        <f t="shared" ca="1" si="89"/>
        <v>0</v>
      </c>
      <c r="S920" t="s">
        <v>23</v>
      </c>
      <c r="T920">
        <v>4</v>
      </c>
      <c r="U920" t="s">
        <v>1394</v>
      </c>
      <c r="V920" t="s">
        <v>1394</v>
      </c>
      <c r="W920" t="s">
        <v>1394</v>
      </c>
      <c r="X920" s="3">
        <v>2</v>
      </c>
      <c r="Y920" t="s">
        <v>1397</v>
      </c>
      <c r="Z920">
        <v>82266</v>
      </c>
      <c r="AA920">
        <v>0.15</v>
      </c>
      <c r="AB920">
        <v>94605.9</v>
      </c>
    </row>
    <row r="921" spans="1:28" x14ac:dyDescent="0.35">
      <c r="A921" t="str">
        <f t="shared" si="84"/>
        <v>EMP0920</v>
      </c>
      <c r="B921" t="str" cm="1">
        <f t="array" ref="B921">_xlfn.IFS(
ROW()&lt;=421,"NA",
ROW()&lt;=781,"LATAM",
ROW()&lt;=1021,"EMEA",
TRUE,"APAC"
)</f>
        <v>EMEA</v>
      </c>
      <c r="C921" t="str">
        <f t="shared" si="85"/>
        <v>Germany</v>
      </c>
      <c r="D921" t="s">
        <v>41</v>
      </c>
      <c r="E921" t="s">
        <v>380</v>
      </c>
      <c r="F921" t="s">
        <v>505</v>
      </c>
      <c r="G921" t="s">
        <v>28</v>
      </c>
      <c r="H921" s="2">
        <v>42990</v>
      </c>
      <c r="I921" t="s">
        <v>57</v>
      </c>
      <c r="J921" t="s">
        <v>42</v>
      </c>
      <c r="K921" t="str">
        <f t="shared" ca="1" si="88"/>
        <v>OK</v>
      </c>
      <c r="L921" t="s">
        <v>888</v>
      </c>
      <c r="M921">
        <v>5</v>
      </c>
      <c r="N921" s="2">
        <v>46061</v>
      </c>
      <c r="O921" s="2">
        <v>44793</v>
      </c>
      <c r="P921" s="4">
        <f t="shared" ca="1" si="86"/>
        <v>4</v>
      </c>
      <c r="Q921" s="4" t="str">
        <f t="shared" ca="1" si="87"/>
        <v>3-5 Years</v>
      </c>
      <c r="R921">
        <f t="shared" ca="1" si="89"/>
        <v>0</v>
      </c>
      <c r="S921" t="s">
        <v>23</v>
      </c>
      <c r="T921">
        <v>3</v>
      </c>
      <c r="U921" t="s">
        <v>1394</v>
      </c>
      <c r="V921" t="s">
        <v>1394</v>
      </c>
      <c r="W921" t="s">
        <v>1394</v>
      </c>
      <c r="X921" s="3">
        <v>5</v>
      </c>
      <c r="Y921" t="s">
        <v>1395</v>
      </c>
      <c r="Z921">
        <v>20507</v>
      </c>
      <c r="AA921">
        <v>0.1</v>
      </c>
      <c r="AB921">
        <v>22557.7</v>
      </c>
    </row>
    <row r="922" spans="1:28" x14ac:dyDescent="0.35">
      <c r="A922" t="str">
        <f t="shared" si="84"/>
        <v>EMP0921</v>
      </c>
      <c r="B922" t="str" cm="1">
        <f t="array" ref="B922">_xlfn.IFS(
ROW()&lt;=421,"NA",
ROW()&lt;=781,"LATAM",
ROW()&lt;=1021,"EMEA",
TRUE,"APAC"
)</f>
        <v>EMEA</v>
      </c>
      <c r="C922" t="str">
        <f t="shared" si="85"/>
        <v>Germany</v>
      </c>
      <c r="D922" t="s">
        <v>38</v>
      </c>
      <c r="E922" t="s">
        <v>380</v>
      </c>
      <c r="F922" t="s">
        <v>675</v>
      </c>
      <c r="G922" t="s">
        <v>28</v>
      </c>
      <c r="H922" s="2">
        <v>42988</v>
      </c>
      <c r="I922" t="s">
        <v>29</v>
      </c>
      <c r="J922" t="s">
        <v>39</v>
      </c>
      <c r="K922" t="str">
        <f t="shared" ca="1" si="88"/>
        <v>OK</v>
      </c>
      <c r="L922" t="s">
        <v>676</v>
      </c>
      <c r="M922">
        <v>5</v>
      </c>
      <c r="N922" s="2">
        <v>45992</v>
      </c>
      <c r="O922" s="2" t="s">
        <v>22</v>
      </c>
      <c r="P922" s="4">
        <f t="shared" ca="1" si="86"/>
        <v>8</v>
      </c>
      <c r="Q922" s="4" t="str">
        <f t="shared" ca="1" si="87"/>
        <v>6-10 Years</v>
      </c>
      <c r="R922">
        <f t="shared" ca="1" si="89"/>
        <v>0</v>
      </c>
      <c r="S922" t="s">
        <v>22</v>
      </c>
      <c r="T922">
        <v>5</v>
      </c>
      <c r="U922" t="s">
        <v>1394</v>
      </c>
      <c r="V922" t="s">
        <v>1394</v>
      </c>
      <c r="W922" t="s">
        <v>1394</v>
      </c>
      <c r="X922" s="3">
        <v>3</v>
      </c>
      <c r="Y922" t="s">
        <v>1398</v>
      </c>
      <c r="Z922">
        <v>21201</v>
      </c>
      <c r="AA922">
        <v>0.1</v>
      </c>
      <c r="AB922">
        <v>23321.100000000002</v>
      </c>
    </row>
    <row r="923" spans="1:28" x14ac:dyDescent="0.35">
      <c r="A923" t="str">
        <f t="shared" si="84"/>
        <v>EMP0922</v>
      </c>
      <c r="B923" t="str" cm="1">
        <f t="array" ref="B923">_xlfn.IFS(
ROW()&lt;=421,"NA",
ROW()&lt;=781,"LATAM",
ROW()&lt;=1021,"EMEA",
TRUE,"APAC"
)</f>
        <v>EMEA</v>
      </c>
      <c r="C923" t="str">
        <f t="shared" si="85"/>
        <v>Germany</v>
      </c>
      <c r="D923" t="s">
        <v>26</v>
      </c>
      <c r="E923" t="s">
        <v>380</v>
      </c>
      <c r="F923" t="s">
        <v>464</v>
      </c>
      <c r="G923" t="s">
        <v>28</v>
      </c>
      <c r="H923" s="2">
        <v>42986</v>
      </c>
      <c r="I923" t="s">
        <v>57</v>
      </c>
      <c r="J923" t="s">
        <v>30</v>
      </c>
      <c r="K923" t="str">
        <f t="shared" ca="1" si="88"/>
        <v>OK</v>
      </c>
      <c r="L923" t="s">
        <v>401</v>
      </c>
      <c r="M923">
        <v>5</v>
      </c>
      <c r="N923" s="2">
        <v>46007</v>
      </c>
      <c r="O923" s="2">
        <v>44277</v>
      </c>
      <c r="P923" s="4">
        <f t="shared" ca="1" si="86"/>
        <v>3</v>
      </c>
      <c r="Q923" s="4" t="str">
        <f t="shared" ca="1" si="87"/>
        <v>3-5 Years</v>
      </c>
      <c r="R923">
        <f t="shared" ca="1" si="89"/>
        <v>0</v>
      </c>
      <c r="S923" t="s">
        <v>23</v>
      </c>
      <c r="T923">
        <v>3</v>
      </c>
      <c r="U923" t="s">
        <v>1396</v>
      </c>
      <c r="V923" t="s">
        <v>1394</v>
      </c>
      <c r="W923" t="s">
        <v>1394</v>
      </c>
      <c r="X923" s="3">
        <v>5</v>
      </c>
      <c r="Y923" t="s">
        <v>1395</v>
      </c>
      <c r="Z923">
        <v>49534</v>
      </c>
      <c r="AA923">
        <v>0.1</v>
      </c>
      <c r="AB923">
        <v>54487.4</v>
      </c>
    </row>
    <row r="924" spans="1:28" x14ac:dyDescent="0.35">
      <c r="A924" t="str">
        <f t="shared" si="84"/>
        <v>EMP0923</v>
      </c>
      <c r="B924" t="str" cm="1">
        <f t="array" ref="B924">_xlfn.IFS(
ROW()&lt;=421,"NA",
ROW()&lt;=781,"LATAM",
ROW()&lt;=1021,"EMEA",
TRUE,"APAC"
)</f>
        <v>EMEA</v>
      </c>
      <c r="C924" t="str">
        <f t="shared" si="85"/>
        <v>Germany</v>
      </c>
      <c r="D924" t="s">
        <v>35</v>
      </c>
      <c r="E924" t="s">
        <v>380</v>
      </c>
      <c r="F924" t="s">
        <v>603</v>
      </c>
      <c r="G924" t="s">
        <v>28</v>
      </c>
      <c r="H924" s="2">
        <v>42983</v>
      </c>
      <c r="I924" t="s">
        <v>29</v>
      </c>
      <c r="J924" t="s">
        <v>36</v>
      </c>
      <c r="K924" t="str">
        <f t="shared" ca="1" si="88"/>
        <v>OK</v>
      </c>
      <c r="L924" t="s">
        <v>604</v>
      </c>
      <c r="M924">
        <v>5</v>
      </c>
      <c r="N924" s="2">
        <v>45988</v>
      </c>
      <c r="O924" s="2" t="s">
        <v>22</v>
      </c>
      <c r="P924" s="4">
        <f t="shared" ca="1" si="86"/>
        <v>8</v>
      </c>
      <c r="Q924" s="4" t="str">
        <f t="shared" ca="1" si="87"/>
        <v>6-10 Years</v>
      </c>
      <c r="R924">
        <f t="shared" ca="1" si="89"/>
        <v>0</v>
      </c>
      <c r="S924" t="s">
        <v>22</v>
      </c>
      <c r="T924">
        <v>3</v>
      </c>
      <c r="U924" t="s">
        <v>1394</v>
      </c>
      <c r="V924" t="s">
        <v>1394</v>
      </c>
      <c r="W924" t="s">
        <v>1394</v>
      </c>
      <c r="X924" s="3">
        <v>4</v>
      </c>
      <c r="Y924" t="s">
        <v>1395</v>
      </c>
      <c r="Z924">
        <v>23755</v>
      </c>
      <c r="AA924">
        <v>0.1</v>
      </c>
      <c r="AB924">
        <v>26130.500000000004</v>
      </c>
    </row>
    <row r="925" spans="1:28" x14ac:dyDescent="0.35">
      <c r="A925" t="str">
        <f t="shared" si="84"/>
        <v>EMP0924</v>
      </c>
      <c r="B925" t="str" cm="1">
        <f t="array" ref="B925">_xlfn.IFS(
ROW()&lt;=421,"NA",
ROW()&lt;=781,"LATAM",
ROW()&lt;=1021,"EMEA",
TRUE,"APAC"
)</f>
        <v>EMEA</v>
      </c>
      <c r="C925" t="str">
        <f t="shared" si="85"/>
        <v>Germany</v>
      </c>
      <c r="D925" t="s">
        <v>26</v>
      </c>
      <c r="E925" t="s">
        <v>380</v>
      </c>
      <c r="F925" t="s">
        <v>736</v>
      </c>
      <c r="G925" t="s">
        <v>53</v>
      </c>
      <c r="H925" s="2">
        <v>42971</v>
      </c>
      <c r="I925" t="s">
        <v>29</v>
      </c>
      <c r="J925" t="s">
        <v>30</v>
      </c>
      <c r="K925" t="str">
        <f t="shared" ca="1" si="88"/>
        <v>OK</v>
      </c>
      <c r="L925" t="s">
        <v>1260</v>
      </c>
      <c r="M925">
        <v>5</v>
      </c>
      <c r="N925" s="2">
        <v>46015</v>
      </c>
      <c r="O925" s="2" t="s">
        <v>22</v>
      </c>
      <c r="P925" s="4">
        <f t="shared" ca="1" si="86"/>
        <v>8</v>
      </c>
      <c r="Q925" s="4" t="str">
        <f t="shared" ca="1" si="87"/>
        <v>6-10 Years</v>
      </c>
      <c r="R925">
        <f t="shared" ca="1" si="89"/>
        <v>0</v>
      </c>
      <c r="S925" t="s">
        <v>22</v>
      </c>
      <c r="T925">
        <v>3</v>
      </c>
      <c r="U925" t="s">
        <v>1394</v>
      </c>
      <c r="V925" t="s">
        <v>1394</v>
      </c>
      <c r="W925" t="s">
        <v>1394</v>
      </c>
      <c r="X925" s="3">
        <v>5</v>
      </c>
      <c r="Y925" t="s">
        <v>1395</v>
      </c>
      <c r="Z925">
        <v>32868</v>
      </c>
      <c r="AA925">
        <v>0.1</v>
      </c>
      <c r="AB925">
        <v>36154.800000000003</v>
      </c>
    </row>
    <row r="926" spans="1:28" x14ac:dyDescent="0.35">
      <c r="A926" t="str">
        <f t="shared" si="84"/>
        <v>EMP0925</v>
      </c>
      <c r="B926" t="str" cm="1">
        <f t="array" ref="B926">_xlfn.IFS(
ROW()&lt;=421,"NA",
ROW()&lt;=781,"LATAM",
ROW()&lt;=1021,"EMEA",
TRUE,"APAC"
)</f>
        <v>EMEA</v>
      </c>
      <c r="C926" t="str">
        <f t="shared" si="85"/>
        <v>Germany</v>
      </c>
      <c r="D926" t="s">
        <v>44</v>
      </c>
      <c r="E926" t="s">
        <v>380</v>
      </c>
      <c r="F926" t="s">
        <v>431</v>
      </c>
      <c r="G926" t="s">
        <v>28</v>
      </c>
      <c r="H926" s="2">
        <v>42964</v>
      </c>
      <c r="I926" t="s">
        <v>29</v>
      </c>
      <c r="J926" t="s">
        <v>47</v>
      </c>
      <c r="K926" t="str">
        <f t="shared" ca="1" si="88"/>
        <v>OK</v>
      </c>
      <c r="L926" t="s">
        <v>1171</v>
      </c>
      <c r="M926">
        <v>5</v>
      </c>
      <c r="N926" s="2">
        <v>46005</v>
      </c>
      <c r="O926" s="2" t="s">
        <v>22</v>
      </c>
      <c r="P926" s="4">
        <f t="shared" ca="1" si="86"/>
        <v>8</v>
      </c>
      <c r="Q926" s="4" t="str">
        <f t="shared" ca="1" si="87"/>
        <v>6-10 Years</v>
      </c>
      <c r="R926">
        <f t="shared" ca="1" si="89"/>
        <v>0</v>
      </c>
      <c r="S926" t="s">
        <v>22</v>
      </c>
      <c r="T926">
        <v>3</v>
      </c>
      <c r="U926" t="s">
        <v>1394</v>
      </c>
      <c r="V926" t="s">
        <v>1394</v>
      </c>
      <c r="W926" t="s">
        <v>1394</v>
      </c>
      <c r="X926" s="3">
        <v>5</v>
      </c>
      <c r="Y926" t="s">
        <v>1395</v>
      </c>
      <c r="Z926">
        <v>39869</v>
      </c>
      <c r="AA926">
        <v>0.1</v>
      </c>
      <c r="AB926">
        <v>43855.9</v>
      </c>
    </row>
    <row r="927" spans="1:28" x14ac:dyDescent="0.35">
      <c r="A927" t="str">
        <f t="shared" si="84"/>
        <v>EMP0926</v>
      </c>
      <c r="B927" t="str" cm="1">
        <f t="array" ref="B927">_xlfn.IFS(
ROW()&lt;=421,"NA",
ROW()&lt;=781,"LATAM",
ROW()&lt;=1021,"EMEA",
TRUE,"APAC"
)</f>
        <v>EMEA</v>
      </c>
      <c r="C927" t="str">
        <f t="shared" si="85"/>
        <v>Germany</v>
      </c>
      <c r="D927" t="s">
        <v>26</v>
      </c>
      <c r="E927" t="s">
        <v>380</v>
      </c>
      <c r="F927" t="s">
        <v>412</v>
      </c>
      <c r="G927" t="s">
        <v>28</v>
      </c>
      <c r="H927" s="2">
        <v>42961</v>
      </c>
      <c r="I927" t="s">
        <v>29</v>
      </c>
      <c r="J927" t="s">
        <v>30</v>
      </c>
      <c r="K927" t="str">
        <f t="shared" ca="1" si="88"/>
        <v>OK</v>
      </c>
      <c r="L927" t="s">
        <v>413</v>
      </c>
      <c r="M927">
        <v>5</v>
      </c>
      <c r="N927" s="2">
        <v>46044</v>
      </c>
      <c r="O927" s="2" t="s">
        <v>22</v>
      </c>
      <c r="P927" s="4">
        <f t="shared" ca="1" si="86"/>
        <v>8</v>
      </c>
      <c r="Q927" s="4" t="str">
        <f t="shared" ca="1" si="87"/>
        <v>6-10 Years</v>
      </c>
      <c r="R927">
        <f t="shared" ca="1" si="89"/>
        <v>0</v>
      </c>
      <c r="S927" t="s">
        <v>22</v>
      </c>
      <c r="T927">
        <v>4</v>
      </c>
      <c r="U927" t="s">
        <v>1394</v>
      </c>
      <c r="V927" t="s">
        <v>1394</v>
      </c>
      <c r="W927" t="s">
        <v>1394</v>
      </c>
      <c r="X927" s="3">
        <v>3</v>
      </c>
      <c r="Y927" t="s">
        <v>1398</v>
      </c>
      <c r="Z927">
        <v>31220</v>
      </c>
      <c r="AA927">
        <v>0.1</v>
      </c>
      <c r="AB927">
        <v>34342</v>
      </c>
    </row>
    <row r="928" spans="1:28" x14ac:dyDescent="0.35">
      <c r="A928" t="str">
        <f t="shared" si="84"/>
        <v>EMP0927</v>
      </c>
      <c r="B928" t="str" cm="1">
        <f t="array" ref="B928">_xlfn.IFS(
ROW()&lt;=421,"NA",
ROW()&lt;=781,"LATAM",
ROW()&lt;=1021,"EMEA",
TRUE,"APAC"
)</f>
        <v>EMEA</v>
      </c>
      <c r="C928" t="str">
        <f t="shared" si="85"/>
        <v>Germany</v>
      </c>
      <c r="D928" t="s">
        <v>44</v>
      </c>
      <c r="E928" t="s">
        <v>380</v>
      </c>
      <c r="F928" t="s">
        <v>695</v>
      </c>
      <c r="G928" t="s">
        <v>28</v>
      </c>
      <c r="H928" s="2">
        <v>42958</v>
      </c>
      <c r="I928" t="s">
        <v>29</v>
      </c>
      <c r="J928" t="s">
        <v>47</v>
      </c>
      <c r="K928" t="str">
        <f t="shared" ca="1" si="88"/>
        <v>OK</v>
      </c>
      <c r="L928" t="s">
        <v>1279</v>
      </c>
      <c r="M928">
        <v>5</v>
      </c>
      <c r="N928" s="2">
        <v>46056</v>
      </c>
      <c r="O928" s="2" t="s">
        <v>22</v>
      </c>
      <c r="P928" s="4">
        <f t="shared" ca="1" si="86"/>
        <v>8</v>
      </c>
      <c r="Q928" s="4" t="str">
        <f t="shared" ca="1" si="87"/>
        <v>6-10 Years</v>
      </c>
      <c r="R928">
        <f t="shared" ca="1" si="89"/>
        <v>0</v>
      </c>
      <c r="S928" t="s">
        <v>22</v>
      </c>
      <c r="T928">
        <v>3</v>
      </c>
      <c r="U928" t="s">
        <v>1394</v>
      </c>
      <c r="V928" t="s">
        <v>1394</v>
      </c>
      <c r="W928" t="s">
        <v>1394</v>
      </c>
      <c r="X928" s="3">
        <v>4</v>
      </c>
      <c r="Y928" t="s">
        <v>1395</v>
      </c>
      <c r="Z928">
        <v>40365</v>
      </c>
      <c r="AA928">
        <v>0.1</v>
      </c>
      <c r="AB928">
        <v>44401.5</v>
      </c>
    </row>
    <row r="929" spans="1:28" x14ac:dyDescent="0.35">
      <c r="A929" t="str">
        <f t="shared" si="84"/>
        <v>EMP0928</v>
      </c>
      <c r="B929" t="str" cm="1">
        <f t="array" ref="B929">_xlfn.IFS(
ROW()&lt;=421,"NA",
ROW()&lt;=781,"LATAM",
ROW()&lt;=1021,"EMEA",
TRUE,"APAC"
)</f>
        <v>EMEA</v>
      </c>
      <c r="C929" t="str">
        <f t="shared" si="85"/>
        <v>Germany</v>
      </c>
      <c r="D929" t="s">
        <v>26</v>
      </c>
      <c r="E929" t="s">
        <v>380</v>
      </c>
      <c r="F929" t="s">
        <v>479</v>
      </c>
      <c r="G929" t="s">
        <v>28</v>
      </c>
      <c r="H929" s="2">
        <v>42951</v>
      </c>
      <c r="I929" t="s">
        <v>29</v>
      </c>
      <c r="J929" t="s">
        <v>30</v>
      </c>
      <c r="K929" t="str">
        <f t="shared" ca="1" si="88"/>
        <v>OK</v>
      </c>
      <c r="L929" t="s">
        <v>936</v>
      </c>
      <c r="M929">
        <v>5</v>
      </c>
      <c r="N929" s="2">
        <v>46020</v>
      </c>
      <c r="O929" s="2" t="s">
        <v>22</v>
      </c>
      <c r="P929" s="4">
        <f t="shared" ca="1" si="86"/>
        <v>8</v>
      </c>
      <c r="Q929" s="4" t="str">
        <f t="shared" ca="1" si="87"/>
        <v>6-10 Years</v>
      </c>
      <c r="R929">
        <f t="shared" ca="1" si="89"/>
        <v>0</v>
      </c>
      <c r="S929" t="s">
        <v>22</v>
      </c>
      <c r="T929">
        <v>2</v>
      </c>
      <c r="U929" t="s">
        <v>1394</v>
      </c>
      <c r="V929" t="s">
        <v>1394</v>
      </c>
      <c r="W929" t="s">
        <v>1394</v>
      </c>
      <c r="X929" s="3">
        <v>3</v>
      </c>
      <c r="Y929" t="s">
        <v>1398</v>
      </c>
      <c r="Z929">
        <v>39726</v>
      </c>
      <c r="AA929">
        <v>0.1</v>
      </c>
      <c r="AB929">
        <v>43698.600000000006</v>
      </c>
    </row>
    <row r="930" spans="1:28" x14ac:dyDescent="0.35">
      <c r="A930" t="str">
        <f t="shared" si="84"/>
        <v>EMP0929</v>
      </c>
      <c r="B930" t="str" cm="1">
        <f t="array" ref="B930">_xlfn.IFS(
ROW()&lt;=421,"NA",
ROW()&lt;=781,"LATAM",
ROW()&lt;=1021,"EMEA",
TRUE,"APAC"
)</f>
        <v>EMEA</v>
      </c>
      <c r="C930" t="str">
        <f t="shared" si="85"/>
        <v>Germany</v>
      </c>
      <c r="D930" t="s">
        <v>41</v>
      </c>
      <c r="E930" t="s">
        <v>380</v>
      </c>
      <c r="F930" t="s">
        <v>655</v>
      </c>
      <c r="G930" t="s">
        <v>53</v>
      </c>
      <c r="H930" s="2">
        <v>42944</v>
      </c>
      <c r="I930" t="s">
        <v>29</v>
      </c>
      <c r="J930" t="s">
        <v>42</v>
      </c>
      <c r="K930" t="str">
        <f t="shared" ca="1" si="88"/>
        <v>OK</v>
      </c>
      <c r="L930" t="s">
        <v>656</v>
      </c>
      <c r="M930">
        <v>5</v>
      </c>
      <c r="N930" s="2">
        <v>45995</v>
      </c>
      <c r="O930" s="2" t="s">
        <v>22</v>
      </c>
      <c r="P930" s="4">
        <f t="shared" ca="1" si="86"/>
        <v>8</v>
      </c>
      <c r="Q930" s="4" t="str">
        <f t="shared" ca="1" si="87"/>
        <v>6-10 Years</v>
      </c>
      <c r="R930">
        <f t="shared" ca="1" si="89"/>
        <v>0</v>
      </c>
      <c r="S930" t="s">
        <v>22</v>
      </c>
      <c r="T930">
        <v>3</v>
      </c>
      <c r="U930" t="s">
        <v>1396</v>
      </c>
      <c r="V930" t="s">
        <v>1394</v>
      </c>
      <c r="W930" t="s">
        <v>1394</v>
      </c>
      <c r="X930" s="3">
        <v>1</v>
      </c>
      <c r="Y930" t="s">
        <v>1397</v>
      </c>
      <c r="Z930">
        <v>38514</v>
      </c>
      <c r="AA930">
        <v>0.1</v>
      </c>
      <c r="AB930">
        <v>42365.4</v>
      </c>
    </row>
    <row r="931" spans="1:28" x14ac:dyDescent="0.35">
      <c r="A931" t="str">
        <f t="shared" si="84"/>
        <v>EMP0930</v>
      </c>
      <c r="B931" t="str" cm="1">
        <f t="array" ref="B931">_xlfn.IFS(
ROW()&lt;=421,"NA",
ROW()&lt;=781,"LATAM",
ROW()&lt;=1021,"EMEA",
TRUE,"APAC"
)</f>
        <v>EMEA</v>
      </c>
      <c r="C931" t="str">
        <f t="shared" si="85"/>
        <v>Germany</v>
      </c>
      <c r="D931" t="s">
        <v>32</v>
      </c>
      <c r="E931" t="s">
        <v>380</v>
      </c>
      <c r="F931" t="s">
        <v>691</v>
      </c>
      <c r="G931" t="s">
        <v>28</v>
      </c>
      <c r="H931" s="2">
        <v>42941</v>
      </c>
      <c r="I931" t="s">
        <v>29</v>
      </c>
      <c r="J931" t="s">
        <v>33</v>
      </c>
      <c r="K931" t="str">
        <f t="shared" ca="1" si="88"/>
        <v>OK</v>
      </c>
      <c r="L931" t="s">
        <v>833</v>
      </c>
      <c r="M931">
        <v>5</v>
      </c>
      <c r="N931" s="2">
        <v>46054</v>
      </c>
      <c r="O931" s="2" t="s">
        <v>22</v>
      </c>
      <c r="P931" s="4">
        <f t="shared" ca="1" si="86"/>
        <v>8</v>
      </c>
      <c r="Q931" s="4" t="str">
        <f t="shared" ca="1" si="87"/>
        <v>6-10 Years</v>
      </c>
      <c r="R931">
        <f t="shared" ca="1" si="89"/>
        <v>0</v>
      </c>
      <c r="S931" t="s">
        <v>22</v>
      </c>
      <c r="T931">
        <v>3</v>
      </c>
      <c r="U931" t="s">
        <v>1394</v>
      </c>
      <c r="V931" t="s">
        <v>1394</v>
      </c>
      <c r="W931" t="s">
        <v>1394</v>
      </c>
      <c r="X931" s="3">
        <v>4</v>
      </c>
      <c r="Y931" t="s">
        <v>1395</v>
      </c>
      <c r="Z931">
        <v>42473</v>
      </c>
      <c r="AA931">
        <v>0.1</v>
      </c>
      <c r="AB931">
        <v>46720.3</v>
      </c>
    </row>
    <row r="932" spans="1:28" x14ac:dyDescent="0.35">
      <c r="A932" t="str">
        <f t="shared" si="84"/>
        <v>EMP0931</v>
      </c>
      <c r="B932" t="str" cm="1">
        <f t="array" ref="B932">_xlfn.IFS(
ROW()&lt;=421,"NA",
ROW()&lt;=781,"LATAM",
ROW()&lt;=1021,"EMEA",
TRUE,"APAC"
)</f>
        <v>EMEA</v>
      </c>
      <c r="C932" t="str">
        <f t="shared" si="85"/>
        <v>Germany</v>
      </c>
      <c r="D932" t="s">
        <v>32</v>
      </c>
      <c r="E932" t="s">
        <v>380</v>
      </c>
      <c r="F932" t="s">
        <v>391</v>
      </c>
      <c r="G932" t="s">
        <v>28</v>
      </c>
      <c r="H932" s="2">
        <v>42940</v>
      </c>
      <c r="I932" t="s">
        <v>29</v>
      </c>
      <c r="J932" t="s">
        <v>33</v>
      </c>
      <c r="K932" t="str">
        <f t="shared" ca="1" si="88"/>
        <v>OK</v>
      </c>
      <c r="L932" t="s">
        <v>392</v>
      </c>
      <c r="M932">
        <v>5</v>
      </c>
      <c r="N932" s="2">
        <v>46076</v>
      </c>
      <c r="O932" s="2" t="s">
        <v>22</v>
      </c>
      <c r="P932" s="4">
        <f t="shared" ca="1" si="86"/>
        <v>8</v>
      </c>
      <c r="Q932" s="4" t="str">
        <f t="shared" ca="1" si="87"/>
        <v>6-10 Years</v>
      </c>
      <c r="R932">
        <f t="shared" ca="1" si="89"/>
        <v>0</v>
      </c>
      <c r="S932" t="s">
        <v>22</v>
      </c>
      <c r="T932">
        <v>4</v>
      </c>
      <c r="U932" t="s">
        <v>1394</v>
      </c>
      <c r="V932" t="s">
        <v>1394</v>
      </c>
      <c r="W932" t="s">
        <v>1394</v>
      </c>
      <c r="X932" s="3">
        <v>4</v>
      </c>
      <c r="Y932" t="s">
        <v>1395</v>
      </c>
      <c r="Z932">
        <v>41748</v>
      </c>
      <c r="AA932">
        <v>0.1</v>
      </c>
      <c r="AB932">
        <v>45922.8</v>
      </c>
    </row>
    <row r="933" spans="1:28" x14ac:dyDescent="0.35">
      <c r="A933" t="str">
        <f t="shared" si="84"/>
        <v>EMP0932</v>
      </c>
      <c r="B933" t="str" cm="1">
        <f t="array" ref="B933">_xlfn.IFS(
ROW()&lt;=421,"NA",
ROW()&lt;=781,"LATAM",
ROW()&lt;=1021,"EMEA",
TRUE,"APAC"
)</f>
        <v>EMEA</v>
      </c>
      <c r="C933" t="str">
        <f t="shared" si="85"/>
        <v>Germany</v>
      </c>
      <c r="D933" t="s">
        <v>35</v>
      </c>
      <c r="E933" t="s">
        <v>45</v>
      </c>
      <c r="F933" t="s">
        <v>56</v>
      </c>
      <c r="G933" t="s">
        <v>28</v>
      </c>
      <c r="H933" s="2">
        <v>42938</v>
      </c>
      <c r="I933" t="s">
        <v>29</v>
      </c>
      <c r="J933" t="s">
        <v>36</v>
      </c>
      <c r="K933" t="str">
        <f t="shared" ca="1" si="88"/>
        <v>OK</v>
      </c>
      <c r="L933" t="s">
        <v>63</v>
      </c>
      <c r="M933">
        <v>2</v>
      </c>
      <c r="N933" s="2">
        <v>46072</v>
      </c>
      <c r="O933" s="2" t="s">
        <v>22</v>
      </c>
      <c r="P933" s="4">
        <f t="shared" ca="1" si="86"/>
        <v>8</v>
      </c>
      <c r="Q933" s="4" t="str">
        <f t="shared" ca="1" si="87"/>
        <v>6-10 Years</v>
      </c>
      <c r="R933">
        <f t="shared" ca="1" si="89"/>
        <v>0</v>
      </c>
      <c r="S933" t="s">
        <v>22</v>
      </c>
      <c r="T933">
        <v>4</v>
      </c>
      <c r="U933" t="s">
        <v>1394</v>
      </c>
      <c r="V933" t="s">
        <v>1394</v>
      </c>
      <c r="W933" t="s">
        <v>1394</v>
      </c>
      <c r="X933" s="3">
        <v>5</v>
      </c>
      <c r="Y933" t="s">
        <v>1395</v>
      </c>
      <c r="Z933">
        <v>159860</v>
      </c>
      <c r="AA933">
        <v>0.25</v>
      </c>
      <c r="AB933">
        <v>199825</v>
      </c>
    </row>
    <row r="934" spans="1:28" x14ac:dyDescent="0.35">
      <c r="A934" t="str">
        <f t="shared" si="84"/>
        <v>EMP0933</v>
      </c>
      <c r="B934" t="str" cm="1">
        <f t="array" ref="B934">_xlfn.IFS(
ROW()&lt;=421,"NA",
ROW()&lt;=781,"LATAM",
ROW()&lt;=1021,"EMEA",
TRUE,"APAC"
)</f>
        <v>EMEA</v>
      </c>
      <c r="C934" t="str">
        <f t="shared" si="85"/>
        <v>Germany</v>
      </c>
      <c r="D934" t="s">
        <v>41</v>
      </c>
      <c r="E934" t="s">
        <v>380</v>
      </c>
      <c r="F934" t="s">
        <v>424</v>
      </c>
      <c r="G934" t="s">
        <v>28</v>
      </c>
      <c r="H934" s="2">
        <v>42937</v>
      </c>
      <c r="I934" t="s">
        <v>57</v>
      </c>
      <c r="J934" t="s">
        <v>42</v>
      </c>
      <c r="K934" t="str">
        <f t="shared" ca="1" si="88"/>
        <v>OK</v>
      </c>
      <c r="L934" t="s">
        <v>552</v>
      </c>
      <c r="M934">
        <v>5</v>
      </c>
      <c r="N934" s="2">
        <v>46010</v>
      </c>
      <c r="O934" s="2">
        <v>45005</v>
      </c>
      <c r="P934" s="4">
        <f t="shared" ca="1" si="86"/>
        <v>5</v>
      </c>
      <c r="Q934" s="4" t="str">
        <f t="shared" ca="1" si="87"/>
        <v>3-5 Years</v>
      </c>
      <c r="R934">
        <f t="shared" ca="1" si="89"/>
        <v>0</v>
      </c>
      <c r="S934" t="s">
        <v>23</v>
      </c>
      <c r="T934">
        <v>2</v>
      </c>
      <c r="U934" t="s">
        <v>1396</v>
      </c>
      <c r="V934" t="s">
        <v>1396</v>
      </c>
      <c r="W934" t="s">
        <v>1394</v>
      </c>
      <c r="X934" s="3">
        <v>1</v>
      </c>
      <c r="Y934" t="s">
        <v>1397</v>
      </c>
      <c r="Z934">
        <v>48951</v>
      </c>
      <c r="AA934">
        <v>0.1</v>
      </c>
      <c r="AB934">
        <v>53846.100000000006</v>
      </c>
    </row>
    <row r="935" spans="1:28" x14ac:dyDescent="0.35">
      <c r="A935" t="str">
        <f t="shared" si="84"/>
        <v>EMP0934</v>
      </c>
      <c r="B935" t="str" cm="1">
        <f t="array" ref="B935">_xlfn.IFS(
ROW()&lt;=421,"NA",
ROW()&lt;=781,"LATAM",
ROW()&lt;=1021,"EMEA",
TRUE,"APAC"
)</f>
        <v>EMEA</v>
      </c>
      <c r="C935" t="str">
        <f t="shared" si="85"/>
        <v>Germany</v>
      </c>
      <c r="D935" t="s">
        <v>26</v>
      </c>
      <c r="E935" t="s">
        <v>380</v>
      </c>
      <c r="F935" t="s">
        <v>968</v>
      </c>
      <c r="G935" t="s">
        <v>28</v>
      </c>
      <c r="H935" s="2">
        <v>42931</v>
      </c>
      <c r="I935" t="s">
        <v>29</v>
      </c>
      <c r="J935" t="s">
        <v>30</v>
      </c>
      <c r="K935" t="str">
        <f t="shared" ca="1" si="88"/>
        <v>OK</v>
      </c>
      <c r="L935" t="s">
        <v>1112</v>
      </c>
      <c r="M935">
        <v>5</v>
      </c>
      <c r="N935" s="2">
        <v>45994</v>
      </c>
      <c r="O935" s="2" t="s">
        <v>22</v>
      </c>
      <c r="P935" s="4">
        <f t="shared" ca="1" si="86"/>
        <v>8</v>
      </c>
      <c r="Q935" s="4" t="str">
        <f t="shared" ca="1" si="87"/>
        <v>6-10 Years</v>
      </c>
      <c r="R935">
        <f t="shared" ca="1" si="89"/>
        <v>0</v>
      </c>
      <c r="S935" t="s">
        <v>22</v>
      </c>
      <c r="T935">
        <v>3</v>
      </c>
      <c r="U935" t="s">
        <v>1394</v>
      </c>
      <c r="V935" t="s">
        <v>1394</v>
      </c>
      <c r="W935" t="s">
        <v>1394</v>
      </c>
      <c r="X935" s="3">
        <v>3</v>
      </c>
      <c r="Y935" t="s">
        <v>1398</v>
      </c>
      <c r="Z935">
        <v>32214</v>
      </c>
      <c r="AA935">
        <v>0.1</v>
      </c>
      <c r="AB935">
        <v>35435.4</v>
      </c>
    </row>
    <row r="936" spans="1:28" x14ac:dyDescent="0.35">
      <c r="A936" t="str">
        <f t="shared" si="84"/>
        <v>EMP0935</v>
      </c>
      <c r="B936" t="str" cm="1">
        <f t="array" ref="B936">_xlfn.IFS(
ROW()&lt;=421,"NA",
ROW()&lt;=781,"LATAM",
ROW()&lt;=1021,"EMEA",
TRUE,"APAC"
)</f>
        <v>EMEA</v>
      </c>
      <c r="C936" t="str">
        <f t="shared" si="85"/>
        <v>Germany</v>
      </c>
      <c r="D936" t="s">
        <v>38</v>
      </c>
      <c r="E936" t="s">
        <v>380</v>
      </c>
      <c r="F936" t="s">
        <v>573</v>
      </c>
      <c r="G936" t="s">
        <v>28</v>
      </c>
      <c r="H936" s="2">
        <v>42930</v>
      </c>
      <c r="I936" t="s">
        <v>29</v>
      </c>
      <c r="J936" t="s">
        <v>39</v>
      </c>
      <c r="K936" t="str">
        <f t="shared" ca="1" si="88"/>
        <v>OK</v>
      </c>
      <c r="L936" t="s">
        <v>874</v>
      </c>
      <c r="M936">
        <v>5</v>
      </c>
      <c r="N936" s="2">
        <v>46053</v>
      </c>
      <c r="O936" s="2" t="s">
        <v>22</v>
      </c>
      <c r="P936" s="4">
        <f t="shared" ca="1" si="86"/>
        <v>8</v>
      </c>
      <c r="Q936" s="4" t="str">
        <f t="shared" ca="1" si="87"/>
        <v>6-10 Years</v>
      </c>
      <c r="R936">
        <f t="shared" ca="1" si="89"/>
        <v>0</v>
      </c>
      <c r="S936" t="s">
        <v>22</v>
      </c>
      <c r="T936">
        <v>3</v>
      </c>
      <c r="U936" t="s">
        <v>1394</v>
      </c>
      <c r="V936" t="s">
        <v>1394</v>
      </c>
      <c r="W936" t="s">
        <v>1394</v>
      </c>
      <c r="X936" s="3">
        <v>2</v>
      </c>
      <c r="Y936" t="s">
        <v>1397</v>
      </c>
      <c r="Z936">
        <v>49158</v>
      </c>
      <c r="AA936">
        <v>0.1</v>
      </c>
      <c r="AB936">
        <v>54073.8</v>
      </c>
    </row>
    <row r="937" spans="1:28" x14ac:dyDescent="0.35">
      <c r="A937" t="str">
        <f t="shared" si="84"/>
        <v>EMP0936</v>
      </c>
      <c r="B937" t="str" cm="1">
        <f t="array" ref="B937">_xlfn.IFS(
ROW()&lt;=421,"NA",
ROW()&lt;=781,"LATAM",
ROW()&lt;=1021,"EMEA",
TRUE,"APAC"
)</f>
        <v>EMEA</v>
      </c>
      <c r="C937" t="str">
        <f t="shared" si="85"/>
        <v>Germany</v>
      </c>
      <c r="D937" t="s">
        <v>41</v>
      </c>
      <c r="E937" t="s">
        <v>380</v>
      </c>
      <c r="F937" t="s">
        <v>381</v>
      </c>
      <c r="G937" t="s">
        <v>53</v>
      </c>
      <c r="H937" s="2">
        <v>42928</v>
      </c>
      <c r="I937" t="s">
        <v>29</v>
      </c>
      <c r="J937" t="s">
        <v>42</v>
      </c>
      <c r="K937" t="str">
        <f t="shared" ca="1" si="88"/>
        <v>OK</v>
      </c>
      <c r="L937" t="s">
        <v>569</v>
      </c>
      <c r="M937">
        <v>5</v>
      </c>
      <c r="N937" s="2">
        <v>46019</v>
      </c>
      <c r="O937" s="2" t="s">
        <v>22</v>
      </c>
      <c r="P937" s="4">
        <f t="shared" ca="1" si="86"/>
        <v>8</v>
      </c>
      <c r="Q937" s="4" t="str">
        <f t="shared" ca="1" si="87"/>
        <v>6-10 Years</v>
      </c>
      <c r="R937">
        <f t="shared" ca="1" si="89"/>
        <v>0</v>
      </c>
      <c r="S937" t="s">
        <v>22</v>
      </c>
      <c r="T937">
        <v>4</v>
      </c>
      <c r="U937" t="s">
        <v>1394</v>
      </c>
      <c r="V937" t="s">
        <v>1396</v>
      </c>
      <c r="W937" t="s">
        <v>1396</v>
      </c>
      <c r="X937" s="3">
        <v>1</v>
      </c>
      <c r="Y937" t="s">
        <v>1397</v>
      </c>
      <c r="Z937">
        <v>46527</v>
      </c>
      <c r="AA937">
        <v>0.1</v>
      </c>
      <c r="AB937">
        <v>51179.700000000004</v>
      </c>
    </row>
    <row r="938" spans="1:28" x14ac:dyDescent="0.35">
      <c r="A938" t="str">
        <f t="shared" si="84"/>
        <v>EMP0937</v>
      </c>
      <c r="B938" t="str" cm="1">
        <f t="array" ref="B938">_xlfn.IFS(
ROW()&lt;=421,"NA",
ROW()&lt;=781,"LATAM",
ROW()&lt;=1021,"EMEA",
TRUE,"APAC"
)</f>
        <v>EMEA</v>
      </c>
      <c r="C938" t="str">
        <f t="shared" si="85"/>
        <v>Germany</v>
      </c>
      <c r="D938" t="s">
        <v>35</v>
      </c>
      <c r="E938" t="s">
        <v>380</v>
      </c>
      <c r="F938" t="s">
        <v>611</v>
      </c>
      <c r="G938" t="s">
        <v>28</v>
      </c>
      <c r="H938" s="2">
        <v>42928</v>
      </c>
      <c r="I938" t="s">
        <v>57</v>
      </c>
      <c r="J938" t="s">
        <v>36</v>
      </c>
      <c r="K938" t="str">
        <f t="shared" ca="1" si="88"/>
        <v>OK</v>
      </c>
      <c r="L938" t="s">
        <v>1162</v>
      </c>
      <c r="M938">
        <v>5</v>
      </c>
      <c r="N938" s="2">
        <v>46062</v>
      </c>
      <c r="O938" s="2">
        <v>45242</v>
      </c>
      <c r="P938" s="4">
        <f t="shared" ca="1" si="86"/>
        <v>6</v>
      </c>
      <c r="Q938" s="4" t="str">
        <f t="shared" ca="1" si="87"/>
        <v>6-10 Years</v>
      </c>
      <c r="R938">
        <f t="shared" ca="1" si="89"/>
        <v>0</v>
      </c>
      <c r="S938" t="s">
        <v>23</v>
      </c>
      <c r="T938">
        <v>5</v>
      </c>
      <c r="U938" t="s">
        <v>1394</v>
      </c>
      <c r="V938" t="s">
        <v>1394</v>
      </c>
      <c r="W938" t="s">
        <v>1394</v>
      </c>
      <c r="X938" s="3">
        <v>5</v>
      </c>
      <c r="Y938" t="s">
        <v>1395</v>
      </c>
      <c r="Z938">
        <v>30363</v>
      </c>
      <c r="AA938">
        <v>0.1</v>
      </c>
      <c r="AB938">
        <v>33399.300000000003</v>
      </c>
    </row>
    <row r="939" spans="1:28" x14ac:dyDescent="0.35">
      <c r="A939" t="str">
        <f t="shared" si="84"/>
        <v>EMP0938</v>
      </c>
      <c r="B939" t="str" cm="1">
        <f t="array" ref="B939">_xlfn.IFS(
ROW()&lt;=421,"NA",
ROW()&lt;=781,"LATAM",
ROW()&lt;=1021,"EMEA",
TRUE,"APAC"
)</f>
        <v>EMEA</v>
      </c>
      <c r="C939" t="str">
        <f t="shared" si="85"/>
        <v>Germany</v>
      </c>
      <c r="D939" t="s">
        <v>44</v>
      </c>
      <c r="E939" t="s">
        <v>380</v>
      </c>
      <c r="F939" t="s">
        <v>598</v>
      </c>
      <c r="G939" t="s">
        <v>28</v>
      </c>
      <c r="H939" s="2">
        <v>42924</v>
      </c>
      <c r="I939" t="s">
        <v>29</v>
      </c>
      <c r="J939" t="s">
        <v>47</v>
      </c>
      <c r="K939" t="str">
        <f t="shared" ca="1" si="88"/>
        <v>OK</v>
      </c>
      <c r="L939" t="s">
        <v>757</v>
      </c>
      <c r="M939">
        <v>5</v>
      </c>
      <c r="N939" s="2">
        <v>46058</v>
      </c>
      <c r="O939" s="2" t="s">
        <v>22</v>
      </c>
      <c r="P939" s="4">
        <f t="shared" ca="1" si="86"/>
        <v>8</v>
      </c>
      <c r="Q939" s="4" t="str">
        <f t="shared" ca="1" si="87"/>
        <v>6-10 Years</v>
      </c>
      <c r="R939">
        <f t="shared" ca="1" si="89"/>
        <v>0</v>
      </c>
      <c r="S939" t="s">
        <v>22</v>
      </c>
      <c r="T939">
        <v>3</v>
      </c>
      <c r="U939" t="s">
        <v>1394</v>
      </c>
      <c r="V939" t="s">
        <v>1394</v>
      </c>
      <c r="W939" t="s">
        <v>1394</v>
      </c>
      <c r="X939" s="3">
        <v>2</v>
      </c>
      <c r="Y939" t="s">
        <v>1397</v>
      </c>
      <c r="Z939">
        <v>48966</v>
      </c>
      <c r="AA939">
        <v>0.1</v>
      </c>
      <c r="AB939">
        <v>53862.600000000006</v>
      </c>
    </row>
    <row r="940" spans="1:28" x14ac:dyDescent="0.35">
      <c r="A940" t="str">
        <f t="shared" si="84"/>
        <v>EMP0939</v>
      </c>
      <c r="B940" t="str" cm="1">
        <f t="array" ref="B940">_xlfn.IFS(
ROW()&lt;=421,"NA",
ROW()&lt;=781,"LATAM",
ROW()&lt;=1021,"EMEA",
TRUE,"APAC"
)</f>
        <v>EMEA</v>
      </c>
      <c r="C940" t="str">
        <f t="shared" si="85"/>
        <v>Germany</v>
      </c>
      <c r="D940" t="s">
        <v>41</v>
      </c>
      <c r="E940" t="s">
        <v>145</v>
      </c>
      <c r="F940" t="s">
        <v>156</v>
      </c>
      <c r="G940" t="s">
        <v>28</v>
      </c>
      <c r="H940" s="2">
        <v>42922</v>
      </c>
      <c r="I940" t="s">
        <v>29</v>
      </c>
      <c r="J940" t="s">
        <v>42</v>
      </c>
      <c r="K940" t="str">
        <f t="shared" ca="1" si="88"/>
        <v>OK</v>
      </c>
      <c r="L940" t="s">
        <v>339</v>
      </c>
      <c r="M940">
        <v>4</v>
      </c>
      <c r="N940" s="2">
        <v>46057</v>
      </c>
      <c r="O940" s="2" t="s">
        <v>22</v>
      </c>
      <c r="P940" s="4">
        <f t="shared" ca="1" si="86"/>
        <v>8</v>
      </c>
      <c r="Q940" s="4" t="str">
        <f t="shared" ca="1" si="87"/>
        <v>6-10 Years</v>
      </c>
      <c r="R940">
        <f t="shared" ca="1" si="89"/>
        <v>0</v>
      </c>
      <c r="S940" t="s">
        <v>22</v>
      </c>
      <c r="T940">
        <v>3</v>
      </c>
      <c r="U940" t="s">
        <v>1394</v>
      </c>
      <c r="V940" t="s">
        <v>1394</v>
      </c>
      <c r="W940" t="s">
        <v>1394</v>
      </c>
      <c r="X940" s="3">
        <v>1</v>
      </c>
      <c r="Y940" t="s">
        <v>1397</v>
      </c>
      <c r="Z940">
        <v>84259</v>
      </c>
      <c r="AA940">
        <v>0.15</v>
      </c>
      <c r="AB940">
        <v>96897.849999999991</v>
      </c>
    </row>
    <row r="941" spans="1:28" x14ac:dyDescent="0.35">
      <c r="A941" t="str">
        <f t="shared" si="84"/>
        <v>EMP0940</v>
      </c>
      <c r="B941" t="str" cm="1">
        <f t="array" ref="B941">_xlfn.IFS(
ROW()&lt;=421,"NA",
ROW()&lt;=781,"LATAM",
ROW()&lt;=1021,"EMEA",
TRUE,"APAC"
)</f>
        <v>EMEA</v>
      </c>
      <c r="C941" t="str">
        <f t="shared" si="85"/>
        <v>Germany</v>
      </c>
      <c r="D941" t="s">
        <v>44</v>
      </c>
      <c r="E941" t="s">
        <v>380</v>
      </c>
      <c r="F941" t="s">
        <v>623</v>
      </c>
      <c r="G941" t="s">
        <v>28</v>
      </c>
      <c r="H941" s="2">
        <v>42922</v>
      </c>
      <c r="I941" t="s">
        <v>29</v>
      </c>
      <c r="J941" t="s">
        <v>47</v>
      </c>
      <c r="K941" t="str">
        <f t="shared" ca="1" si="88"/>
        <v>OK</v>
      </c>
      <c r="L941" t="s">
        <v>816</v>
      </c>
      <c r="M941">
        <v>5</v>
      </c>
      <c r="N941" s="2">
        <v>46050</v>
      </c>
      <c r="O941" s="2" t="s">
        <v>22</v>
      </c>
      <c r="P941" s="4">
        <f t="shared" ca="1" si="86"/>
        <v>8</v>
      </c>
      <c r="Q941" s="4" t="str">
        <f t="shared" ca="1" si="87"/>
        <v>6-10 Years</v>
      </c>
      <c r="R941">
        <f t="shared" ca="1" si="89"/>
        <v>0</v>
      </c>
      <c r="S941" t="s">
        <v>22</v>
      </c>
      <c r="T941">
        <v>5</v>
      </c>
      <c r="U941" t="s">
        <v>1394</v>
      </c>
      <c r="V941" t="s">
        <v>1394</v>
      </c>
      <c r="W941" t="s">
        <v>1394</v>
      </c>
      <c r="X941" s="3">
        <v>4</v>
      </c>
      <c r="Y941" t="s">
        <v>1395</v>
      </c>
      <c r="Z941">
        <v>41390</v>
      </c>
      <c r="AA941">
        <v>0.1</v>
      </c>
      <c r="AB941">
        <v>45529.000000000007</v>
      </c>
    </row>
    <row r="942" spans="1:28" x14ac:dyDescent="0.35">
      <c r="A942" t="str">
        <f t="shared" si="84"/>
        <v>EMP0941</v>
      </c>
      <c r="B942" t="str" cm="1">
        <f t="array" ref="B942">_xlfn.IFS(
ROW()&lt;=421,"NA",
ROW()&lt;=781,"LATAM",
ROW()&lt;=1021,"EMEA",
TRUE,"APAC"
)</f>
        <v>EMEA</v>
      </c>
      <c r="C942" t="str">
        <f t="shared" si="85"/>
        <v>Germany</v>
      </c>
      <c r="D942" t="s">
        <v>41</v>
      </c>
      <c r="E942" t="s">
        <v>380</v>
      </c>
      <c r="F942" t="s">
        <v>518</v>
      </c>
      <c r="G942" t="s">
        <v>28</v>
      </c>
      <c r="H942" s="2">
        <v>42919</v>
      </c>
      <c r="I942" t="s">
        <v>29</v>
      </c>
      <c r="J942" t="s">
        <v>42</v>
      </c>
      <c r="K942" t="str">
        <f t="shared" ca="1" si="88"/>
        <v>OK</v>
      </c>
      <c r="L942" t="s">
        <v>901</v>
      </c>
      <c r="M942">
        <v>5</v>
      </c>
      <c r="N942" s="2">
        <v>46003</v>
      </c>
      <c r="O942" s="2" t="s">
        <v>22</v>
      </c>
      <c r="P942" s="4">
        <f t="shared" ca="1" si="86"/>
        <v>8</v>
      </c>
      <c r="Q942" s="4" t="str">
        <f t="shared" ca="1" si="87"/>
        <v>6-10 Years</v>
      </c>
      <c r="R942">
        <f t="shared" ca="1" si="89"/>
        <v>0</v>
      </c>
      <c r="S942" t="s">
        <v>22</v>
      </c>
      <c r="T942">
        <v>3</v>
      </c>
      <c r="U942" t="s">
        <v>1394</v>
      </c>
      <c r="V942" t="s">
        <v>1394</v>
      </c>
      <c r="W942" t="s">
        <v>1394</v>
      </c>
      <c r="X942" s="3">
        <v>1</v>
      </c>
      <c r="Y942" t="s">
        <v>1397</v>
      </c>
      <c r="Z942">
        <v>44721</v>
      </c>
      <c r="AA942">
        <v>0.1</v>
      </c>
      <c r="AB942">
        <v>49193.100000000006</v>
      </c>
    </row>
    <row r="943" spans="1:28" x14ac:dyDescent="0.35">
      <c r="A943" t="str">
        <f t="shared" si="84"/>
        <v>EMP0942</v>
      </c>
      <c r="B943" t="str" cm="1">
        <f t="array" ref="B943">_xlfn.IFS(
ROW()&lt;=421,"NA",
ROW()&lt;=781,"LATAM",
ROW()&lt;=1021,"EMEA",
TRUE,"APAC"
)</f>
        <v>EMEA</v>
      </c>
      <c r="C943" t="str">
        <f t="shared" si="85"/>
        <v>Germany</v>
      </c>
      <c r="D943" t="s">
        <v>35</v>
      </c>
      <c r="E943" t="s">
        <v>380</v>
      </c>
      <c r="F943" t="s">
        <v>904</v>
      </c>
      <c r="G943" t="s">
        <v>28</v>
      </c>
      <c r="H943" s="2">
        <v>42918</v>
      </c>
      <c r="I943" t="s">
        <v>29</v>
      </c>
      <c r="J943" t="s">
        <v>36</v>
      </c>
      <c r="K943" t="str">
        <f t="shared" ca="1" si="88"/>
        <v>OK</v>
      </c>
      <c r="L943" t="s">
        <v>1080</v>
      </c>
      <c r="M943">
        <v>5</v>
      </c>
      <c r="N943" s="2">
        <v>46064</v>
      </c>
      <c r="O943" s="2" t="s">
        <v>22</v>
      </c>
      <c r="P943" s="4">
        <f t="shared" ca="1" si="86"/>
        <v>8</v>
      </c>
      <c r="Q943" s="4" t="str">
        <f t="shared" ca="1" si="87"/>
        <v>6-10 Years</v>
      </c>
      <c r="R943">
        <f t="shared" ca="1" si="89"/>
        <v>0</v>
      </c>
      <c r="S943" t="s">
        <v>22</v>
      </c>
      <c r="T943">
        <v>4</v>
      </c>
      <c r="U943" t="s">
        <v>1396</v>
      </c>
      <c r="V943" t="s">
        <v>1394</v>
      </c>
      <c r="W943" t="s">
        <v>1394</v>
      </c>
      <c r="X943" s="3">
        <v>1</v>
      </c>
      <c r="Y943" t="s">
        <v>1397</v>
      </c>
      <c r="Z943">
        <v>37787</v>
      </c>
      <c r="AA943">
        <v>0.1</v>
      </c>
      <c r="AB943">
        <v>41565.700000000004</v>
      </c>
    </row>
    <row r="944" spans="1:28" x14ac:dyDescent="0.35">
      <c r="A944" t="str">
        <f t="shared" si="84"/>
        <v>EMP0943</v>
      </c>
      <c r="B944" t="str" cm="1">
        <f t="array" ref="B944">_xlfn.IFS(
ROW()&lt;=421,"NA",
ROW()&lt;=781,"LATAM",
ROW()&lt;=1021,"EMEA",
TRUE,"APAC"
)</f>
        <v>EMEA</v>
      </c>
      <c r="C944" t="str">
        <f t="shared" si="85"/>
        <v>Germany</v>
      </c>
      <c r="D944" t="s">
        <v>38</v>
      </c>
      <c r="E944" t="s">
        <v>380</v>
      </c>
      <c r="F944" t="s">
        <v>518</v>
      </c>
      <c r="G944" t="s">
        <v>28</v>
      </c>
      <c r="H944" s="2">
        <v>42909</v>
      </c>
      <c r="I944" t="s">
        <v>57</v>
      </c>
      <c r="J944" t="s">
        <v>39</v>
      </c>
      <c r="K944" t="str">
        <f t="shared" ca="1" si="88"/>
        <v>OK</v>
      </c>
      <c r="L944" t="s">
        <v>1118</v>
      </c>
      <c r="M944">
        <v>5</v>
      </c>
      <c r="N944" s="2">
        <v>46069</v>
      </c>
      <c r="O944" s="2">
        <v>43457</v>
      </c>
      <c r="P944" s="4">
        <f t="shared" ca="1" si="86"/>
        <v>1</v>
      </c>
      <c r="Q944" s="4" t="str">
        <f t="shared" ca="1" si="87"/>
        <v>0-2 Years</v>
      </c>
      <c r="R944">
        <f t="shared" ca="1" si="89"/>
        <v>1</v>
      </c>
      <c r="S944" t="s">
        <v>24</v>
      </c>
      <c r="T944">
        <v>4</v>
      </c>
      <c r="U944" t="s">
        <v>1394</v>
      </c>
      <c r="V944" t="s">
        <v>1396</v>
      </c>
      <c r="W944" t="s">
        <v>1394</v>
      </c>
      <c r="X944" s="3">
        <v>2</v>
      </c>
      <c r="Y944" t="s">
        <v>1397</v>
      </c>
      <c r="Z944">
        <v>27692</v>
      </c>
      <c r="AA944">
        <v>0.1</v>
      </c>
      <c r="AB944">
        <v>30461.200000000001</v>
      </c>
    </row>
    <row r="945" spans="1:28" x14ac:dyDescent="0.35">
      <c r="A945" t="str">
        <f t="shared" si="84"/>
        <v>EMP0944</v>
      </c>
      <c r="B945" t="str" cm="1">
        <f t="array" ref="B945">_xlfn.IFS(
ROW()&lt;=421,"NA",
ROW()&lt;=781,"LATAM",
ROW()&lt;=1021,"EMEA",
TRUE,"APAC"
)</f>
        <v>EMEA</v>
      </c>
      <c r="C945" t="str">
        <f t="shared" si="85"/>
        <v>Germany</v>
      </c>
      <c r="D945" t="s">
        <v>35</v>
      </c>
      <c r="E945" t="s">
        <v>380</v>
      </c>
      <c r="F945" t="s">
        <v>584</v>
      </c>
      <c r="G945" t="s">
        <v>28</v>
      </c>
      <c r="H945" s="2">
        <v>42898</v>
      </c>
      <c r="I945" t="s">
        <v>29</v>
      </c>
      <c r="J945" t="s">
        <v>36</v>
      </c>
      <c r="K945" t="str">
        <f t="shared" ca="1" si="88"/>
        <v>OK</v>
      </c>
      <c r="L945" t="s">
        <v>877</v>
      </c>
      <c r="M945">
        <v>5</v>
      </c>
      <c r="N945" s="2">
        <v>46020</v>
      </c>
      <c r="O945" s="2" t="s">
        <v>22</v>
      </c>
      <c r="P945" s="4">
        <f t="shared" ca="1" si="86"/>
        <v>8</v>
      </c>
      <c r="Q945" s="4" t="str">
        <f t="shared" ca="1" si="87"/>
        <v>6-10 Years</v>
      </c>
      <c r="R945">
        <f t="shared" ca="1" si="89"/>
        <v>0</v>
      </c>
      <c r="S945" t="s">
        <v>22</v>
      </c>
      <c r="T945">
        <v>4</v>
      </c>
      <c r="U945" t="s">
        <v>1394</v>
      </c>
      <c r="V945" t="s">
        <v>1396</v>
      </c>
      <c r="W945" t="s">
        <v>1396</v>
      </c>
      <c r="X945" s="3">
        <v>3</v>
      </c>
      <c r="Y945" t="s">
        <v>1398</v>
      </c>
      <c r="Z945">
        <v>21736</v>
      </c>
      <c r="AA945">
        <v>0.1</v>
      </c>
      <c r="AB945">
        <v>23909.600000000002</v>
      </c>
    </row>
    <row r="946" spans="1:28" x14ac:dyDescent="0.35">
      <c r="A946" t="str">
        <f t="shared" si="84"/>
        <v>EMP0945</v>
      </c>
      <c r="B946" t="str" cm="1">
        <f t="array" ref="B946">_xlfn.IFS(
ROW()&lt;=421,"NA",
ROW()&lt;=781,"LATAM",
ROW()&lt;=1021,"EMEA",
TRUE,"APAC"
)</f>
        <v>EMEA</v>
      </c>
      <c r="C946" t="str">
        <f t="shared" si="85"/>
        <v>Germany</v>
      </c>
      <c r="D946" t="s">
        <v>44</v>
      </c>
      <c r="E946" t="s">
        <v>380</v>
      </c>
      <c r="F946" t="s">
        <v>553</v>
      </c>
      <c r="G946" t="s">
        <v>28</v>
      </c>
      <c r="H946" s="2">
        <v>42898</v>
      </c>
      <c r="I946" t="s">
        <v>29</v>
      </c>
      <c r="J946" t="s">
        <v>47</v>
      </c>
      <c r="K946" t="str">
        <f t="shared" ca="1" si="88"/>
        <v>OK</v>
      </c>
      <c r="L946" t="s">
        <v>1177</v>
      </c>
      <c r="M946">
        <v>5</v>
      </c>
      <c r="N946" s="2">
        <v>46056</v>
      </c>
      <c r="O946" s="2" t="s">
        <v>22</v>
      </c>
      <c r="P946" s="4">
        <f t="shared" ca="1" si="86"/>
        <v>8</v>
      </c>
      <c r="Q946" s="4" t="str">
        <f t="shared" ca="1" si="87"/>
        <v>6-10 Years</v>
      </c>
      <c r="R946">
        <f t="shared" ca="1" si="89"/>
        <v>0</v>
      </c>
      <c r="S946" t="s">
        <v>22</v>
      </c>
      <c r="T946">
        <v>3</v>
      </c>
      <c r="U946" t="s">
        <v>1396</v>
      </c>
      <c r="V946" t="s">
        <v>1396</v>
      </c>
      <c r="W946" t="s">
        <v>1394</v>
      </c>
      <c r="X946" s="3">
        <v>3</v>
      </c>
      <c r="Y946" t="s">
        <v>1398</v>
      </c>
      <c r="Z946">
        <v>37303</v>
      </c>
      <c r="AA946">
        <v>0.1</v>
      </c>
      <c r="AB946">
        <v>41033.300000000003</v>
      </c>
    </row>
    <row r="947" spans="1:28" x14ac:dyDescent="0.35">
      <c r="A947" t="str">
        <f t="shared" si="84"/>
        <v>EMP0946</v>
      </c>
      <c r="B947" t="str" cm="1">
        <f t="array" ref="B947">_xlfn.IFS(
ROW()&lt;=421,"NA",
ROW()&lt;=781,"LATAM",
ROW()&lt;=1021,"EMEA",
TRUE,"APAC"
)</f>
        <v>EMEA</v>
      </c>
      <c r="C947" t="str">
        <f t="shared" si="85"/>
        <v>Germany</v>
      </c>
      <c r="D947" t="s">
        <v>41</v>
      </c>
      <c r="E947" t="s">
        <v>69</v>
      </c>
      <c r="F947" t="s">
        <v>94</v>
      </c>
      <c r="G947" t="s">
        <v>28</v>
      </c>
      <c r="H947" s="2">
        <v>42895</v>
      </c>
      <c r="I947" t="s">
        <v>29</v>
      </c>
      <c r="J947" t="s">
        <v>42</v>
      </c>
      <c r="K947" t="str">
        <f t="shared" ca="1" si="88"/>
        <v>OK</v>
      </c>
      <c r="L947" t="s">
        <v>109</v>
      </c>
      <c r="M947">
        <v>3</v>
      </c>
      <c r="N947" s="2">
        <v>46039</v>
      </c>
      <c r="O947" s="2" t="s">
        <v>22</v>
      </c>
      <c r="P947" s="4">
        <f t="shared" ca="1" si="86"/>
        <v>8</v>
      </c>
      <c r="Q947" s="4" t="str">
        <f t="shared" ca="1" si="87"/>
        <v>6-10 Years</v>
      </c>
      <c r="R947">
        <f t="shared" ca="1" si="89"/>
        <v>0</v>
      </c>
      <c r="S947" t="s">
        <v>22</v>
      </c>
      <c r="T947">
        <v>2</v>
      </c>
      <c r="U947" t="s">
        <v>1394</v>
      </c>
      <c r="V947" t="s">
        <v>1394</v>
      </c>
      <c r="W947" t="s">
        <v>1394</v>
      </c>
      <c r="X947" s="3">
        <v>3</v>
      </c>
      <c r="Y947" t="s">
        <v>1398</v>
      </c>
      <c r="Z947">
        <v>117236</v>
      </c>
      <c r="AA947">
        <v>0.2</v>
      </c>
      <c r="AB947">
        <v>140683.19999999998</v>
      </c>
    </row>
    <row r="948" spans="1:28" x14ac:dyDescent="0.35">
      <c r="A948" t="str">
        <f t="shared" si="84"/>
        <v>EMP0947</v>
      </c>
      <c r="B948" t="str" cm="1">
        <f t="array" ref="B948">_xlfn.IFS(
ROW()&lt;=421,"NA",
ROW()&lt;=781,"LATAM",
ROW()&lt;=1021,"EMEA",
TRUE,"APAC"
)</f>
        <v>EMEA</v>
      </c>
      <c r="C948" t="str">
        <f t="shared" si="85"/>
        <v>Germany</v>
      </c>
      <c r="D948" t="s">
        <v>26</v>
      </c>
      <c r="E948" t="s">
        <v>380</v>
      </c>
      <c r="F948" t="s">
        <v>772</v>
      </c>
      <c r="G948" t="s">
        <v>28</v>
      </c>
      <c r="H948" s="2">
        <v>42882</v>
      </c>
      <c r="I948" t="s">
        <v>29</v>
      </c>
      <c r="J948" t="s">
        <v>30</v>
      </c>
      <c r="K948" t="str">
        <f t="shared" ca="1" si="88"/>
        <v>OK</v>
      </c>
      <c r="L948" t="s">
        <v>1095</v>
      </c>
      <c r="M948">
        <v>5</v>
      </c>
      <c r="N948" s="2">
        <v>46019</v>
      </c>
      <c r="O948" s="2" t="s">
        <v>22</v>
      </c>
      <c r="P948" s="4">
        <f t="shared" ca="1" si="86"/>
        <v>8</v>
      </c>
      <c r="Q948" s="4" t="str">
        <f t="shared" ca="1" si="87"/>
        <v>6-10 Years</v>
      </c>
      <c r="R948">
        <f t="shared" ca="1" si="89"/>
        <v>0</v>
      </c>
      <c r="S948" t="s">
        <v>22</v>
      </c>
      <c r="T948">
        <v>5</v>
      </c>
      <c r="U948" t="s">
        <v>1394</v>
      </c>
      <c r="V948" t="s">
        <v>1394</v>
      </c>
      <c r="W948" t="s">
        <v>1394</v>
      </c>
      <c r="X948" s="3">
        <v>3</v>
      </c>
      <c r="Y948" t="s">
        <v>1398</v>
      </c>
      <c r="Z948">
        <v>24765</v>
      </c>
      <c r="AA948">
        <v>0.1</v>
      </c>
      <c r="AB948">
        <v>27241.500000000004</v>
      </c>
    </row>
    <row r="949" spans="1:28" x14ac:dyDescent="0.35">
      <c r="A949" t="str">
        <f t="shared" si="84"/>
        <v>EMP0948</v>
      </c>
      <c r="B949" t="str" cm="1">
        <f t="array" ref="B949">_xlfn.IFS(
ROW()&lt;=421,"NA",
ROW()&lt;=781,"LATAM",
ROW()&lt;=1021,"EMEA",
TRUE,"APAC"
)</f>
        <v>EMEA</v>
      </c>
      <c r="C949" t="str">
        <f t="shared" si="85"/>
        <v>Germany</v>
      </c>
      <c r="D949" t="s">
        <v>32</v>
      </c>
      <c r="E949" t="s">
        <v>380</v>
      </c>
      <c r="F949" t="s">
        <v>948</v>
      </c>
      <c r="G949" t="s">
        <v>28</v>
      </c>
      <c r="H949" s="2">
        <v>42880</v>
      </c>
      <c r="I949" t="s">
        <v>29</v>
      </c>
      <c r="J949" t="s">
        <v>33</v>
      </c>
      <c r="K949" t="str">
        <f t="shared" ca="1" si="88"/>
        <v>OK</v>
      </c>
      <c r="L949" t="s">
        <v>1305</v>
      </c>
      <c r="M949">
        <v>5</v>
      </c>
      <c r="N949" s="2">
        <v>46071</v>
      </c>
      <c r="O949" s="2" t="s">
        <v>22</v>
      </c>
      <c r="P949" s="4">
        <f t="shared" ca="1" si="86"/>
        <v>8</v>
      </c>
      <c r="Q949" s="4" t="str">
        <f t="shared" ca="1" si="87"/>
        <v>6-10 Years</v>
      </c>
      <c r="R949">
        <f t="shared" ca="1" si="89"/>
        <v>0</v>
      </c>
      <c r="S949" t="s">
        <v>22</v>
      </c>
      <c r="T949">
        <v>5</v>
      </c>
      <c r="U949" t="s">
        <v>1394</v>
      </c>
      <c r="V949" t="s">
        <v>1394</v>
      </c>
      <c r="W949" t="s">
        <v>1394</v>
      </c>
      <c r="X949" s="3">
        <v>5</v>
      </c>
      <c r="Y949" t="s">
        <v>1395</v>
      </c>
      <c r="Z949">
        <v>42340</v>
      </c>
      <c r="AA949">
        <v>0.1</v>
      </c>
      <c r="AB949">
        <v>46574.000000000007</v>
      </c>
    </row>
    <row r="950" spans="1:28" x14ac:dyDescent="0.35">
      <c r="A950" t="str">
        <f t="shared" si="84"/>
        <v>EMP0949</v>
      </c>
      <c r="B950" t="str" cm="1">
        <f t="array" ref="B950">_xlfn.IFS(
ROW()&lt;=421,"NA",
ROW()&lt;=781,"LATAM",
ROW()&lt;=1021,"EMEA",
TRUE,"APAC"
)</f>
        <v>EMEA</v>
      </c>
      <c r="C950" t="str">
        <f t="shared" si="85"/>
        <v>Germany</v>
      </c>
      <c r="D950" t="s">
        <v>41</v>
      </c>
      <c r="E950" t="s">
        <v>380</v>
      </c>
      <c r="F950" t="s">
        <v>402</v>
      </c>
      <c r="G950" t="s">
        <v>28</v>
      </c>
      <c r="H950" s="2">
        <v>42874</v>
      </c>
      <c r="I950" t="s">
        <v>29</v>
      </c>
      <c r="J950" t="s">
        <v>42</v>
      </c>
      <c r="K950" t="str">
        <f t="shared" ca="1" si="88"/>
        <v>OK</v>
      </c>
      <c r="L950" t="s">
        <v>473</v>
      </c>
      <c r="M950">
        <v>5</v>
      </c>
      <c r="N950" s="2">
        <v>46058</v>
      </c>
      <c r="O950" s="2" t="s">
        <v>22</v>
      </c>
      <c r="P950" s="4">
        <f t="shared" ca="1" si="86"/>
        <v>8</v>
      </c>
      <c r="Q950" s="4" t="str">
        <f t="shared" ca="1" si="87"/>
        <v>6-10 Years</v>
      </c>
      <c r="R950">
        <f t="shared" ca="1" si="89"/>
        <v>0</v>
      </c>
      <c r="S950" t="s">
        <v>22</v>
      </c>
      <c r="T950">
        <v>3</v>
      </c>
      <c r="U950" t="s">
        <v>1396</v>
      </c>
      <c r="V950" t="s">
        <v>1394</v>
      </c>
      <c r="W950" t="s">
        <v>1394</v>
      </c>
      <c r="X950" s="3">
        <v>1</v>
      </c>
      <c r="Y950" t="s">
        <v>1397</v>
      </c>
      <c r="Z950">
        <v>29069</v>
      </c>
      <c r="AA950">
        <v>0.1</v>
      </c>
      <c r="AB950">
        <v>31975.9</v>
      </c>
    </row>
    <row r="951" spans="1:28" x14ac:dyDescent="0.35">
      <c r="A951" t="str">
        <f t="shared" si="84"/>
        <v>EMP0950</v>
      </c>
      <c r="B951" t="str" cm="1">
        <f t="array" ref="B951">_xlfn.IFS(
ROW()&lt;=421,"NA",
ROW()&lt;=781,"LATAM",
ROW()&lt;=1021,"EMEA",
TRUE,"APAC"
)</f>
        <v>EMEA</v>
      </c>
      <c r="C951" t="str">
        <f t="shared" si="85"/>
        <v>Germany</v>
      </c>
      <c r="D951" t="s">
        <v>35</v>
      </c>
      <c r="E951" t="s">
        <v>69</v>
      </c>
      <c r="F951" t="s">
        <v>70</v>
      </c>
      <c r="G951" t="s">
        <v>28</v>
      </c>
      <c r="H951" s="2">
        <v>42872</v>
      </c>
      <c r="I951" t="s">
        <v>29</v>
      </c>
      <c r="J951" t="s">
        <v>36</v>
      </c>
      <c r="K951" t="str">
        <f t="shared" ca="1" si="88"/>
        <v>OK</v>
      </c>
      <c r="L951" t="s">
        <v>120</v>
      </c>
      <c r="M951">
        <v>3</v>
      </c>
      <c r="N951" s="2">
        <v>45993</v>
      </c>
      <c r="O951" s="2" t="s">
        <v>22</v>
      </c>
      <c r="P951" s="4">
        <f t="shared" ca="1" si="86"/>
        <v>8</v>
      </c>
      <c r="Q951" s="4" t="str">
        <f t="shared" ca="1" si="87"/>
        <v>6-10 Years</v>
      </c>
      <c r="R951">
        <f t="shared" ca="1" si="89"/>
        <v>0</v>
      </c>
      <c r="S951" t="s">
        <v>22</v>
      </c>
      <c r="T951">
        <v>4</v>
      </c>
      <c r="U951" t="s">
        <v>1394</v>
      </c>
      <c r="V951" t="s">
        <v>1394</v>
      </c>
      <c r="W951" t="s">
        <v>1394</v>
      </c>
      <c r="X951" s="3">
        <v>3</v>
      </c>
      <c r="Y951" t="s">
        <v>1398</v>
      </c>
      <c r="Z951">
        <v>92217</v>
      </c>
      <c r="AA951">
        <v>0.2</v>
      </c>
      <c r="AB951">
        <v>110660.4</v>
      </c>
    </row>
    <row r="952" spans="1:28" x14ac:dyDescent="0.35">
      <c r="A952" t="str">
        <f t="shared" si="84"/>
        <v>EMP0951</v>
      </c>
      <c r="B952" t="str" cm="1">
        <f t="array" ref="B952">_xlfn.IFS(
ROW()&lt;=421,"NA",
ROW()&lt;=781,"LATAM",
ROW()&lt;=1021,"EMEA",
TRUE,"APAC"
)</f>
        <v>EMEA</v>
      </c>
      <c r="C952" t="str">
        <f t="shared" si="85"/>
        <v>Germany</v>
      </c>
      <c r="D952" t="s">
        <v>35</v>
      </c>
      <c r="E952" t="s">
        <v>380</v>
      </c>
      <c r="F952" t="s">
        <v>385</v>
      </c>
      <c r="G952" t="s">
        <v>28</v>
      </c>
      <c r="H952" s="2">
        <v>42863</v>
      </c>
      <c r="I952" t="s">
        <v>29</v>
      </c>
      <c r="J952" t="s">
        <v>36</v>
      </c>
      <c r="K952" t="str">
        <f t="shared" ca="1" si="88"/>
        <v>OK</v>
      </c>
      <c r="L952" t="s">
        <v>1168</v>
      </c>
      <c r="M952">
        <v>5</v>
      </c>
      <c r="N952" s="2">
        <v>46036</v>
      </c>
      <c r="O952" s="2" t="s">
        <v>22</v>
      </c>
      <c r="P952" s="4">
        <f t="shared" ca="1" si="86"/>
        <v>8</v>
      </c>
      <c r="Q952" s="4" t="str">
        <f t="shared" ca="1" si="87"/>
        <v>6-10 Years</v>
      </c>
      <c r="R952">
        <f t="shared" ca="1" si="89"/>
        <v>0</v>
      </c>
      <c r="S952" t="s">
        <v>22</v>
      </c>
      <c r="T952">
        <v>5</v>
      </c>
      <c r="U952" t="s">
        <v>1394</v>
      </c>
      <c r="V952" t="s">
        <v>1394</v>
      </c>
      <c r="W952" t="s">
        <v>1394</v>
      </c>
      <c r="X952" s="3">
        <v>3</v>
      </c>
      <c r="Y952" t="s">
        <v>1398</v>
      </c>
      <c r="Z952">
        <v>31799</v>
      </c>
      <c r="AA952">
        <v>0.1</v>
      </c>
      <c r="AB952">
        <v>34978.9</v>
      </c>
    </row>
    <row r="953" spans="1:28" x14ac:dyDescent="0.35">
      <c r="A953" t="str">
        <f t="shared" si="84"/>
        <v>EMP0952</v>
      </c>
      <c r="B953" t="str" cm="1">
        <f t="array" ref="B953">_xlfn.IFS(
ROW()&lt;=421,"NA",
ROW()&lt;=781,"LATAM",
ROW()&lt;=1021,"EMEA",
TRUE,"APAC"
)</f>
        <v>EMEA</v>
      </c>
      <c r="C953" t="str">
        <f t="shared" si="85"/>
        <v>Germany</v>
      </c>
      <c r="D953" t="s">
        <v>44</v>
      </c>
      <c r="E953" t="s">
        <v>380</v>
      </c>
      <c r="F953" t="s">
        <v>1228</v>
      </c>
      <c r="G953" t="s">
        <v>28</v>
      </c>
      <c r="H953" s="2">
        <v>42862</v>
      </c>
      <c r="I953" t="s">
        <v>29</v>
      </c>
      <c r="J953" t="s">
        <v>47</v>
      </c>
      <c r="K953" t="str">
        <f t="shared" ca="1" si="88"/>
        <v>OK</v>
      </c>
      <c r="L953" t="s">
        <v>1308</v>
      </c>
      <c r="M953">
        <v>5</v>
      </c>
      <c r="N953" s="2">
        <v>46020</v>
      </c>
      <c r="O953" s="2" t="s">
        <v>22</v>
      </c>
      <c r="P953" s="4">
        <f t="shared" ca="1" si="86"/>
        <v>8</v>
      </c>
      <c r="Q953" s="4" t="str">
        <f t="shared" ca="1" si="87"/>
        <v>6-10 Years</v>
      </c>
      <c r="R953">
        <f t="shared" ca="1" si="89"/>
        <v>0</v>
      </c>
      <c r="S953" t="s">
        <v>22</v>
      </c>
      <c r="T953">
        <v>3</v>
      </c>
      <c r="U953" t="s">
        <v>1394</v>
      </c>
      <c r="V953" t="s">
        <v>1394</v>
      </c>
      <c r="W953" t="s">
        <v>1394</v>
      </c>
      <c r="X953" s="3">
        <v>2</v>
      </c>
      <c r="Y953" t="s">
        <v>1397</v>
      </c>
      <c r="Z953">
        <v>30507</v>
      </c>
      <c r="AA953">
        <v>0.1</v>
      </c>
      <c r="AB953">
        <v>33557.700000000004</v>
      </c>
    </row>
    <row r="954" spans="1:28" x14ac:dyDescent="0.35">
      <c r="A954" t="str">
        <f t="shared" si="84"/>
        <v>EMP0953</v>
      </c>
      <c r="B954" t="str" cm="1">
        <f t="array" ref="B954">_xlfn.IFS(
ROW()&lt;=421,"NA",
ROW()&lt;=781,"LATAM",
ROW()&lt;=1021,"EMEA",
TRUE,"APAC"
)</f>
        <v>EMEA</v>
      </c>
      <c r="C954" t="str">
        <f t="shared" si="85"/>
        <v>Germany</v>
      </c>
      <c r="D954" t="s">
        <v>41</v>
      </c>
      <c r="E954" t="s">
        <v>380</v>
      </c>
      <c r="F954" t="s">
        <v>655</v>
      </c>
      <c r="G954" t="s">
        <v>28</v>
      </c>
      <c r="H954" s="2">
        <v>42853</v>
      </c>
      <c r="I954" t="s">
        <v>29</v>
      </c>
      <c r="J954" t="s">
        <v>42</v>
      </c>
      <c r="K954" t="str">
        <f t="shared" ca="1" si="88"/>
        <v>OK</v>
      </c>
      <c r="L954" t="s">
        <v>950</v>
      </c>
      <c r="M954">
        <v>5</v>
      </c>
      <c r="N954" s="2">
        <v>46024</v>
      </c>
      <c r="O954" s="2" t="s">
        <v>22</v>
      </c>
      <c r="P954" s="4">
        <f t="shared" ca="1" si="86"/>
        <v>8</v>
      </c>
      <c r="Q954" s="4" t="str">
        <f t="shared" ca="1" si="87"/>
        <v>6-10 Years</v>
      </c>
      <c r="R954">
        <f t="shared" ca="1" si="89"/>
        <v>0</v>
      </c>
      <c r="S954" t="s">
        <v>22</v>
      </c>
      <c r="T954">
        <v>3</v>
      </c>
      <c r="U954" t="s">
        <v>1394</v>
      </c>
      <c r="V954" t="s">
        <v>1394</v>
      </c>
      <c r="W954" t="s">
        <v>1394</v>
      </c>
      <c r="X954" s="3">
        <v>4</v>
      </c>
      <c r="Y954" t="s">
        <v>1395</v>
      </c>
      <c r="Z954">
        <v>33182</v>
      </c>
      <c r="AA954">
        <v>0.1</v>
      </c>
      <c r="AB954">
        <v>36500.200000000004</v>
      </c>
    </row>
    <row r="955" spans="1:28" x14ac:dyDescent="0.35">
      <c r="A955" t="str">
        <f t="shared" si="84"/>
        <v>EMP0954</v>
      </c>
      <c r="B955" t="str" cm="1">
        <f t="array" ref="B955">_xlfn.IFS(
ROW()&lt;=421,"NA",
ROW()&lt;=781,"LATAM",
ROW()&lt;=1021,"EMEA",
TRUE,"APAC"
)</f>
        <v>EMEA</v>
      </c>
      <c r="C955" t="str">
        <f t="shared" si="85"/>
        <v>Germany</v>
      </c>
      <c r="D955" t="s">
        <v>41</v>
      </c>
      <c r="E955" t="s">
        <v>380</v>
      </c>
      <c r="F955" t="s">
        <v>488</v>
      </c>
      <c r="G955" t="s">
        <v>53</v>
      </c>
      <c r="H955" s="2">
        <v>42848</v>
      </c>
      <c r="I955" t="s">
        <v>29</v>
      </c>
      <c r="J955" t="s">
        <v>42</v>
      </c>
      <c r="K955" t="str">
        <f t="shared" ca="1" si="88"/>
        <v>OK</v>
      </c>
      <c r="L955" t="s">
        <v>494</v>
      </c>
      <c r="M955">
        <v>5</v>
      </c>
      <c r="N955" s="2">
        <v>46060</v>
      </c>
      <c r="O955" s="2" t="s">
        <v>22</v>
      </c>
      <c r="P955" s="4">
        <f t="shared" ca="1" si="86"/>
        <v>8</v>
      </c>
      <c r="Q955" s="4" t="str">
        <f t="shared" ca="1" si="87"/>
        <v>6-10 Years</v>
      </c>
      <c r="R955">
        <f t="shared" ca="1" si="89"/>
        <v>0</v>
      </c>
      <c r="S955" t="s">
        <v>22</v>
      </c>
      <c r="T955">
        <v>3</v>
      </c>
      <c r="U955" t="s">
        <v>1394</v>
      </c>
      <c r="V955" t="s">
        <v>1394</v>
      </c>
      <c r="W955" t="s">
        <v>1394</v>
      </c>
      <c r="X955" s="3">
        <v>3</v>
      </c>
      <c r="Y955" t="s">
        <v>1398</v>
      </c>
      <c r="Z955">
        <v>31853</v>
      </c>
      <c r="AA955">
        <v>0.1</v>
      </c>
      <c r="AB955">
        <v>35038.300000000003</v>
      </c>
    </row>
    <row r="956" spans="1:28" x14ac:dyDescent="0.35">
      <c r="A956" t="str">
        <f t="shared" si="84"/>
        <v>EMP0955</v>
      </c>
      <c r="B956" t="str" cm="1">
        <f t="array" ref="B956">_xlfn.IFS(
ROW()&lt;=421,"NA",
ROW()&lt;=781,"LATAM",
ROW()&lt;=1021,"EMEA",
TRUE,"APAC"
)</f>
        <v>EMEA</v>
      </c>
      <c r="C956" t="str">
        <f t="shared" si="85"/>
        <v>Germany</v>
      </c>
      <c r="D956" t="s">
        <v>38</v>
      </c>
      <c r="E956" t="s">
        <v>380</v>
      </c>
      <c r="F956" t="s">
        <v>611</v>
      </c>
      <c r="G956" t="s">
        <v>28</v>
      </c>
      <c r="H956" s="2">
        <v>42845</v>
      </c>
      <c r="I956" t="s">
        <v>29</v>
      </c>
      <c r="J956" t="s">
        <v>39</v>
      </c>
      <c r="K956" t="str">
        <f t="shared" ca="1" si="88"/>
        <v>OK</v>
      </c>
      <c r="L956" t="s">
        <v>350</v>
      </c>
      <c r="M956">
        <v>5</v>
      </c>
      <c r="N956" s="2">
        <v>46016</v>
      </c>
      <c r="O956" s="2" t="s">
        <v>22</v>
      </c>
      <c r="P956" s="4">
        <f t="shared" ca="1" si="86"/>
        <v>8</v>
      </c>
      <c r="Q956" s="4" t="str">
        <f t="shared" ca="1" si="87"/>
        <v>6-10 Years</v>
      </c>
      <c r="R956">
        <f t="shared" ca="1" si="89"/>
        <v>0</v>
      </c>
      <c r="S956" t="s">
        <v>22</v>
      </c>
      <c r="T956">
        <v>3</v>
      </c>
      <c r="U956" t="s">
        <v>1394</v>
      </c>
      <c r="V956" t="s">
        <v>1394</v>
      </c>
      <c r="W956" t="s">
        <v>1394</v>
      </c>
      <c r="X956" s="3">
        <v>2</v>
      </c>
      <c r="Y956" t="s">
        <v>1397</v>
      </c>
      <c r="Z956">
        <v>25575</v>
      </c>
      <c r="AA956">
        <v>0.1</v>
      </c>
      <c r="AB956">
        <v>28132.500000000004</v>
      </c>
    </row>
    <row r="957" spans="1:28" x14ac:dyDescent="0.35">
      <c r="A957" t="str">
        <f t="shared" si="84"/>
        <v>EMP0956</v>
      </c>
      <c r="B957" t="str" cm="1">
        <f t="array" ref="B957">_xlfn.IFS(
ROW()&lt;=421,"NA",
ROW()&lt;=781,"LATAM",
ROW()&lt;=1021,"EMEA",
TRUE,"APAC"
)</f>
        <v>EMEA</v>
      </c>
      <c r="C957" t="str">
        <f t="shared" si="85"/>
        <v>Germany</v>
      </c>
      <c r="D957" t="s">
        <v>32</v>
      </c>
      <c r="E957" t="s">
        <v>145</v>
      </c>
      <c r="F957" t="s">
        <v>185</v>
      </c>
      <c r="G957" t="s">
        <v>28</v>
      </c>
      <c r="H957" s="2">
        <v>42844</v>
      </c>
      <c r="I957" t="s">
        <v>29</v>
      </c>
      <c r="J957" t="s">
        <v>33</v>
      </c>
      <c r="K957" t="str">
        <f t="shared" ca="1" si="88"/>
        <v>OK</v>
      </c>
      <c r="L957" t="s">
        <v>286</v>
      </c>
      <c r="M957">
        <v>4</v>
      </c>
      <c r="N957" s="2">
        <v>46045</v>
      </c>
      <c r="O957" s="2" t="s">
        <v>22</v>
      </c>
      <c r="P957" s="4">
        <f t="shared" ca="1" si="86"/>
        <v>8</v>
      </c>
      <c r="Q957" s="4" t="str">
        <f t="shared" ca="1" si="87"/>
        <v>6-10 Years</v>
      </c>
      <c r="R957">
        <f t="shared" ca="1" si="89"/>
        <v>0</v>
      </c>
      <c r="S957" t="s">
        <v>22</v>
      </c>
      <c r="T957">
        <v>4</v>
      </c>
      <c r="U957" t="s">
        <v>1394</v>
      </c>
      <c r="V957" t="s">
        <v>1394</v>
      </c>
      <c r="W957" t="s">
        <v>1394</v>
      </c>
      <c r="X957" s="3">
        <v>2</v>
      </c>
      <c r="Y957" t="s">
        <v>1397</v>
      </c>
      <c r="Z957">
        <v>50414</v>
      </c>
      <c r="AA957">
        <v>0.15</v>
      </c>
      <c r="AB957">
        <v>57976.1</v>
      </c>
    </row>
    <row r="958" spans="1:28" x14ac:dyDescent="0.35">
      <c r="A958" t="str">
        <f t="shared" si="84"/>
        <v>EMP0957</v>
      </c>
      <c r="B958" t="str" cm="1">
        <f t="array" ref="B958">_xlfn.IFS(
ROW()&lt;=421,"NA",
ROW()&lt;=781,"LATAM",
ROW()&lt;=1021,"EMEA",
TRUE,"APAC"
)</f>
        <v>EMEA</v>
      </c>
      <c r="C958" t="str">
        <f t="shared" si="85"/>
        <v>Germany</v>
      </c>
      <c r="D958" t="s">
        <v>38</v>
      </c>
      <c r="E958" t="s">
        <v>380</v>
      </c>
      <c r="F958" t="s">
        <v>628</v>
      </c>
      <c r="G958" t="s">
        <v>28</v>
      </c>
      <c r="H958" s="2">
        <v>42842</v>
      </c>
      <c r="I958" t="s">
        <v>29</v>
      </c>
      <c r="J958" t="s">
        <v>39</v>
      </c>
      <c r="K958" t="str">
        <f t="shared" ca="1" si="88"/>
        <v>OK</v>
      </c>
      <c r="L958" t="s">
        <v>1027</v>
      </c>
      <c r="M958">
        <v>5</v>
      </c>
      <c r="N958" s="2">
        <v>46008</v>
      </c>
      <c r="O958" s="2" t="s">
        <v>22</v>
      </c>
      <c r="P958" s="4">
        <f t="shared" ca="1" si="86"/>
        <v>8</v>
      </c>
      <c r="Q958" s="4" t="str">
        <f t="shared" ca="1" si="87"/>
        <v>6-10 Years</v>
      </c>
      <c r="R958">
        <f t="shared" ca="1" si="89"/>
        <v>0</v>
      </c>
      <c r="S958" t="s">
        <v>22</v>
      </c>
      <c r="T958">
        <v>3</v>
      </c>
      <c r="U958" t="s">
        <v>1394</v>
      </c>
      <c r="V958" t="s">
        <v>1394</v>
      </c>
      <c r="W958" t="s">
        <v>1394</v>
      </c>
      <c r="X958" s="3">
        <v>4</v>
      </c>
      <c r="Y958" t="s">
        <v>1395</v>
      </c>
      <c r="Z958">
        <v>28867</v>
      </c>
      <c r="AA958">
        <v>0.1</v>
      </c>
      <c r="AB958">
        <v>31753.700000000004</v>
      </c>
    </row>
    <row r="959" spans="1:28" x14ac:dyDescent="0.35">
      <c r="A959" t="str">
        <f t="shared" si="84"/>
        <v>EMP0958</v>
      </c>
      <c r="B959" t="str" cm="1">
        <f t="array" ref="B959">_xlfn.IFS(
ROW()&lt;=421,"NA",
ROW()&lt;=781,"LATAM",
ROW()&lt;=1021,"EMEA",
TRUE,"APAC"
)</f>
        <v>EMEA</v>
      </c>
      <c r="C959" t="str">
        <f t="shared" si="85"/>
        <v>Germany</v>
      </c>
      <c r="D959" t="s">
        <v>38</v>
      </c>
      <c r="E959" t="s">
        <v>380</v>
      </c>
      <c r="F959" t="s">
        <v>636</v>
      </c>
      <c r="G959" t="s">
        <v>28</v>
      </c>
      <c r="H959" s="2">
        <v>42841</v>
      </c>
      <c r="I959" t="s">
        <v>29</v>
      </c>
      <c r="J959" t="s">
        <v>39</v>
      </c>
      <c r="K959" t="str">
        <f t="shared" ca="1" si="88"/>
        <v>OK</v>
      </c>
      <c r="L959" t="s">
        <v>1070</v>
      </c>
      <c r="M959">
        <v>5</v>
      </c>
      <c r="N959" s="2">
        <v>45993</v>
      </c>
      <c r="O959" s="2" t="s">
        <v>22</v>
      </c>
      <c r="P959" s="4">
        <f t="shared" ca="1" si="86"/>
        <v>8</v>
      </c>
      <c r="Q959" s="4" t="str">
        <f t="shared" ca="1" si="87"/>
        <v>6-10 Years</v>
      </c>
      <c r="R959">
        <f t="shared" ca="1" si="89"/>
        <v>0</v>
      </c>
      <c r="S959" t="s">
        <v>22</v>
      </c>
      <c r="T959">
        <v>4</v>
      </c>
      <c r="U959" t="s">
        <v>1396</v>
      </c>
      <c r="V959" t="s">
        <v>1394</v>
      </c>
      <c r="W959" t="s">
        <v>1394</v>
      </c>
      <c r="X959" s="3">
        <v>1</v>
      </c>
      <c r="Y959" t="s">
        <v>1397</v>
      </c>
      <c r="Z959">
        <v>37603</v>
      </c>
      <c r="AA959">
        <v>0.1</v>
      </c>
      <c r="AB959">
        <v>41363.300000000003</v>
      </c>
    </row>
    <row r="960" spans="1:28" x14ac:dyDescent="0.35">
      <c r="A960" t="str">
        <f t="shared" si="84"/>
        <v>EMP0959</v>
      </c>
      <c r="B960" t="str" cm="1">
        <f t="array" ref="B960">_xlfn.IFS(
ROW()&lt;=421,"NA",
ROW()&lt;=781,"LATAM",
ROW()&lt;=1021,"EMEA",
TRUE,"APAC"
)</f>
        <v>EMEA</v>
      </c>
      <c r="C960" t="str">
        <f t="shared" si="85"/>
        <v>Germany</v>
      </c>
      <c r="D960" t="s">
        <v>26</v>
      </c>
      <c r="E960" t="s">
        <v>380</v>
      </c>
      <c r="F960" t="s">
        <v>424</v>
      </c>
      <c r="G960" t="s">
        <v>53</v>
      </c>
      <c r="H960" s="2">
        <v>42839</v>
      </c>
      <c r="I960" t="s">
        <v>29</v>
      </c>
      <c r="J960" t="s">
        <v>30</v>
      </c>
      <c r="K960" t="str">
        <f t="shared" ca="1" si="88"/>
        <v>OK</v>
      </c>
      <c r="L960" t="s">
        <v>425</v>
      </c>
      <c r="M960">
        <v>5</v>
      </c>
      <c r="N960" s="2">
        <v>46039</v>
      </c>
      <c r="O960" s="2" t="s">
        <v>22</v>
      </c>
      <c r="P960" s="4">
        <f t="shared" ca="1" si="86"/>
        <v>8</v>
      </c>
      <c r="Q960" s="4" t="str">
        <f t="shared" ca="1" si="87"/>
        <v>6-10 Years</v>
      </c>
      <c r="R960">
        <f t="shared" ca="1" si="89"/>
        <v>0</v>
      </c>
      <c r="S960" t="s">
        <v>22</v>
      </c>
      <c r="T960">
        <v>3</v>
      </c>
      <c r="U960" t="s">
        <v>1396</v>
      </c>
      <c r="V960" t="s">
        <v>1394</v>
      </c>
      <c r="W960" t="s">
        <v>1394</v>
      </c>
      <c r="X960" s="3">
        <v>3</v>
      </c>
      <c r="Y960" t="s">
        <v>1398</v>
      </c>
      <c r="Z960">
        <v>34409</v>
      </c>
      <c r="AA960">
        <v>0.1</v>
      </c>
      <c r="AB960">
        <v>37849.9</v>
      </c>
    </row>
    <row r="961" spans="1:28" x14ac:dyDescent="0.35">
      <c r="A961" t="str">
        <f t="shared" si="84"/>
        <v>EMP0960</v>
      </c>
      <c r="B961" t="str" cm="1">
        <f t="array" ref="B961">_xlfn.IFS(
ROW()&lt;=421,"NA",
ROW()&lt;=781,"LATAM",
ROW()&lt;=1021,"EMEA",
TRUE,"APAC"
)</f>
        <v>EMEA</v>
      </c>
      <c r="C961" t="str">
        <f t="shared" si="85"/>
        <v>Germany</v>
      </c>
      <c r="D961" t="s">
        <v>35</v>
      </c>
      <c r="E961" t="s">
        <v>380</v>
      </c>
      <c r="F961" t="s">
        <v>584</v>
      </c>
      <c r="G961" t="s">
        <v>28</v>
      </c>
      <c r="H961" s="2">
        <v>42839</v>
      </c>
      <c r="I961" t="s">
        <v>57</v>
      </c>
      <c r="J961" t="s">
        <v>36</v>
      </c>
      <c r="K961" t="str">
        <f t="shared" ca="1" si="88"/>
        <v>OK</v>
      </c>
      <c r="L961" t="s">
        <v>746</v>
      </c>
      <c r="M961">
        <v>5</v>
      </c>
      <c r="N961" s="2">
        <v>45990</v>
      </c>
      <c r="O961" s="2">
        <v>45178</v>
      </c>
      <c r="P961" s="4">
        <f t="shared" ca="1" si="86"/>
        <v>6</v>
      </c>
      <c r="Q961" s="4" t="str">
        <f t="shared" ca="1" si="87"/>
        <v>6-10 Years</v>
      </c>
      <c r="R961">
        <f t="shared" ca="1" si="89"/>
        <v>0</v>
      </c>
      <c r="S961" t="s">
        <v>23</v>
      </c>
      <c r="T961">
        <v>3</v>
      </c>
      <c r="U961" t="s">
        <v>1396</v>
      </c>
      <c r="V961" t="s">
        <v>1394</v>
      </c>
      <c r="W961" t="s">
        <v>1394</v>
      </c>
      <c r="X961" s="3">
        <v>3</v>
      </c>
      <c r="Y961" t="s">
        <v>1398</v>
      </c>
      <c r="Z961">
        <v>20438</v>
      </c>
      <c r="AA961">
        <v>0.1</v>
      </c>
      <c r="AB961">
        <v>22481.800000000003</v>
      </c>
    </row>
    <row r="962" spans="1:28" x14ac:dyDescent="0.35">
      <c r="A962" t="str">
        <f t="shared" ref="A962:A1025" si="90">"EMP"&amp;TEXT(ROW()-1,"0000")</f>
        <v>EMP0961</v>
      </c>
      <c r="B962" t="str" cm="1">
        <f t="array" ref="B962">_xlfn.IFS(
ROW()&lt;=421,"NA",
ROW()&lt;=781,"LATAM",
ROW()&lt;=1021,"EMEA",
TRUE,"APAC"
)</f>
        <v>EMEA</v>
      </c>
      <c r="C962" t="str">
        <f t="shared" ref="C962:C1025" si="91">IF(B962="NA","USA",
IF(B962="LATAM","Mexico",
IF(B962="EMEA","Germany","Singapore")))</f>
        <v>Germany</v>
      </c>
      <c r="D962" t="s">
        <v>26</v>
      </c>
      <c r="E962" t="s">
        <v>380</v>
      </c>
      <c r="F962" t="s">
        <v>663</v>
      </c>
      <c r="G962" t="s">
        <v>28</v>
      </c>
      <c r="H962" s="2">
        <v>42839</v>
      </c>
      <c r="I962" t="s">
        <v>29</v>
      </c>
      <c r="J962" t="s">
        <v>30</v>
      </c>
      <c r="K962" t="str">
        <f t="shared" ca="1" si="88"/>
        <v>OK</v>
      </c>
      <c r="L962" t="s">
        <v>346</v>
      </c>
      <c r="M962">
        <v>5</v>
      </c>
      <c r="N962" s="2">
        <v>46035</v>
      </c>
      <c r="O962" s="2" t="s">
        <v>22</v>
      </c>
      <c r="P962" s="4">
        <f t="shared" ref="P962:P1025" ca="1" si="92">IF(H962&gt;TODAY(),
"",
IF(I962="Active",
DATEDIF(H962,TODAY(),"Y"),
DATEDIF(H962,O962,"Y")
))</f>
        <v>8</v>
      </c>
      <c r="Q962" s="4" t="str">
        <f t="shared" ref="Q962:Q1025" ca="1" si="93">IF(P962&lt;=2,"0-2 Years",
IF(P962&lt;=5,"3-5 Years",
IF(P962&lt;=10,"6-10 Years","10+ Years")))</f>
        <v>6-10 Years</v>
      </c>
      <c r="R962">
        <f t="shared" ca="1" si="89"/>
        <v>0</v>
      </c>
      <c r="S962" t="s">
        <v>22</v>
      </c>
      <c r="T962">
        <v>4</v>
      </c>
      <c r="U962" t="s">
        <v>1394</v>
      </c>
      <c r="V962" t="s">
        <v>1394</v>
      </c>
      <c r="W962" t="s">
        <v>1394</v>
      </c>
      <c r="X962" s="3">
        <v>3</v>
      </c>
      <c r="Y962" t="s">
        <v>1398</v>
      </c>
      <c r="Z962">
        <v>37466</v>
      </c>
      <c r="AA962">
        <v>0.1</v>
      </c>
      <c r="AB962">
        <v>41212.600000000006</v>
      </c>
    </row>
    <row r="963" spans="1:28" x14ac:dyDescent="0.35">
      <c r="A963" t="str">
        <f t="shared" si="90"/>
        <v>EMP0962</v>
      </c>
      <c r="B963" t="str" cm="1">
        <f t="array" ref="B963">_xlfn.IFS(
ROW()&lt;=421,"NA",
ROW()&lt;=781,"LATAM",
ROW()&lt;=1021,"EMEA",
TRUE,"APAC"
)</f>
        <v>EMEA</v>
      </c>
      <c r="C963" t="str">
        <f t="shared" si="91"/>
        <v>Germany</v>
      </c>
      <c r="D963" t="s">
        <v>26</v>
      </c>
      <c r="E963" t="s">
        <v>145</v>
      </c>
      <c r="F963" t="s">
        <v>150</v>
      </c>
      <c r="G963" t="s">
        <v>28</v>
      </c>
      <c r="H963" s="2">
        <v>42835</v>
      </c>
      <c r="I963" t="s">
        <v>29</v>
      </c>
      <c r="J963" t="s">
        <v>30</v>
      </c>
      <c r="K963" t="str">
        <f t="shared" ref="K963:K1026" ca="1" si="94">IF(
OR(
H963="",
I963="",
AND(I963="Inactive",O963=""),
H963&gt;TODAY(),
Z963="",
F963="",
D963="",
X963&lt;1
),
"⚠ Review",
"OK"
)</f>
        <v>OK</v>
      </c>
      <c r="L963" t="s">
        <v>215</v>
      </c>
      <c r="M963">
        <v>4</v>
      </c>
      <c r="N963" s="2">
        <v>46002</v>
      </c>
      <c r="O963" s="2" t="s">
        <v>22</v>
      </c>
      <c r="P963" s="4">
        <f t="shared" ca="1" si="92"/>
        <v>8</v>
      </c>
      <c r="Q963" s="4" t="str">
        <f t="shared" ca="1" si="93"/>
        <v>6-10 Years</v>
      </c>
      <c r="R963">
        <f t="shared" ref="R963:R1026" ca="1" si="95">IF(P963&lt;=2,1,0)</f>
        <v>0</v>
      </c>
      <c r="S963" t="s">
        <v>22</v>
      </c>
      <c r="T963">
        <v>3</v>
      </c>
      <c r="U963" t="s">
        <v>1396</v>
      </c>
      <c r="V963" t="s">
        <v>1396</v>
      </c>
      <c r="W963" t="s">
        <v>1394</v>
      </c>
      <c r="X963" s="3">
        <v>3</v>
      </c>
      <c r="Y963" t="s">
        <v>1398</v>
      </c>
      <c r="Z963">
        <v>65894</v>
      </c>
      <c r="AA963">
        <v>0.15</v>
      </c>
      <c r="AB963">
        <v>75778.099999999991</v>
      </c>
    </row>
    <row r="964" spans="1:28" x14ac:dyDescent="0.35">
      <c r="A964" t="str">
        <f t="shared" si="90"/>
        <v>EMP0963</v>
      </c>
      <c r="B964" t="str" cm="1">
        <f t="array" ref="B964">_xlfn.IFS(
ROW()&lt;=421,"NA",
ROW()&lt;=781,"LATAM",
ROW()&lt;=1021,"EMEA",
TRUE,"APAC"
)</f>
        <v>EMEA</v>
      </c>
      <c r="C964" t="str">
        <f t="shared" si="91"/>
        <v>Germany</v>
      </c>
      <c r="D964" t="s">
        <v>44</v>
      </c>
      <c r="E964" t="s">
        <v>380</v>
      </c>
      <c r="F964" t="s">
        <v>454</v>
      </c>
      <c r="G964" t="s">
        <v>28</v>
      </c>
      <c r="H964" s="2">
        <v>42834</v>
      </c>
      <c r="I964" t="s">
        <v>29</v>
      </c>
      <c r="J964" t="s">
        <v>47</v>
      </c>
      <c r="K964" t="str">
        <f t="shared" ca="1" si="94"/>
        <v>OK</v>
      </c>
      <c r="L964" t="s">
        <v>561</v>
      </c>
      <c r="M964">
        <v>5</v>
      </c>
      <c r="N964" s="2">
        <v>46055</v>
      </c>
      <c r="O964" s="2" t="s">
        <v>22</v>
      </c>
      <c r="P964" s="4">
        <f t="shared" ca="1" si="92"/>
        <v>8</v>
      </c>
      <c r="Q964" s="4" t="str">
        <f t="shared" ca="1" si="93"/>
        <v>6-10 Years</v>
      </c>
      <c r="R964">
        <f t="shared" ca="1" si="95"/>
        <v>0</v>
      </c>
      <c r="S964" t="s">
        <v>22</v>
      </c>
      <c r="T964">
        <v>3</v>
      </c>
      <c r="U964" t="s">
        <v>1396</v>
      </c>
      <c r="V964" t="s">
        <v>1394</v>
      </c>
      <c r="W964" t="s">
        <v>1394</v>
      </c>
      <c r="X964" s="3">
        <v>2</v>
      </c>
      <c r="Y964" t="s">
        <v>1397</v>
      </c>
      <c r="Z964">
        <v>26357</v>
      </c>
      <c r="AA964">
        <v>0.1</v>
      </c>
      <c r="AB964">
        <v>28992.7</v>
      </c>
    </row>
    <row r="965" spans="1:28" x14ac:dyDescent="0.35">
      <c r="A965" t="str">
        <f t="shared" si="90"/>
        <v>EMP0964</v>
      </c>
      <c r="B965" t="str" cm="1">
        <f t="array" ref="B965">_xlfn.IFS(
ROW()&lt;=421,"NA",
ROW()&lt;=781,"LATAM",
ROW()&lt;=1021,"EMEA",
TRUE,"APAC"
)</f>
        <v>EMEA</v>
      </c>
      <c r="C965" t="str">
        <f t="shared" si="91"/>
        <v>Germany</v>
      </c>
      <c r="D965" t="s">
        <v>38</v>
      </c>
      <c r="E965" t="s">
        <v>380</v>
      </c>
      <c r="F965" t="s">
        <v>600</v>
      </c>
      <c r="G965" t="s">
        <v>53</v>
      </c>
      <c r="H965" s="2">
        <v>42830</v>
      </c>
      <c r="I965" t="s">
        <v>57</v>
      </c>
      <c r="J965" t="s">
        <v>39</v>
      </c>
      <c r="K965" t="str">
        <f t="shared" ca="1" si="94"/>
        <v>OK</v>
      </c>
      <c r="L965" t="s">
        <v>942</v>
      </c>
      <c r="M965">
        <v>5</v>
      </c>
      <c r="N965" s="2">
        <v>46065</v>
      </c>
      <c r="O965" s="2">
        <v>43925</v>
      </c>
      <c r="P965" s="4">
        <f t="shared" ca="1" si="92"/>
        <v>2</v>
      </c>
      <c r="Q965" s="4" t="str">
        <f t="shared" ca="1" si="93"/>
        <v>0-2 Years</v>
      </c>
      <c r="R965">
        <f t="shared" ca="1" si="95"/>
        <v>1</v>
      </c>
      <c r="S965" t="s">
        <v>24</v>
      </c>
      <c r="T965">
        <v>4</v>
      </c>
      <c r="U965" t="s">
        <v>1394</v>
      </c>
      <c r="V965" t="s">
        <v>1394</v>
      </c>
      <c r="W965" t="s">
        <v>1394</v>
      </c>
      <c r="X965" s="3">
        <v>4</v>
      </c>
      <c r="Y965" t="s">
        <v>1395</v>
      </c>
      <c r="Z965">
        <v>49534</v>
      </c>
      <c r="AA965">
        <v>0.1</v>
      </c>
      <c r="AB965">
        <v>54487.4</v>
      </c>
    </row>
    <row r="966" spans="1:28" x14ac:dyDescent="0.35">
      <c r="A966" t="str">
        <f t="shared" si="90"/>
        <v>EMP0965</v>
      </c>
      <c r="B966" t="str" cm="1">
        <f t="array" ref="B966">_xlfn.IFS(
ROW()&lt;=421,"NA",
ROW()&lt;=781,"LATAM",
ROW()&lt;=1021,"EMEA",
TRUE,"APAC"
)</f>
        <v>EMEA</v>
      </c>
      <c r="C966" t="str">
        <f t="shared" si="91"/>
        <v>Germany</v>
      </c>
      <c r="E966" t="s">
        <v>380</v>
      </c>
      <c r="F966" t="s">
        <v>577</v>
      </c>
      <c r="G966" t="s">
        <v>28</v>
      </c>
      <c r="H966" s="2">
        <v>42829</v>
      </c>
      <c r="I966" t="s">
        <v>29</v>
      </c>
      <c r="J966" t="s">
        <v>30</v>
      </c>
      <c r="K966" t="str">
        <f t="shared" ca="1" si="94"/>
        <v>⚠ Review</v>
      </c>
      <c r="L966" t="s">
        <v>1095</v>
      </c>
      <c r="M966">
        <v>5</v>
      </c>
      <c r="N966" s="2">
        <v>46060</v>
      </c>
      <c r="O966" s="2" t="s">
        <v>22</v>
      </c>
      <c r="P966" s="4">
        <f t="shared" ca="1" si="92"/>
        <v>8</v>
      </c>
      <c r="Q966" s="4" t="str">
        <f t="shared" ca="1" si="93"/>
        <v>6-10 Years</v>
      </c>
      <c r="R966">
        <f t="shared" ca="1" si="95"/>
        <v>0</v>
      </c>
      <c r="S966" t="s">
        <v>22</v>
      </c>
      <c r="T966">
        <v>4</v>
      </c>
      <c r="U966" t="s">
        <v>1394</v>
      </c>
      <c r="V966" t="s">
        <v>1394</v>
      </c>
      <c r="W966" t="s">
        <v>1394</v>
      </c>
      <c r="X966" s="3">
        <v>3</v>
      </c>
      <c r="Y966" t="s">
        <v>1398</v>
      </c>
      <c r="Z966">
        <v>33981</v>
      </c>
      <c r="AA966">
        <v>0.1</v>
      </c>
      <c r="AB966">
        <v>37379.100000000006</v>
      </c>
    </row>
    <row r="967" spans="1:28" x14ac:dyDescent="0.35">
      <c r="A967" t="str">
        <f t="shared" si="90"/>
        <v>EMP0966</v>
      </c>
      <c r="B967" t="str" cm="1">
        <f t="array" ref="B967">_xlfn.IFS(
ROW()&lt;=421,"NA",
ROW()&lt;=781,"LATAM",
ROW()&lt;=1021,"EMEA",
TRUE,"APAC"
)</f>
        <v>EMEA</v>
      </c>
      <c r="C967" t="str">
        <f t="shared" si="91"/>
        <v>Germany</v>
      </c>
      <c r="D967" t="s">
        <v>44</v>
      </c>
      <c r="E967" t="s">
        <v>380</v>
      </c>
      <c r="F967" t="s">
        <v>693</v>
      </c>
      <c r="G967" t="s">
        <v>28</v>
      </c>
      <c r="H967" s="2">
        <v>42828</v>
      </c>
      <c r="I967" t="s">
        <v>29</v>
      </c>
      <c r="J967" t="s">
        <v>47</v>
      </c>
      <c r="K967" t="str">
        <f t="shared" ca="1" si="94"/>
        <v>OK</v>
      </c>
      <c r="L967" t="s">
        <v>1143</v>
      </c>
      <c r="M967">
        <v>5</v>
      </c>
      <c r="N967" s="2">
        <v>46040</v>
      </c>
      <c r="O967" s="2" t="s">
        <v>22</v>
      </c>
      <c r="P967" s="4">
        <f t="shared" ca="1" si="92"/>
        <v>8</v>
      </c>
      <c r="Q967" s="4" t="str">
        <f t="shared" ca="1" si="93"/>
        <v>6-10 Years</v>
      </c>
      <c r="R967">
        <f t="shared" ca="1" si="95"/>
        <v>0</v>
      </c>
      <c r="S967" t="s">
        <v>22</v>
      </c>
      <c r="T967">
        <v>3</v>
      </c>
      <c r="U967" t="s">
        <v>1394</v>
      </c>
      <c r="V967" t="s">
        <v>1396</v>
      </c>
      <c r="W967" t="s">
        <v>1396</v>
      </c>
      <c r="X967" s="3">
        <v>5</v>
      </c>
      <c r="Y967" t="s">
        <v>1395</v>
      </c>
      <c r="Z967">
        <v>33163</v>
      </c>
      <c r="AA967">
        <v>0.1</v>
      </c>
      <c r="AB967">
        <v>36479.300000000003</v>
      </c>
    </row>
    <row r="968" spans="1:28" x14ac:dyDescent="0.35">
      <c r="A968" t="str">
        <f t="shared" si="90"/>
        <v>EMP0967</v>
      </c>
      <c r="B968" t="str" cm="1">
        <f t="array" ref="B968">_xlfn.IFS(
ROW()&lt;=421,"NA",
ROW()&lt;=781,"LATAM",
ROW()&lt;=1021,"EMEA",
TRUE,"APAC"
)</f>
        <v>EMEA</v>
      </c>
      <c r="C968" t="str">
        <f t="shared" si="91"/>
        <v>Germany</v>
      </c>
      <c r="D968" t="s">
        <v>26</v>
      </c>
      <c r="E968" t="s">
        <v>380</v>
      </c>
      <c r="F968" t="s">
        <v>584</v>
      </c>
      <c r="G968" t="s">
        <v>28</v>
      </c>
      <c r="H968" s="2">
        <v>42814</v>
      </c>
      <c r="I968" t="s">
        <v>29</v>
      </c>
      <c r="J968" t="s">
        <v>30</v>
      </c>
      <c r="K968" t="str">
        <f t="shared" ca="1" si="94"/>
        <v>OK</v>
      </c>
      <c r="L968" t="s">
        <v>838</v>
      </c>
      <c r="M968">
        <v>5</v>
      </c>
      <c r="N968" s="2">
        <v>46059</v>
      </c>
      <c r="O968" s="2" t="s">
        <v>22</v>
      </c>
      <c r="P968" s="4">
        <f t="shared" ca="1" si="92"/>
        <v>8</v>
      </c>
      <c r="Q968" s="4" t="str">
        <f t="shared" ca="1" si="93"/>
        <v>6-10 Years</v>
      </c>
      <c r="R968">
        <f t="shared" ca="1" si="95"/>
        <v>0</v>
      </c>
      <c r="S968" t="s">
        <v>22</v>
      </c>
      <c r="T968">
        <v>3</v>
      </c>
      <c r="U968" t="s">
        <v>1394</v>
      </c>
      <c r="V968" t="s">
        <v>1396</v>
      </c>
      <c r="W968" t="s">
        <v>1396</v>
      </c>
      <c r="X968" s="3">
        <v>3</v>
      </c>
      <c r="Y968" t="s">
        <v>1398</v>
      </c>
      <c r="Z968">
        <v>48403</v>
      </c>
      <c r="AA968">
        <v>0.1</v>
      </c>
      <c r="AB968">
        <v>53243.3</v>
      </c>
    </row>
    <row r="969" spans="1:28" x14ac:dyDescent="0.35">
      <c r="A969" t="str">
        <f t="shared" si="90"/>
        <v>EMP0968</v>
      </c>
      <c r="B969" t="str" cm="1">
        <f t="array" ref="B969">_xlfn.IFS(
ROW()&lt;=421,"NA",
ROW()&lt;=781,"LATAM",
ROW()&lt;=1021,"EMEA",
TRUE,"APAC"
)</f>
        <v>EMEA</v>
      </c>
      <c r="C969" t="str">
        <f t="shared" si="91"/>
        <v>Germany</v>
      </c>
      <c r="D969" t="s">
        <v>35</v>
      </c>
      <c r="E969" t="s">
        <v>380</v>
      </c>
      <c r="F969" t="s">
        <v>408</v>
      </c>
      <c r="G969" t="s">
        <v>53</v>
      </c>
      <c r="H969" s="2">
        <v>42814</v>
      </c>
      <c r="I969" t="s">
        <v>29</v>
      </c>
      <c r="J969" t="s">
        <v>36</v>
      </c>
      <c r="K969" t="str">
        <f t="shared" ca="1" si="94"/>
        <v>OK</v>
      </c>
      <c r="L969" t="s">
        <v>860</v>
      </c>
      <c r="M969">
        <v>5</v>
      </c>
      <c r="N969" s="2">
        <v>46047</v>
      </c>
      <c r="O969" s="2" t="s">
        <v>22</v>
      </c>
      <c r="P969" s="4">
        <f t="shared" ca="1" si="92"/>
        <v>8</v>
      </c>
      <c r="Q969" s="4" t="str">
        <f t="shared" ca="1" si="93"/>
        <v>6-10 Years</v>
      </c>
      <c r="R969">
        <f t="shared" ca="1" si="95"/>
        <v>0</v>
      </c>
      <c r="S969" t="s">
        <v>22</v>
      </c>
      <c r="T969">
        <v>3</v>
      </c>
      <c r="U969" t="s">
        <v>1394</v>
      </c>
      <c r="V969" t="s">
        <v>1396</v>
      </c>
      <c r="W969" t="s">
        <v>1396</v>
      </c>
      <c r="X969" s="3">
        <v>1</v>
      </c>
      <c r="Y969" t="s">
        <v>1397</v>
      </c>
      <c r="Z969">
        <v>25416</v>
      </c>
      <c r="AA969">
        <v>0.1</v>
      </c>
      <c r="AB969">
        <v>27957.600000000002</v>
      </c>
    </row>
    <row r="970" spans="1:28" x14ac:dyDescent="0.35">
      <c r="A970" t="str">
        <f t="shared" si="90"/>
        <v>EMP0969</v>
      </c>
      <c r="B970" t="str" cm="1">
        <f t="array" ref="B970">_xlfn.IFS(
ROW()&lt;=421,"NA",
ROW()&lt;=781,"LATAM",
ROW()&lt;=1021,"EMEA",
TRUE,"APAC"
)</f>
        <v>EMEA</v>
      </c>
      <c r="C970" t="str">
        <f t="shared" si="91"/>
        <v>Germany</v>
      </c>
      <c r="D970" t="s">
        <v>41</v>
      </c>
      <c r="E970" t="s">
        <v>380</v>
      </c>
      <c r="F970" t="s">
        <v>431</v>
      </c>
      <c r="G970" t="s">
        <v>53</v>
      </c>
      <c r="H970" s="2">
        <v>42811</v>
      </c>
      <c r="I970" t="s">
        <v>29</v>
      </c>
      <c r="J970" t="s">
        <v>42</v>
      </c>
      <c r="K970" t="str">
        <f t="shared" ca="1" si="94"/>
        <v>OK</v>
      </c>
      <c r="L970" t="s">
        <v>432</v>
      </c>
      <c r="M970">
        <v>5</v>
      </c>
      <c r="N970" s="2">
        <v>46031</v>
      </c>
      <c r="O970" s="2" t="s">
        <v>22</v>
      </c>
      <c r="P970" s="4">
        <f t="shared" ca="1" si="92"/>
        <v>8</v>
      </c>
      <c r="Q970" s="4" t="str">
        <f t="shared" ca="1" si="93"/>
        <v>6-10 Years</v>
      </c>
      <c r="R970">
        <f t="shared" ca="1" si="95"/>
        <v>0</v>
      </c>
      <c r="S970" t="s">
        <v>22</v>
      </c>
      <c r="T970">
        <v>4</v>
      </c>
      <c r="U970" t="s">
        <v>1394</v>
      </c>
      <c r="V970" t="s">
        <v>1394</v>
      </c>
      <c r="W970" t="s">
        <v>1394</v>
      </c>
      <c r="X970" s="3">
        <v>3</v>
      </c>
      <c r="Y970" t="s">
        <v>1398</v>
      </c>
      <c r="Z970">
        <v>40226</v>
      </c>
      <c r="AA970">
        <v>0.1</v>
      </c>
      <c r="AB970">
        <v>44248.600000000006</v>
      </c>
    </row>
    <row r="971" spans="1:28" x14ac:dyDescent="0.35">
      <c r="A971" t="str">
        <f t="shared" si="90"/>
        <v>EMP0970</v>
      </c>
      <c r="B971" t="str" cm="1">
        <f t="array" ref="B971">_xlfn.IFS(
ROW()&lt;=421,"NA",
ROW()&lt;=781,"LATAM",
ROW()&lt;=1021,"EMEA",
TRUE,"APAC"
)</f>
        <v>EMEA</v>
      </c>
      <c r="C971" t="str">
        <f t="shared" si="91"/>
        <v>Germany</v>
      </c>
      <c r="D971" t="s">
        <v>35</v>
      </c>
      <c r="E971" t="s">
        <v>145</v>
      </c>
      <c r="F971" t="s">
        <v>190</v>
      </c>
      <c r="G971" t="s">
        <v>53</v>
      </c>
      <c r="H971" s="2">
        <v>42810</v>
      </c>
      <c r="I971" t="s">
        <v>29</v>
      </c>
      <c r="J971" t="s">
        <v>36</v>
      </c>
      <c r="K971" t="str">
        <f t="shared" ca="1" si="94"/>
        <v>OK</v>
      </c>
      <c r="L971" t="s">
        <v>234</v>
      </c>
      <c r="M971">
        <v>4</v>
      </c>
      <c r="N971" s="2">
        <v>46056</v>
      </c>
      <c r="O971" s="2" t="s">
        <v>22</v>
      </c>
      <c r="P971" s="4">
        <f t="shared" ca="1" si="92"/>
        <v>8</v>
      </c>
      <c r="Q971" s="4" t="str">
        <f t="shared" ca="1" si="93"/>
        <v>6-10 Years</v>
      </c>
      <c r="R971">
        <f t="shared" ca="1" si="95"/>
        <v>0</v>
      </c>
      <c r="S971" t="s">
        <v>22</v>
      </c>
      <c r="T971">
        <v>5</v>
      </c>
      <c r="U971" t="s">
        <v>1394</v>
      </c>
      <c r="V971" t="s">
        <v>1394</v>
      </c>
      <c r="W971" t="s">
        <v>1394</v>
      </c>
      <c r="X971" s="3">
        <v>3</v>
      </c>
      <c r="Y971" t="s">
        <v>1398</v>
      </c>
      <c r="Z971">
        <v>71577</v>
      </c>
      <c r="AA971">
        <v>0.15</v>
      </c>
      <c r="AB971">
        <v>82313.549999999988</v>
      </c>
    </row>
    <row r="972" spans="1:28" x14ac:dyDescent="0.35">
      <c r="A972" t="str">
        <f t="shared" si="90"/>
        <v>EMP0971</v>
      </c>
      <c r="B972" t="str" cm="1">
        <f t="array" ref="B972">_xlfn.IFS(
ROW()&lt;=421,"NA",
ROW()&lt;=781,"LATAM",
ROW()&lt;=1021,"EMEA",
TRUE,"APAC"
)</f>
        <v>EMEA</v>
      </c>
      <c r="C972" t="str">
        <f t="shared" si="91"/>
        <v>Germany</v>
      </c>
      <c r="D972" t="s">
        <v>44</v>
      </c>
      <c r="E972" t="s">
        <v>380</v>
      </c>
      <c r="F972" t="s">
        <v>895</v>
      </c>
      <c r="G972" t="s">
        <v>28</v>
      </c>
      <c r="H972" s="2">
        <v>42807</v>
      </c>
      <c r="I972" t="s">
        <v>29</v>
      </c>
      <c r="J972" t="s">
        <v>47</v>
      </c>
      <c r="K972" t="str">
        <f t="shared" ca="1" si="94"/>
        <v>OK</v>
      </c>
      <c r="L972" t="s">
        <v>896</v>
      </c>
      <c r="M972">
        <v>5</v>
      </c>
      <c r="N972" s="2">
        <v>46029</v>
      </c>
      <c r="O972" s="2" t="s">
        <v>22</v>
      </c>
      <c r="P972" s="4">
        <f t="shared" ca="1" si="92"/>
        <v>8</v>
      </c>
      <c r="Q972" s="4" t="str">
        <f t="shared" ca="1" si="93"/>
        <v>6-10 Years</v>
      </c>
      <c r="R972">
        <f t="shared" ca="1" si="95"/>
        <v>0</v>
      </c>
      <c r="S972" t="s">
        <v>22</v>
      </c>
      <c r="T972">
        <v>3</v>
      </c>
      <c r="U972" t="s">
        <v>1394</v>
      </c>
      <c r="V972" t="s">
        <v>1394</v>
      </c>
      <c r="W972" t="s">
        <v>1394</v>
      </c>
      <c r="X972" s="3">
        <v>3</v>
      </c>
      <c r="Y972" t="s">
        <v>1398</v>
      </c>
      <c r="Z972">
        <v>49919</v>
      </c>
      <c r="AA972">
        <v>0.1</v>
      </c>
      <c r="AB972">
        <v>54910.9</v>
      </c>
    </row>
    <row r="973" spans="1:28" x14ac:dyDescent="0.35">
      <c r="A973" t="str">
        <f t="shared" si="90"/>
        <v>EMP0972</v>
      </c>
      <c r="B973" t="str" cm="1">
        <f t="array" ref="B973">_xlfn.IFS(
ROW()&lt;=421,"NA",
ROW()&lt;=781,"LATAM",
ROW()&lt;=1021,"EMEA",
TRUE,"APAC"
)</f>
        <v>EMEA</v>
      </c>
      <c r="C973" t="str">
        <f t="shared" si="91"/>
        <v>Germany</v>
      </c>
      <c r="D973" t="s">
        <v>32</v>
      </c>
      <c r="E973" t="s">
        <v>380</v>
      </c>
      <c r="F973" t="s">
        <v>575</v>
      </c>
      <c r="G973" t="s">
        <v>28</v>
      </c>
      <c r="H973" s="2">
        <v>42806</v>
      </c>
      <c r="I973" t="s">
        <v>29</v>
      </c>
      <c r="J973" t="s">
        <v>33</v>
      </c>
      <c r="K973" t="str">
        <f t="shared" ca="1" si="94"/>
        <v>OK</v>
      </c>
      <c r="L973" t="s">
        <v>593</v>
      </c>
      <c r="M973">
        <v>5</v>
      </c>
      <c r="N973" s="2">
        <v>46068</v>
      </c>
      <c r="O973" s="2" t="s">
        <v>22</v>
      </c>
      <c r="P973" s="4">
        <f t="shared" ca="1" si="92"/>
        <v>8</v>
      </c>
      <c r="Q973" s="4" t="str">
        <f t="shared" ca="1" si="93"/>
        <v>6-10 Years</v>
      </c>
      <c r="R973">
        <f t="shared" ca="1" si="95"/>
        <v>0</v>
      </c>
      <c r="S973" t="s">
        <v>22</v>
      </c>
      <c r="T973">
        <v>5</v>
      </c>
      <c r="U973" t="s">
        <v>1396</v>
      </c>
      <c r="V973" t="s">
        <v>1394</v>
      </c>
      <c r="W973" t="s">
        <v>1394</v>
      </c>
      <c r="X973" s="3">
        <v>2</v>
      </c>
      <c r="Y973" t="s">
        <v>1397</v>
      </c>
      <c r="Z973">
        <v>49519</v>
      </c>
      <c r="AA973">
        <v>0.1</v>
      </c>
      <c r="AB973">
        <v>54470.9</v>
      </c>
    </row>
    <row r="974" spans="1:28" x14ac:dyDescent="0.35">
      <c r="A974" t="str">
        <f t="shared" si="90"/>
        <v>EMP0973</v>
      </c>
      <c r="B974" t="str" cm="1">
        <f t="array" ref="B974">_xlfn.IFS(
ROW()&lt;=421,"NA",
ROW()&lt;=781,"LATAM",
ROW()&lt;=1021,"EMEA",
TRUE,"APAC"
)</f>
        <v>EMEA</v>
      </c>
      <c r="C974" t="str">
        <f t="shared" si="91"/>
        <v>Germany</v>
      </c>
      <c r="D974" t="s">
        <v>26</v>
      </c>
      <c r="E974" t="s">
        <v>380</v>
      </c>
      <c r="F974" t="s">
        <v>476</v>
      </c>
      <c r="G974" t="s">
        <v>28</v>
      </c>
      <c r="H974" s="2">
        <v>42806</v>
      </c>
      <c r="I974" t="s">
        <v>29</v>
      </c>
      <c r="J974" t="s">
        <v>30</v>
      </c>
      <c r="K974" t="str">
        <f t="shared" ca="1" si="94"/>
        <v>OK</v>
      </c>
      <c r="L974" t="s">
        <v>890</v>
      </c>
      <c r="M974">
        <v>5</v>
      </c>
      <c r="N974" s="2">
        <v>46001</v>
      </c>
      <c r="O974" s="2" t="s">
        <v>22</v>
      </c>
      <c r="P974" s="4">
        <f t="shared" ca="1" si="92"/>
        <v>8</v>
      </c>
      <c r="Q974" s="4" t="str">
        <f t="shared" ca="1" si="93"/>
        <v>6-10 Years</v>
      </c>
      <c r="R974">
        <f t="shared" ca="1" si="95"/>
        <v>0</v>
      </c>
      <c r="S974" t="s">
        <v>22</v>
      </c>
      <c r="T974">
        <v>5</v>
      </c>
      <c r="U974" t="s">
        <v>1394</v>
      </c>
      <c r="V974" t="s">
        <v>1394</v>
      </c>
      <c r="W974" t="s">
        <v>1394</v>
      </c>
      <c r="X974" s="3">
        <v>4</v>
      </c>
      <c r="Y974" t="s">
        <v>1395</v>
      </c>
      <c r="Z974">
        <v>40441</v>
      </c>
      <c r="AA974">
        <v>0.1</v>
      </c>
      <c r="AB974">
        <v>44485.100000000006</v>
      </c>
    </row>
    <row r="975" spans="1:28" x14ac:dyDescent="0.35">
      <c r="A975" t="str">
        <f t="shared" si="90"/>
        <v>EMP0974</v>
      </c>
      <c r="B975" t="str" cm="1">
        <f t="array" ref="B975">_xlfn.IFS(
ROW()&lt;=421,"NA",
ROW()&lt;=781,"LATAM",
ROW()&lt;=1021,"EMEA",
TRUE,"APAC"
)</f>
        <v>EMEA</v>
      </c>
      <c r="C975" t="str">
        <f t="shared" si="91"/>
        <v>Germany</v>
      </c>
      <c r="D975" t="s">
        <v>38</v>
      </c>
      <c r="E975" t="s">
        <v>380</v>
      </c>
      <c r="F975" t="s">
        <v>904</v>
      </c>
      <c r="G975" t="s">
        <v>28</v>
      </c>
      <c r="H975" s="2">
        <v>42803</v>
      </c>
      <c r="I975" t="s">
        <v>29</v>
      </c>
      <c r="J975" t="s">
        <v>39</v>
      </c>
      <c r="K975" t="str">
        <f t="shared" ca="1" si="94"/>
        <v>OK</v>
      </c>
      <c r="L975" t="s">
        <v>1134</v>
      </c>
      <c r="M975">
        <v>5</v>
      </c>
      <c r="N975" s="2">
        <v>46067</v>
      </c>
      <c r="O975" s="2" t="s">
        <v>22</v>
      </c>
      <c r="P975" s="4">
        <f t="shared" ca="1" si="92"/>
        <v>8</v>
      </c>
      <c r="Q975" s="4" t="str">
        <f t="shared" ca="1" si="93"/>
        <v>6-10 Years</v>
      </c>
      <c r="R975">
        <f t="shared" ca="1" si="95"/>
        <v>0</v>
      </c>
      <c r="S975" t="s">
        <v>22</v>
      </c>
      <c r="T975">
        <v>5</v>
      </c>
      <c r="U975" t="s">
        <v>1394</v>
      </c>
      <c r="V975" t="s">
        <v>1394</v>
      </c>
      <c r="W975" t="s">
        <v>1394</v>
      </c>
      <c r="X975" s="3">
        <v>5</v>
      </c>
      <c r="Y975" t="s">
        <v>1395</v>
      </c>
      <c r="Z975">
        <v>25956</v>
      </c>
      <c r="AA975">
        <v>0.1</v>
      </c>
      <c r="AB975">
        <v>28551.600000000002</v>
      </c>
    </row>
    <row r="976" spans="1:28" x14ac:dyDescent="0.35">
      <c r="A976" t="str">
        <f t="shared" si="90"/>
        <v>EMP0975</v>
      </c>
      <c r="B976" t="str" cm="1">
        <f t="array" ref="B976">_xlfn.IFS(
ROW()&lt;=421,"NA",
ROW()&lt;=781,"LATAM",
ROW()&lt;=1021,"EMEA",
TRUE,"APAC"
)</f>
        <v>EMEA</v>
      </c>
      <c r="C976" t="str">
        <f t="shared" si="91"/>
        <v>Germany</v>
      </c>
      <c r="D976" t="s">
        <v>44</v>
      </c>
      <c r="E976" t="s">
        <v>380</v>
      </c>
      <c r="F976" t="s">
        <v>650</v>
      </c>
      <c r="G976" t="s">
        <v>53</v>
      </c>
      <c r="H976" s="2">
        <v>42801</v>
      </c>
      <c r="I976" t="s">
        <v>29</v>
      </c>
      <c r="J976" t="s">
        <v>47</v>
      </c>
      <c r="K976" t="str">
        <f t="shared" ca="1" si="94"/>
        <v>OK</v>
      </c>
      <c r="L976" t="s">
        <v>313</v>
      </c>
      <c r="M976">
        <v>5</v>
      </c>
      <c r="N976" s="2">
        <v>46051</v>
      </c>
      <c r="O976" s="2" t="s">
        <v>22</v>
      </c>
      <c r="P976" s="4">
        <f t="shared" ca="1" si="92"/>
        <v>8</v>
      </c>
      <c r="Q976" s="4" t="str">
        <f t="shared" ca="1" si="93"/>
        <v>6-10 Years</v>
      </c>
      <c r="R976">
        <f t="shared" ca="1" si="95"/>
        <v>0</v>
      </c>
      <c r="S976" t="s">
        <v>22</v>
      </c>
      <c r="T976">
        <v>4</v>
      </c>
      <c r="U976" t="s">
        <v>1394</v>
      </c>
      <c r="V976" t="s">
        <v>1394</v>
      </c>
      <c r="W976" t="s">
        <v>1394</v>
      </c>
      <c r="X976" s="3">
        <v>4</v>
      </c>
      <c r="Y976" t="s">
        <v>1395</v>
      </c>
      <c r="Z976">
        <v>33893</v>
      </c>
      <c r="AA976">
        <v>0.1</v>
      </c>
      <c r="AB976">
        <v>37282.300000000003</v>
      </c>
    </row>
    <row r="977" spans="1:28" x14ac:dyDescent="0.35">
      <c r="A977" t="str">
        <f t="shared" si="90"/>
        <v>EMP0976</v>
      </c>
      <c r="B977" t="str" cm="1">
        <f t="array" ref="B977">_xlfn.IFS(
ROW()&lt;=421,"NA",
ROW()&lt;=781,"LATAM",
ROW()&lt;=1021,"EMEA",
TRUE,"APAC"
)</f>
        <v>EMEA</v>
      </c>
      <c r="C977" t="str">
        <f t="shared" si="91"/>
        <v>Germany</v>
      </c>
      <c r="D977" t="s">
        <v>44</v>
      </c>
      <c r="E977" t="s">
        <v>69</v>
      </c>
      <c r="F977" t="s">
        <v>74</v>
      </c>
      <c r="G977" t="s">
        <v>28</v>
      </c>
      <c r="H977" s="2">
        <v>42800</v>
      </c>
      <c r="I977" t="s">
        <v>29</v>
      </c>
      <c r="J977" t="s">
        <v>47</v>
      </c>
      <c r="K977" t="str">
        <f t="shared" ca="1" si="94"/>
        <v>OK</v>
      </c>
      <c r="L977" t="s">
        <v>110</v>
      </c>
      <c r="M977">
        <v>3</v>
      </c>
      <c r="N977" s="2">
        <v>46054</v>
      </c>
      <c r="O977" s="2" t="s">
        <v>22</v>
      </c>
      <c r="P977" s="4">
        <f t="shared" ca="1" si="92"/>
        <v>8</v>
      </c>
      <c r="Q977" s="4" t="str">
        <f t="shared" ca="1" si="93"/>
        <v>6-10 Years</v>
      </c>
      <c r="R977">
        <f t="shared" ca="1" si="95"/>
        <v>0</v>
      </c>
      <c r="S977" t="s">
        <v>22</v>
      </c>
      <c r="T977">
        <v>5</v>
      </c>
      <c r="U977" t="s">
        <v>1394</v>
      </c>
      <c r="V977" t="s">
        <v>1394</v>
      </c>
      <c r="W977" t="s">
        <v>1394</v>
      </c>
      <c r="X977" s="3">
        <v>4</v>
      </c>
      <c r="Y977" t="s">
        <v>1395</v>
      </c>
      <c r="Z977">
        <v>103348</v>
      </c>
      <c r="AA977">
        <v>0.2</v>
      </c>
      <c r="AB977">
        <v>124017.59999999999</v>
      </c>
    </row>
    <row r="978" spans="1:28" x14ac:dyDescent="0.35">
      <c r="A978" t="str">
        <f t="shared" si="90"/>
        <v>EMP0977</v>
      </c>
      <c r="B978" t="str" cm="1">
        <f t="array" ref="B978">_xlfn.IFS(
ROW()&lt;=421,"NA",
ROW()&lt;=781,"LATAM",
ROW()&lt;=1021,"EMEA",
TRUE,"APAC"
)</f>
        <v>EMEA</v>
      </c>
      <c r="C978" t="str">
        <f t="shared" si="91"/>
        <v>Germany</v>
      </c>
      <c r="D978" t="s">
        <v>41</v>
      </c>
      <c r="E978" t="s">
        <v>380</v>
      </c>
      <c r="F978" t="s">
        <v>648</v>
      </c>
      <c r="G978" t="s">
        <v>28</v>
      </c>
      <c r="H978" s="2">
        <v>42799</v>
      </c>
      <c r="I978" t="s">
        <v>29</v>
      </c>
      <c r="J978" t="s">
        <v>42</v>
      </c>
      <c r="K978" t="str">
        <f t="shared" ca="1" si="94"/>
        <v>OK</v>
      </c>
      <c r="L978" t="s">
        <v>1222</v>
      </c>
      <c r="M978">
        <v>5</v>
      </c>
      <c r="N978" s="2">
        <v>46038</v>
      </c>
      <c r="O978" s="2" t="s">
        <v>22</v>
      </c>
      <c r="P978" s="4">
        <f t="shared" ca="1" si="92"/>
        <v>8</v>
      </c>
      <c r="Q978" s="4" t="str">
        <f t="shared" ca="1" si="93"/>
        <v>6-10 Years</v>
      </c>
      <c r="R978">
        <f t="shared" ca="1" si="95"/>
        <v>0</v>
      </c>
      <c r="S978" t="s">
        <v>22</v>
      </c>
      <c r="T978">
        <v>3</v>
      </c>
      <c r="U978" t="s">
        <v>1394</v>
      </c>
      <c r="V978" t="s">
        <v>1394</v>
      </c>
      <c r="W978" t="s">
        <v>1394</v>
      </c>
      <c r="X978" s="3">
        <v>3</v>
      </c>
      <c r="Y978" t="s">
        <v>1398</v>
      </c>
      <c r="Z978">
        <v>44697</v>
      </c>
      <c r="AA978">
        <v>0.1</v>
      </c>
      <c r="AB978">
        <v>49166.700000000004</v>
      </c>
    </row>
    <row r="979" spans="1:28" x14ac:dyDescent="0.35">
      <c r="A979" t="str">
        <f t="shared" si="90"/>
        <v>EMP0978</v>
      </c>
      <c r="B979" t="str" cm="1">
        <f t="array" ref="B979">_xlfn.IFS(
ROW()&lt;=421,"NA",
ROW()&lt;=781,"LATAM",
ROW()&lt;=1021,"EMEA",
TRUE,"APAC"
)</f>
        <v>EMEA</v>
      </c>
      <c r="C979" t="str">
        <f t="shared" si="91"/>
        <v>Germany</v>
      </c>
      <c r="D979" t="s">
        <v>44</v>
      </c>
      <c r="E979" t="s">
        <v>380</v>
      </c>
      <c r="F979" t="s">
        <v>418</v>
      </c>
      <c r="G979" t="s">
        <v>28</v>
      </c>
      <c r="H979" s="2">
        <v>42798</v>
      </c>
      <c r="I979" t="s">
        <v>29</v>
      </c>
      <c r="J979" t="s">
        <v>47</v>
      </c>
      <c r="K979" t="str">
        <f t="shared" ca="1" si="94"/>
        <v>OK</v>
      </c>
      <c r="L979" t="s">
        <v>530</v>
      </c>
      <c r="M979">
        <v>5</v>
      </c>
      <c r="N979" s="2">
        <v>46026</v>
      </c>
      <c r="O979" s="2" t="s">
        <v>22</v>
      </c>
      <c r="P979" s="4">
        <f t="shared" ca="1" si="92"/>
        <v>8</v>
      </c>
      <c r="Q979" s="4" t="str">
        <f t="shared" ca="1" si="93"/>
        <v>6-10 Years</v>
      </c>
      <c r="R979">
        <f t="shared" ca="1" si="95"/>
        <v>0</v>
      </c>
      <c r="S979" t="s">
        <v>22</v>
      </c>
      <c r="T979">
        <v>2</v>
      </c>
      <c r="U979" t="s">
        <v>1394</v>
      </c>
      <c r="V979" t="s">
        <v>1394</v>
      </c>
      <c r="W979" t="s">
        <v>1394</v>
      </c>
      <c r="X979" s="3">
        <v>1</v>
      </c>
      <c r="Y979" t="s">
        <v>1397</v>
      </c>
      <c r="Z979">
        <v>36976</v>
      </c>
      <c r="AA979">
        <v>0.1</v>
      </c>
      <c r="AB979">
        <v>40673.600000000006</v>
      </c>
    </row>
    <row r="980" spans="1:28" x14ac:dyDescent="0.35">
      <c r="A980" t="str">
        <f t="shared" si="90"/>
        <v>EMP0979</v>
      </c>
      <c r="B980" t="str" cm="1">
        <f t="array" ref="B980">_xlfn.IFS(
ROW()&lt;=421,"NA",
ROW()&lt;=781,"LATAM",
ROW()&lt;=1021,"EMEA",
TRUE,"APAC"
)</f>
        <v>EMEA</v>
      </c>
      <c r="C980" t="str">
        <f t="shared" si="91"/>
        <v>Germany</v>
      </c>
      <c r="D980" t="s">
        <v>38</v>
      </c>
      <c r="E980" t="s">
        <v>380</v>
      </c>
      <c r="F980" t="s">
        <v>518</v>
      </c>
      <c r="G980" t="s">
        <v>28</v>
      </c>
      <c r="H980" s="2">
        <v>42795</v>
      </c>
      <c r="I980" t="s">
        <v>29</v>
      </c>
      <c r="J980" t="s">
        <v>39</v>
      </c>
      <c r="K980" t="str">
        <f t="shared" ca="1" si="94"/>
        <v>OK</v>
      </c>
      <c r="L980" t="s">
        <v>520</v>
      </c>
      <c r="M980">
        <v>5</v>
      </c>
      <c r="N980" s="2">
        <v>46018</v>
      </c>
      <c r="O980" s="2" t="s">
        <v>22</v>
      </c>
      <c r="P980" s="4">
        <f t="shared" ca="1" si="92"/>
        <v>9</v>
      </c>
      <c r="Q980" s="4" t="str">
        <f t="shared" ca="1" si="93"/>
        <v>6-10 Years</v>
      </c>
      <c r="R980">
        <f t="shared" ca="1" si="95"/>
        <v>0</v>
      </c>
      <c r="S980" t="s">
        <v>22</v>
      </c>
      <c r="T980">
        <v>2</v>
      </c>
      <c r="U980" t="s">
        <v>1394</v>
      </c>
      <c r="V980" t="s">
        <v>1394</v>
      </c>
      <c r="W980" t="s">
        <v>1394</v>
      </c>
      <c r="X980" s="3">
        <v>3</v>
      </c>
      <c r="Y980" t="s">
        <v>1398</v>
      </c>
      <c r="Z980">
        <v>27663</v>
      </c>
      <c r="AA980">
        <v>0.1</v>
      </c>
      <c r="AB980">
        <v>30429.300000000003</v>
      </c>
    </row>
    <row r="981" spans="1:28" x14ac:dyDescent="0.35">
      <c r="A981" t="str">
        <f t="shared" si="90"/>
        <v>EMP0980</v>
      </c>
      <c r="B981" t="str" cm="1">
        <f t="array" ref="B981">_xlfn.IFS(
ROW()&lt;=421,"NA",
ROW()&lt;=781,"LATAM",
ROW()&lt;=1021,"EMEA",
TRUE,"APAC"
)</f>
        <v>EMEA</v>
      </c>
      <c r="C981" t="str">
        <f t="shared" si="91"/>
        <v>Germany</v>
      </c>
      <c r="D981" t="s">
        <v>44</v>
      </c>
      <c r="E981" t="s">
        <v>380</v>
      </c>
      <c r="F981" t="s">
        <v>625</v>
      </c>
      <c r="G981" t="s">
        <v>28</v>
      </c>
      <c r="H981" s="2">
        <v>42791</v>
      </c>
      <c r="I981" t="s">
        <v>29</v>
      </c>
      <c r="J981" t="s">
        <v>47</v>
      </c>
      <c r="K981" t="str">
        <f t="shared" ca="1" si="94"/>
        <v>OK</v>
      </c>
      <c r="L981" t="s">
        <v>1249</v>
      </c>
      <c r="M981">
        <v>5</v>
      </c>
      <c r="N981" s="2">
        <v>46022</v>
      </c>
      <c r="O981" s="2" t="s">
        <v>22</v>
      </c>
      <c r="P981" s="4">
        <f t="shared" ca="1" si="92"/>
        <v>9</v>
      </c>
      <c r="Q981" s="4" t="str">
        <f t="shared" ca="1" si="93"/>
        <v>6-10 Years</v>
      </c>
      <c r="R981">
        <f t="shared" ca="1" si="95"/>
        <v>0</v>
      </c>
      <c r="S981" t="s">
        <v>22</v>
      </c>
      <c r="T981">
        <v>4</v>
      </c>
      <c r="U981" t="s">
        <v>1394</v>
      </c>
      <c r="V981" t="s">
        <v>1394</v>
      </c>
      <c r="W981" t="s">
        <v>1394</v>
      </c>
      <c r="X981" s="3">
        <v>4</v>
      </c>
      <c r="Y981" t="s">
        <v>1395</v>
      </c>
      <c r="Z981">
        <v>21411</v>
      </c>
      <c r="AA981">
        <v>0.1</v>
      </c>
      <c r="AB981">
        <v>23552.100000000002</v>
      </c>
    </row>
    <row r="982" spans="1:28" x14ac:dyDescent="0.35">
      <c r="A982" t="str">
        <f t="shared" si="90"/>
        <v>EMP0981</v>
      </c>
      <c r="B982" t="str" cm="1">
        <f t="array" ref="B982">_xlfn.IFS(
ROW()&lt;=421,"NA",
ROW()&lt;=781,"LATAM",
ROW()&lt;=1021,"EMEA",
TRUE,"APAC"
)</f>
        <v>EMEA</v>
      </c>
      <c r="C982" t="str">
        <f t="shared" si="91"/>
        <v>Germany</v>
      </c>
      <c r="D982" t="s">
        <v>38</v>
      </c>
      <c r="E982" t="s">
        <v>380</v>
      </c>
      <c r="F982" t="s">
        <v>811</v>
      </c>
      <c r="G982" t="s">
        <v>28</v>
      </c>
      <c r="H982" s="2">
        <v>42787</v>
      </c>
      <c r="I982" t="s">
        <v>29</v>
      </c>
      <c r="J982" t="s">
        <v>39</v>
      </c>
      <c r="K982" t="str">
        <f t="shared" ca="1" si="94"/>
        <v>OK</v>
      </c>
      <c r="L982" t="s">
        <v>925</v>
      </c>
      <c r="M982">
        <v>5</v>
      </c>
      <c r="N982" s="2">
        <v>46002</v>
      </c>
      <c r="O982" s="2" t="s">
        <v>22</v>
      </c>
      <c r="P982" s="4">
        <f t="shared" ca="1" si="92"/>
        <v>9</v>
      </c>
      <c r="Q982" s="4" t="str">
        <f t="shared" ca="1" si="93"/>
        <v>6-10 Years</v>
      </c>
      <c r="R982">
        <f t="shared" ca="1" si="95"/>
        <v>0</v>
      </c>
      <c r="S982" t="s">
        <v>22</v>
      </c>
      <c r="T982">
        <v>3</v>
      </c>
      <c r="U982" t="s">
        <v>1394</v>
      </c>
      <c r="V982" t="s">
        <v>1394</v>
      </c>
      <c r="W982" t="s">
        <v>1394</v>
      </c>
      <c r="X982" s="3">
        <v>4</v>
      </c>
      <c r="Y982" t="s">
        <v>1395</v>
      </c>
      <c r="Z982">
        <v>22925</v>
      </c>
      <c r="AA982">
        <v>0.1</v>
      </c>
      <c r="AB982">
        <v>25217.500000000004</v>
      </c>
    </row>
    <row r="983" spans="1:28" x14ac:dyDescent="0.35">
      <c r="A983" t="str">
        <f t="shared" si="90"/>
        <v>EMP0982</v>
      </c>
      <c r="B983" t="str" cm="1">
        <f t="array" ref="B983">_xlfn.IFS(
ROW()&lt;=421,"NA",
ROW()&lt;=781,"LATAM",
ROW()&lt;=1021,"EMEA",
TRUE,"APAC"
)</f>
        <v>EMEA</v>
      </c>
      <c r="C983" t="str">
        <f t="shared" si="91"/>
        <v>Germany</v>
      </c>
      <c r="D983" t="s">
        <v>26</v>
      </c>
      <c r="E983" t="s">
        <v>145</v>
      </c>
      <c r="F983" t="s">
        <v>168</v>
      </c>
      <c r="G983" t="s">
        <v>28</v>
      </c>
      <c r="H983" s="2">
        <v>42784</v>
      </c>
      <c r="I983" t="s">
        <v>29</v>
      </c>
      <c r="J983" t="s">
        <v>30</v>
      </c>
      <c r="K983" t="str">
        <f t="shared" ca="1" si="94"/>
        <v>OK</v>
      </c>
      <c r="L983" t="s">
        <v>223</v>
      </c>
      <c r="M983">
        <v>4</v>
      </c>
      <c r="N983" s="2">
        <v>46077</v>
      </c>
      <c r="O983" s="2" t="s">
        <v>22</v>
      </c>
      <c r="P983" s="4">
        <f t="shared" ca="1" si="92"/>
        <v>9</v>
      </c>
      <c r="Q983" s="4" t="str">
        <f t="shared" ca="1" si="93"/>
        <v>6-10 Years</v>
      </c>
      <c r="R983">
        <f t="shared" ca="1" si="95"/>
        <v>0</v>
      </c>
      <c r="S983" t="s">
        <v>22</v>
      </c>
      <c r="T983">
        <v>3</v>
      </c>
      <c r="U983" t="s">
        <v>1394</v>
      </c>
      <c r="V983" t="s">
        <v>1394</v>
      </c>
      <c r="W983" t="s">
        <v>1394</v>
      </c>
      <c r="X983" s="3">
        <v>2</v>
      </c>
      <c r="Y983" t="s">
        <v>1397</v>
      </c>
      <c r="Z983">
        <v>81568</v>
      </c>
      <c r="AA983">
        <v>0.15</v>
      </c>
      <c r="AB983">
        <v>93803.199999999997</v>
      </c>
    </row>
    <row r="984" spans="1:28" x14ac:dyDescent="0.35">
      <c r="A984" t="str">
        <f t="shared" si="90"/>
        <v>EMP0983</v>
      </c>
      <c r="B984" t="str" cm="1">
        <f t="array" ref="B984">_xlfn.IFS(
ROW()&lt;=421,"NA",
ROW()&lt;=781,"LATAM",
ROW()&lt;=1021,"EMEA",
TRUE,"APAC"
)</f>
        <v>EMEA</v>
      </c>
      <c r="C984" t="str">
        <f t="shared" si="91"/>
        <v>Germany</v>
      </c>
      <c r="D984" t="s">
        <v>35</v>
      </c>
      <c r="E984" t="s">
        <v>380</v>
      </c>
      <c r="F984" t="s">
        <v>431</v>
      </c>
      <c r="G984" t="s">
        <v>28</v>
      </c>
      <c r="H984" s="2">
        <v>42783</v>
      </c>
      <c r="I984" t="s">
        <v>57</v>
      </c>
      <c r="J984" t="s">
        <v>36</v>
      </c>
      <c r="K984" t="str">
        <f t="shared" ca="1" si="94"/>
        <v>OK</v>
      </c>
      <c r="L984" t="s">
        <v>1329</v>
      </c>
      <c r="M984">
        <v>5</v>
      </c>
      <c r="N984" s="2">
        <v>46028</v>
      </c>
      <c r="O984" s="2">
        <v>44953</v>
      </c>
      <c r="P984" s="4">
        <f t="shared" ca="1" si="92"/>
        <v>5</v>
      </c>
      <c r="Q984" s="4" t="str">
        <f t="shared" ca="1" si="93"/>
        <v>3-5 Years</v>
      </c>
      <c r="R984">
        <f t="shared" ca="1" si="95"/>
        <v>0</v>
      </c>
      <c r="S984" t="s">
        <v>23</v>
      </c>
      <c r="T984">
        <v>4</v>
      </c>
      <c r="U984" t="s">
        <v>1394</v>
      </c>
      <c r="V984" t="s">
        <v>1394</v>
      </c>
      <c r="W984" t="s">
        <v>1394</v>
      </c>
      <c r="X984" s="3">
        <v>4</v>
      </c>
      <c r="Y984" t="s">
        <v>1395</v>
      </c>
      <c r="Z984">
        <v>29706</v>
      </c>
      <c r="AA984">
        <v>0.1</v>
      </c>
      <c r="AB984">
        <v>32676.600000000002</v>
      </c>
    </row>
    <row r="985" spans="1:28" x14ac:dyDescent="0.35">
      <c r="A985" t="str">
        <f t="shared" si="90"/>
        <v>EMP0984</v>
      </c>
      <c r="B985" t="str" cm="1">
        <f t="array" ref="B985">_xlfn.IFS(
ROW()&lt;=421,"NA",
ROW()&lt;=781,"LATAM",
ROW()&lt;=1021,"EMEA",
TRUE,"APAC"
)</f>
        <v>EMEA</v>
      </c>
      <c r="C985" t="str">
        <f t="shared" si="91"/>
        <v>Germany</v>
      </c>
      <c r="D985" t="s">
        <v>38</v>
      </c>
      <c r="E985" t="s">
        <v>380</v>
      </c>
      <c r="F985" t="s">
        <v>456</v>
      </c>
      <c r="G985" t="s">
        <v>28</v>
      </c>
      <c r="H985" s="2">
        <v>42782</v>
      </c>
      <c r="I985" t="s">
        <v>29</v>
      </c>
      <c r="J985" t="s">
        <v>39</v>
      </c>
      <c r="K985" t="str">
        <f t="shared" ca="1" si="94"/>
        <v>OK</v>
      </c>
      <c r="L985" t="s">
        <v>1195</v>
      </c>
      <c r="M985">
        <v>5</v>
      </c>
      <c r="N985" s="2">
        <v>46042</v>
      </c>
      <c r="O985" s="2" t="s">
        <v>22</v>
      </c>
      <c r="P985" s="4">
        <f t="shared" ca="1" si="92"/>
        <v>9</v>
      </c>
      <c r="Q985" s="4" t="str">
        <f t="shared" ca="1" si="93"/>
        <v>6-10 Years</v>
      </c>
      <c r="R985">
        <f t="shared" ca="1" si="95"/>
        <v>0</v>
      </c>
      <c r="S985" t="s">
        <v>22</v>
      </c>
      <c r="T985">
        <v>4</v>
      </c>
      <c r="U985" t="s">
        <v>1394</v>
      </c>
      <c r="V985" t="s">
        <v>1396</v>
      </c>
      <c r="W985" t="s">
        <v>1394</v>
      </c>
      <c r="X985" s="3">
        <v>5</v>
      </c>
      <c r="Y985" t="s">
        <v>1395</v>
      </c>
      <c r="Z985">
        <v>37736</v>
      </c>
      <c r="AA985">
        <v>0.1</v>
      </c>
      <c r="AB985">
        <v>41509.600000000006</v>
      </c>
    </row>
    <row r="986" spans="1:28" x14ac:dyDescent="0.35">
      <c r="A986" t="str">
        <f t="shared" si="90"/>
        <v>EMP0985</v>
      </c>
      <c r="B986" t="str" cm="1">
        <f t="array" ref="B986">_xlfn.IFS(
ROW()&lt;=421,"NA",
ROW()&lt;=781,"LATAM",
ROW()&lt;=1021,"EMEA",
TRUE,"APAC"
)</f>
        <v>EMEA</v>
      </c>
      <c r="C986" t="str">
        <f t="shared" si="91"/>
        <v>Germany</v>
      </c>
      <c r="D986" t="s">
        <v>44</v>
      </c>
      <c r="E986" t="s">
        <v>380</v>
      </c>
      <c r="F986" t="s">
        <v>464</v>
      </c>
      <c r="G986" t="s">
        <v>28</v>
      </c>
      <c r="H986" s="2">
        <v>42780</v>
      </c>
      <c r="I986" t="s">
        <v>29</v>
      </c>
      <c r="J986" t="s">
        <v>47</v>
      </c>
      <c r="K986" t="str">
        <f t="shared" ca="1" si="94"/>
        <v>OK</v>
      </c>
      <c r="L986" t="s">
        <v>465</v>
      </c>
      <c r="M986">
        <v>5</v>
      </c>
      <c r="N986" s="2">
        <v>46046</v>
      </c>
      <c r="O986" s="2" t="s">
        <v>22</v>
      </c>
      <c r="P986" s="4">
        <f t="shared" ca="1" si="92"/>
        <v>9</v>
      </c>
      <c r="Q986" s="4" t="str">
        <f t="shared" ca="1" si="93"/>
        <v>6-10 Years</v>
      </c>
      <c r="R986">
        <f t="shared" ca="1" si="95"/>
        <v>0</v>
      </c>
      <c r="S986" t="s">
        <v>22</v>
      </c>
      <c r="T986">
        <v>4</v>
      </c>
      <c r="U986" t="s">
        <v>1394</v>
      </c>
      <c r="V986" t="s">
        <v>1394</v>
      </c>
      <c r="W986" t="s">
        <v>1394</v>
      </c>
      <c r="X986" s="3">
        <v>5</v>
      </c>
      <c r="Y986" t="s">
        <v>1395</v>
      </c>
      <c r="Z986">
        <v>21241</v>
      </c>
      <c r="AA986">
        <v>0.1</v>
      </c>
      <c r="AB986">
        <v>23365.100000000002</v>
      </c>
    </row>
    <row r="987" spans="1:28" x14ac:dyDescent="0.35">
      <c r="A987" t="str">
        <f t="shared" si="90"/>
        <v>EMP0986</v>
      </c>
      <c r="B987" t="str" cm="1">
        <f t="array" ref="B987">_xlfn.IFS(
ROW()&lt;=421,"NA",
ROW()&lt;=781,"LATAM",
ROW()&lt;=1021,"EMEA",
TRUE,"APAC"
)</f>
        <v>EMEA</v>
      </c>
      <c r="C987" t="str">
        <f t="shared" si="91"/>
        <v>Germany</v>
      </c>
      <c r="D987" t="s">
        <v>44</v>
      </c>
      <c r="E987" t="s">
        <v>380</v>
      </c>
      <c r="F987" t="s">
        <v>675</v>
      </c>
      <c r="G987" t="s">
        <v>28</v>
      </c>
      <c r="H987" s="2">
        <v>42777</v>
      </c>
      <c r="I987" t="s">
        <v>29</v>
      </c>
      <c r="J987" t="s">
        <v>47</v>
      </c>
      <c r="K987" t="str">
        <f t="shared" ca="1" si="94"/>
        <v>OK</v>
      </c>
      <c r="L987" t="s">
        <v>1023</v>
      </c>
      <c r="M987">
        <v>5</v>
      </c>
      <c r="N987" s="2">
        <v>46074</v>
      </c>
      <c r="O987" s="2" t="s">
        <v>22</v>
      </c>
      <c r="P987" s="4">
        <f t="shared" ca="1" si="92"/>
        <v>9</v>
      </c>
      <c r="Q987" s="4" t="str">
        <f t="shared" ca="1" si="93"/>
        <v>6-10 Years</v>
      </c>
      <c r="R987">
        <f t="shared" ca="1" si="95"/>
        <v>0</v>
      </c>
      <c r="S987" t="s">
        <v>22</v>
      </c>
      <c r="T987">
        <v>4</v>
      </c>
      <c r="U987" t="s">
        <v>1394</v>
      </c>
      <c r="V987" t="s">
        <v>1394</v>
      </c>
      <c r="W987" t="s">
        <v>1394</v>
      </c>
      <c r="X987" s="3">
        <v>5</v>
      </c>
      <c r="Y987" t="s">
        <v>1395</v>
      </c>
      <c r="Z987">
        <v>48295</v>
      </c>
      <c r="AA987">
        <v>0.1</v>
      </c>
      <c r="AB987">
        <v>53124.500000000007</v>
      </c>
    </row>
    <row r="988" spans="1:28" x14ac:dyDescent="0.35">
      <c r="A988" t="str">
        <f t="shared" si="90"/>
        <v>EMP0987</v>
      </c>
      <c r="B988" t="str" cm="1">
        <f t="array" ref="B988">_xlfn.IFS(
ROW()&lt;=421,"NA",
ROW()&lt;=781,"LATAM",
ROW()&lt;=1021,"EMEA",
TRUE,"APAC"
)</f>
        <v>EMEA</v>
      </c>
      <c r="C988" t="str">
        <f t="shared" si="91"/>
        <v>Germany</v>
      </c>
      <c r="D988" t="s">
        <v>38</v>
      </c>
      <c r="E988" t="s">
        <v>45</v>
      </c>
      <c r="F988" t="s">
        <v>52</v>
      </c>
      <c r="G988" t="s">
        <v>28</v>
      </c>
      <c r="H988" s="2">
        <v>42767</v>
      </c>
      <c r="I988" t="s">
        <v>29</v>
      </c>
      <c r="J988" t="s">
        <v>39</v>
      </c>
      <c r="K988" t="str">
        <f t="shared" ca="1" si="94"/>
        <v>OK</v>
      </c>
      <c r="L988" t="s">
        <v>55</v>
      </c>
      <c r="M988">
        <v>2</v>
      </c>
      <c r="N988" s="2">
        <v>46048</v>
      </c>
      <c r="O988" s="2" t="s">
        <v>22</v>
      </c>
      <c r="P988" s="4">
        <f t="shared" ca="1" si="92"/>
        <v>9</v>
      </c>
      <c r="Q988" s="4" t="str">
        <f t="shared" ca="1" si="93"/>
        <v>6-10 Years</v>
      </c>
      <c r="R988">
        <f t="shared" ca="1" si="95"/>
        <v>0</v>
      </c>
      <c r="S988" t="s">
        <v>22</v>
      </c>
      <c r="T988">
        <v>3</v>
      </c>
      <c r="U988" t="s">
        <v>1394</v>
      </c>
      <c r="V988" t="s">
        <v>1396</v>
      </c>
      <c r="W988" t="s">
        <v>1394</v>
      </c>
      <c r="X988" s="3">
        <v>2</v>
      </c>
      <c r="Y988" t="s">
        <v>1397</v>
      </c>
      <c r="Z988">
        <v>164610</v>
      </c>
      <c r="AA988">
        <v>0.25</v>
      </c>
      <c r="AB988">
        <v>205762.5</v>
      </c>
    </row>
    <row r="989" spans="1:28" x14ac:dyDescent="0.35">
      <c r="A989" t="str">
        <f t="shared" si="90"/>
        <v>EMP0988</v>
      </c>
      <c r="B989" t="str" cm="1">
        <f t="array" ref="B989">_xlfn.IFS(
ROW()&lt;=421,"NA",
ROW()&lt;=781,"LATAM",
ROW()&lt;=1021,"EMEA",
TRUE,"APAC"
)</f>
        <v>EMEA</v>
      </c>
      <c r="C989" t="str">
        <f t="shared" si="91"/>
        <v>Germany</v>
      </c>
      <c r="D989" t="s">
        <v>41</v>
      </c>
      <c r="E989" t="s">
        <v>380</v>
      </c>
      <c r="F989" t="s">
        <v>579</v>
      </c>
      <c r="G989" t="s">
        <v>28</v>
      </c>
      <c r="H989" s="2">
        <v>42767</v>
      </c>
      <c r="I989" t="s">
        <v>57</v>
      </c>
      <c r="J989" t="s">
        <v>42</v>
      </c>
      <c r="K989" t="str">
        <f t="shared" ca="1" si="94"/>
        <v>OK</v>
      </c>
      <c r="L989" t="s">
        <v>580</v>
      </c>
      <c r="M989">
        <v>5</v>
      </c>
      <c r="N989" s="2">
        <v>45997</v>
      </c>
      <c r="O989" s="2">
        <v>43353</v>
      </c>
      <c r="P989" s="4">
        <f t="shared" ca="1" si="92"/>
        <v>1</v>
      </c>
      <c r="Q989" s="4" t="str">
        <f t="shared" ca="1" si="93"/>
        <v>0-2 Years</v>
      </c>
      <c r="R989">
        <f t="shared" ca="1" si="95"/>
        <v>1</v>
      </c>
      <c r="S989" t="s">
        <v>23</v>
      </c>
      <c r="T989">
        <v>3</v>
      </c>
      <c r="U989" t="s">
        <v>1394</v>
      </c>
      <c r="V989" t="s">
        <v>1394</v>
      </c>
      <c r="W989" t="s">
        <v>1394</v>
      </c>
      <c r="X989" s="3">
        <v>4</v>
      </c>
      <c r="Y989" t="s">
        <v>1395</v>
      </c>
      <c r="Z989">
        <v>33028</v>
      </c>
      <c r="AA989">
        <v>0.1</v>
      </c>
      <c r="AB989">
        <v>36330.800000000003</v>
      </c>
    </row>
    <row r="990" spans="1:28" x14ac:dyDescent="0.35">
      <c r="A990" t="str">
        <f t="shared" si="90"/>
        <v>EMP0989</v>
      </c>
      <c r="B990" t="str" cm="1">
        <f t="array" ref="B990">_xlfn.IFS(
ROW()&lt;=421,"NA",
ROW()&lt;=781,"LATAM",
ROW()&lt;=1021,"EMEA",
TRUE,"APAC"
)</f>
        <v>EMEA</v>
      </c>
      <c r="C990" t="str">
        <f t="shared" si="91"/>
        <v>Germany</v>
      </c>
      <c r="D990" t="s">
        <v>32</v>
      </c>
      <c r="E990" t="s">
        <v>145</v>
      </c>
      <c r="F990" t="s">
        <v>152</v>
      </c>
      <c r="G990" t="s">
        <v>28</v>
      </c>
      <c r="H990" s="2">
        <v>42763</v>
      </c>
      <c r="I990" t="s">
        <v>57</v>
      </c>
      <c r="J990" t="s">
        <v>33</v>
      </c>
      <c r="K990" t="str">
        <f t="shared" ca="1" si="94"/>
        <v>OK</v>
      </c>
      <c r="L990" t="s">
        <v>80</v>
      </c>
      <c r="M990">
        <v>4</v>
      </c>
      <c r="N990" s="2">
        <v>46000</v>
      </c>
      <c r="O990" s="2">
        <v>44967</v>
      </c>
      <c r="P990" s="4">
        <f t="shared" ca="1" si="92"/>
        <v>6</v>
      </c>
      <c r="Q990" s="4" t="str">
        <f t="shared" ca="1" si="93"/>
        <v>6-10 Years</v>
      </c>
      <c r="R990">
        <f t="shared" ca="1" si="95"/>
        <v>0</v>
      </c>
      <c r="S990" t="s">
        <v>23</v>
      </c>
      <c r="T990">
        <v>3</v>
      </c>
      <c r="U990" t="s">
        <v>1394</v>
      </c>
      <c r="V990" t="s">
        <v>1394</v>
      </c>
      <c r="W990" t="s">
        <v>1394</v>
      </c>
      <c r="X990" s="3">
        <v>4</v>
      </c>
      <c r="Y990" t="s">
        <v>1395</v>
      </c>
      <c r="Z990">
        <v>80242</v>
      </c>
      <c r="AA990">
        <v>0.15</v>
      </c>
      <c r="AB990">
        <v>92278.299999999988</v>
      </c>
    </row>
    <row r="991" spans="1:28" x14ac:dyDescent="0.35">
      <c r="A991" t="str">
        <f t="shared" si="90"/>
        <v>EMP0990</v>
      </c>
      <c r="B991" t="str" cm="1">
        <f t="array" ref="B991">_xlfn.IFS(
ROW()&lt;=421,"NA",
ROW()&lt;=781,"LATAM",
ROW()&lt;=1021,"EMEA",
TRUE,"APAC"
)</f>
        <v>EMEA</v>
      </c>
      <c r="C991" t="str">
        <f t="shared" si="91"/>
        <v>Germany</v>
      </c>
      <c r="D991" t="s">
        <v>41</v>
      </c>
      <c r="E991" t="s">
        <v>380</v>
      </c>
      <c r="F991" t="s">
        <v>557</v>
      </c>
      <c r="G991" t="s">
        <v>28</v>
      </c>
      <c r="H991" s="2">
        <v>42756</v>
      </c>
      <c r="I991" t="s">
        <v>57</v>
      </c>
      <c r="J991" t="s">
        <v>42</v>
      </c>
      <c r="K991" t="str">
        <f t="shared" ca="1" si="94"/>
        <v>OK</v>
      </c>
      <c r="L991" t="s">
        <v>1028</v>
      </c>
      <c r="M991">
        <v>5</v>
      </c>
      <c r="N991" s="2">
        <v>46054</v>
      </c>
      <c r="O991" s="2">
        <v>43656</v>
      </c>
      <c r="P991" s="4">
        <f t="shared" ca="1" si="92"/>
        <v>2</v>
      </c>
      <c r="Q991" s="4" t="str">
        <f t="shared" ca="1" si="93"/>
        <v>0-2 Years</v>
      </c>
      <c r="R991">
        <f t="shared" ca="1" si="95"/>
        <v>1</v>
      </c>
      <c r="S991" t="s">
        <v>24</v>
      </c>
      <c r="T991">
        <v>4</v>
      </c>
      <c r="U991" t="s">
        <v>1394</v>
      </c>
      <c r="V991" t="s">
        <v>1396</v>
      </c>
      <c r="W991" t="s">
        <v>1394</v>
      </c>
      <c r="X991" s="3">
        <v>5</v>
      </c>
      <c r="Y991" t="s">
        <v>1395</v>
      </c>
      <c r="Z991">
        <v>23980</v>
      </c>
      <c r="AA991">
        <v>0.1</v>
      </c>
      <c r="AB991">
        <v>26378.000000000004</v>
      </c>
    </row>
    <row r="992" spans="1:28" x14ac:dyDescent="0.35">
      <c r="A992" t="str">
        <f t="shared" si="90"/>
        <v>EMP0991</v>
      </c>
      <c r="B992" t="str" cm="1">
        <f t="array" ref="B992">_xlfn.IFS(
ROW()&lt;=421,"NA",
ROW()&lt;=781,"LATAM",
ROW()&lt;=1021,"EMEA",
TRUE,"APAC"
)</f>
        <v>EMEA</v>
      </c>
      <c r="C992" t="str">
        <f t="shared" si="91"/>
        <v>Germany</v>
      </c>
      <c r="D992" t="s">
        <v>32</v>
      </c>
      <c r="E992" t="s">
        <v>380</v>
      </c>
      <c r="F992" t="s">
        <v>422</v>
      </c>
      <c r="G992" t="s">
        <v>28</v>
      </c>
      <c r="H992" s="2">
        <v>42756</v>
      </c>
      <c r="I992" t="s">
        <v>29</v>
      </c>
      <c r="J992" t="s">
        <v>33</v>
      </c>
      <c r="K992" t="str">
        <f t="shared" ca="1" si="94"/>
        <v>OK</v>
      </c>
      <c r="L992" t="s">
        <v>1346</v>
      </c>
      <c r="M992">
        <v>5</v>
      </c>
      <c r="N992" s="2">
        <v>46074</v>
      </c>
      <c r="O992" s="2" t="s">
        <v>22</v>
      </c>
      <c r="P992" s="4">
        <f t="shared" ca="1" si="92"/>
        <v>9</v>
      </c>
      <c r="Q992" s="4" t="str">
        <f t="shared" ca="1" si="93"/>
        <v>6-10 Years</v>
      </c>
      <c r="R992">
        <f t="shared" ca="1" si="95"/>
        <v>0</v>
      </c>
      <c r="S992" t="s">
        <v>22</v>
      </c>
      <c r="T992">
        <v>4</v>
      </c>
      <c r="U992" t="s">
        <v>1394</v>
      </c>
      <c r="V992" t="s">
        <v>1396</v>
      </c>
      <c r="W992" t="s">
        <v>1394</v>
      </c>
      <c r="X992" s="3">
        <v>5</v>
      </c>
      <c r="Y992" t="s">
        <v>1395</v>
      </c>
      <c r="Z992">
        <v>26586</v>
      </c>
      <c r="AA992">
        <v>0.1</v>
      </c>
      <c r="AB992">
        <v>29244.600000000002</v>
      </c>
    </row>
    <row r="993" spans="1:28" x14ac:dyDescent="0.35">
      <c r="A993" t="str">
        <f t="shared" si="90"/>
        <v>EMP0992</v>
      </c>
      <c r="B993" t="str" cm="1">
        <f t="array" ref="B993">_xlfn.IFS(
ROW()&lt;=421,"NA",
ROW()&lt;=781,"LATAM",
ROW()&lt;=1021,"EMEA",
TRUE,"APAC"
)</f>
        <v>EMEA</v>
      </c>
      <c r="C993" t="str">
        <f t="shared" si="91"/>
        <v>Germany</v>
      </c>
      <c r="D993" t="s">
        <v>32</v>
      </c>
      <c r="E993" t="s">
        <v>380</v>
      </c>
      <c r="F993" t="s">
        <v>625</v>
      </c>
      <c r="G993" t="s">
        <v>28</v>
      </c>
      <c r="H993" s="2">
        <v>42754</v>
      </c>
      <c r="I993" t="s">
        <v>29</v>
      </c>
      <c r="J993" t="s">
        <v>33</v>
      </c>
      <c r="K993" t="str">
        <f t="shared" ca="1" si="94"/>
        <v>OK</v>
      </c>
      <c r="L993" t="s">
        <v>1117</v>
      </c>
      <c r="M993">
        <v>5</v>
      </c>
      <c r="N993" s="2">
        <v>46057</v>
      </c>
      <c r="O993" s="2" t="s">
        <v>22</v>
      </c>
      <c r="P993" s="4">
        <f t="shared" ca="1" si="92"/>
        <v>9</v>
      </c>
      <c r="Q993" s="4" t="str">
        <f t="shared" ca="1" si="93"/>
        <v>6-10 Years</v>
      </c>
      <c r="R993">
        <f t="shared" ca="1" si="95"/>
        <v>0</v>
      </c>
      <c r="S993" t="s">
        <v>22</v>
      </c>
      <c r="T993">
        <v>2</v>
      </c>
      <c r="U993" t="s">
        <v>1394</v>
      </c>
      <c r="V993" t="s">
        <v>1394</v>
      </c>
      <c r="W993" t="s">
        <v>1394</v>
      </c>
      <c r="X993" s="3">
        <v>4</v>
      </c>
      <c r="Y993" t="s">
        <v>1395</v>
      </c>
      <c r="Z993">
        <v>22051</v>
      </c>
      <c r="AA993">
        <v>0.1</v>
      </c>
      <c r="AB993">
        <v>24256.100000000002</v>
      </c>
    </row>
    <row r="994" spans="1:28" x14ac:dyDescent="0.35">
      <c r="A994" t="str">
        <f t="shared" si="90"/>
        <v>EMP0993</v>
      </c>
      <c r="B994" t="str" cm="1">
        <f t="array" ref="B994">_xlfn.IFS(
ROW()&lt;=421,"NA",
ROW()&lt;=781,"LATAM",
ROW()&lt;=1021,"EMEA",
TRUE,"APAC"
)</f>
        <v>EMEA</v>
      </c>
      <c r="C994" t="str">
        <f t="shared" si="91"/>
        <v>Germany</v>
      </c>
      <c r="D994" t="s">
        <v>44</v>
      </c>
      <c r="E994" t="s">
        <v>380</v>
      </c>
      <c r="F994" t="s">
        <v>1136</v>
      </c>
      <c r="G994" t="s">
        <v>28</v>
      </c>
      <c r="H994" s="2">
        <v>42749</v>
      </c>
      <c r="I994" t="s">
        <v>29</v>
      </c>
      <c r="J994" t="s">
        <v>47</v>
      </c>
      <c r="K994" t="str">
        <f t="shared" ca="1" si="94"/>
        <v>OK</v>
      </c>
      <c r="L994" t="s">
        <v>1203</v>
      </c>
      <c r="M994">
        <v>5</v>
      </c>
      <c r="N994" s="2">
        <v>46041</v>
      </c>
      <c r="O994" s="2" t="s">
        <v>22</v>
      </c>
      <c r="P994" s="4">
        <f t="shared" ca="1" si="92"/>
        <v>9</v>
      </c>
      <c r="Q994" s="4" t="str">
        <f t="shared" ca="1" si="93"/>
        <v>6-10 Years</v>
      </c>
      <c r="R994">
        <f t="shared" ca="1" si="95"/>
        <v>0</v>
      </c>
      <c r="S994" t="s">
        <v>22</v>
      </c>
      <c r="T994">
        <v>4</v>
      </c>
      <c r="U994" t="s">
        <v>1394</v>
      </c>
      <c r="V994" t="s">
        <v>1394</v>
      </c>
      <c r="W994" t="s">
        <v>1394</v>
      </c>
      <c r="X994" s="3">
        <v>3</v>
      </c>
      <c r="Y994" t="s">
        <v>1398</v>
      </c>
      <c r="Z994">
        <v>48686</v>
      </c>
      <c r="AA994">
        <v>0.1</v>
      </c>
      <c r="AB994">
        <v>53554.600000000006</v>
      </c>
    </row>
    <row r="995" spans="1:28" x14ac:dyDescent="0.35">
      <c r="A995" t="str">
        <f t="shared" si="90"/>
        <v>EMP0994</v>
      </c>
      <c r="B995" t="str" cm="1">
        <f t="array" ref="B995">_xlfn.IFS(
ROW()&lt;=421,"NA",
ROW()&lt;=781,"LATAM",
ROW()&lt;=1021,"EMEA",
TRUE,"APAC"
)</f>
        <v>EMEA</v>
      </c>
      <c r="C995" t="str">
        <f t="shared" si="91"/>
        <v>Germany</v>
      </c>
      <c r="D995" t="s">
        <v>32</v>
      </c>
      <c r="E995" t="s">
        <v>69</v>
      </c>
      <c r="F995" t="s">
        <v>79</v>
      </c>
      <c r="G995" t="s">
        <v>28</v>
      </c>
      <c r="H995" s="2">
        <v>42746</v>
      </c>
      <c r="I995" t="s">
        <v>29</v>
      </c>
      <c r="J995" t="s">
        <v>33</v>
      </c>
      <c r="K995" t="str">
        <f t="shared" ca="1" si="94"/>
        <v>OK</v>
      </c>
      <c r="L995" t="s">
        <v>90</v>
      </c>
      <c r="M995">
        <v>3</v>
      </c>
      <c r="N995" s="2">
        <v>46016</v>
      </c>
      <c r="O995" s="2" t="s">
        <v>22</v>
      </c>
      <c r="P995" s="4">
        <f t="shared" ca="1" si="92"/>
        <v>9</v>
      </c>
      <c r="Q995" s="4" t="str">
        <f t="shared" ca="1" si="93"/>
        <v>6-10 Years</v>
      </c>
      <c r="R995">
        <f t="shared" ca="1" si="95"/>
        <v>0</v>
      </c>
      <c r="S995" t="s">
        <v>22</v>
      </c>
      <c r="T995">
        <v>3</v>
      </c>
      <c r="U995" t="s">
        <v>1394</v>
      </c>
      <c r="V995" t="s">
        <v>1396</v>
      </c>
      <c r="W995" t="s">
        <v>1394</v>
      </c>
      <c r="X995" s="3">
        <v>4</v>
      </c>
      <c r="Y995" t="s">
        <v>1395</v>
      </c>
      <c r="Z995">
        <v>112309</v>
      </c>
      <c r="AA995">
        <v>0.2</v>
      </c>
      <c r="AB995">
        <v>134770.79999999999</v>
      </c>
    </row>
    <row r="996" spans="1:28" x14ac:dyDescent="0.35">
      <c r="A996" t="str">
        <f t="shared" si="90"/>
        <v>EMP0995</v>
      </c>
      <c r="B996" t="str" cm="1">
        <f t="array" ref="B996">_xlfn.IFS(
ROW()&lt;=421,"NA",
ROW()&lt;=781,"LATAM",
ROW()&lt;=1021,"EMEA",
TRUE,"APAC"
)</f>
        <v>EMEA</v>
      </c>
      <c r="C996" t="str">
        <f t="shared" si="91"/>
        <v>Germany</v>
      </c>
      <c r="D996" t="s">
        <v>35</v>
      </c>
      <c r="E996" t="s">
        <v>380</v>
      </c>
      <c r="F996" t="s">
        <v>416</v>
      </c>
      <c r="G996" t="s">
        <v>28</v>
      </c>
      <c r="H996" s="2">
        <v>42746</v>
      </c>
      <c r="I996" t="s">
        <v>57</v>
      </c>
      <c r="J996" t="s">
        <v>36</v>
      </c>
      <c r="K996" t="str">
        <f t="shared" ca="1" si="94"/>
        <v>OK</v>
      </c>
      <c r="L996" t="s">
        <v>853</v>
      </c>
      <c r="M996">
        <v>5</v>
      </c>
      <c r="N996" s="2">
        <v>46030</v>
      </c>
      <c r="O996" s="2">
        <v>44553</v>
      </c>
      <c r="P996" s="4">
        <f t="shared" ca="1" si="92"/>
        <v>4</v>
      </c>
      <c r="Q996" s="4" t="str">
        <f t="shared" ca="1" si="93"/>
        <v>3-5 Years</v>
      </c>
      <c r="R996">
        <f t="shared" ca="1" si="95"/>
        <v>0</v>
      </c>
      <c r="S996" t="s">
        <v>23</v>
      </c>
      <c r="T996">
        <v>4</v>
      </c>
      <c r="U996" t="s">
        <v>1394</v>
      </c>
      <c r="V996" t="s">
        <v>1394</v>
      </c>
      <c r="W996" t="s">
        <v>1394</v>
      </c>
      <c r="X996" s="3">
        <v>3</v>
      </c>
      <c r="Y996" t="s">
        <v>1398</v>
      </c>
      <c r="Z996">
        <v>24860</v>
      </c>
      <c r="AA996">
        <v>0.1</v>
      </c>
      <c r="AB996">
        <v>27346.000000000004</v>
      </c>
    </row>
    <row r="997" spans="1:28" x14ac:dyDescent="0.35">
      <c r="A997" t="str">
        <f t="shared" si="90"/>
        <v>EMP0996</v>
      </c>
      <c r="B997" t="str" cm="1">
        <f t="array" ref="B997">_xlfn.IFS(
ROW()&lt;=421,"NA",
ROW()&lt;=781,"LATAM",
ROW()&lt;=1021,"EMEA",
TRUE,"APAC"
)</f>
        <v>EMEA</v>
      </c>
      <c r="C997" t="str">
        <f t="shared" si="91"/>
        <v>Germany</v>
      </c>
      <c r="D997" t="s">
        <v>44</v>
      </c>
      <c r="E997" t="s">
        <v>380</v>
      </c>
      <c r="F997" t="s">
        <v>387</v>
      </c>
      <c r="G997" t="s">
        <v>28</v>
      </c>
      <c r="H997" s="2">
        <v>42743</v>
      </c>
      <c r="I997" t="s">
        <v>29</v>
      </c>
      <c r="J997" t="s">
        <v>47</v>
      </c>
      <c r="K997" t="str">
        <f t="shared" ca="1" si="94"/>
        <v>OK</v>
      </c>
      <c r="L997" t="s">
        <v>388</v>
      </c>
      <c r="M997">
        <v>5</v>
      </c>
      <c r="N997" s="2">
        <v>46036</v>
      </c>
      <c r="O997" s="2" t="s">
        <v>22</v>
      </c>
      <c r="P997" s="4">
        <f t="shared" ca="1" si="92"/>
        <v>9</v>
      </c>
      <c r="Q997" s="4" t="str">
        <f t="shared" ca="1" si="93"/>
        <v>6-10 Years</v>
      </c>
      <c r="R997">
        <f t="shared" ca="1" si="95"/>
        <v>0</v>
      </c>
      <c r="S997" t="s">
        <v>22</v>
      </c>
      <c r="T997">
        <v>4</v>
      </c>
      <c r="U997" t="s">
        <v>1394</v>
      </c>
      <c r="V997" t="s">
        <v>1394</v>
      </c>
      <c r="W997" t="s">
        <v>1394</v>
      </c>
      <c r="X997" s="3">
        <v>1</v>
      </c>
      <c r="Y997" t="s">
        <v>1397</v>
      </c>
      <c r="Z997">
        <v>40442</v>
      </c>
      <c r="AA997">
        <v>0.1</v>
      </c>
      <c r="AB997">
        <v>44486.200000000004</v>
      </c>
    </row>
    <row r="998" spans="1:28" x14ac:dyDescent="0.35">
      <c r="A998" t="str">
        <f t="shared" si="90"/>
        <v>EMP0997</v>
      </c>
      <c r="B998" t="str" cm="1">
        <f t="array" ref="B998">_xlfn.IFS(
ROW()&lt;=421,"NA",
ROW()&lt;=781,"LATAM",
ROW()&lt;=1021,"EMEA",
TRUE,"APAC"
)</f>
        <v>EMEA</v>
      </c>
      <c r="C998" t="str">
        <f t="shared" si="91"/>
        <v>Germany</v>
      </c>
      <c r="D998" t="s">
        <v>38</v>
      </c>
      <c r="E998" t="s">
        <v>380</v>
      </c>
      <c r="F998" t="s">
        <v>424</v>
      </c>
      <c r="G998" t="s">
        <v>28</v>
      </c>
      <c r="H998" s="2">
        <v>42738</v>
      </c>
      <c r="I998" t="s">
        <v>29</v>
      </c>
      <c r="J998" t="s">
        <v>39</v>
      </c>
      <c r="K998" t="str">
        <f t="shared" ca="1" si="94"/>
        <v>OK</v>
      </c>
      <c r="L998" t="s">
        <v>481</v>
      </c>
      <c r="M998">
        <v>5</v>
      </c>
      <c r="N998" s="2">
        <v>46020</v>
      </c>
      <c r="O998" s="2" t="s">
        <v>22</v>
      </c>
      <c r="P998" s="4">
        <f t="shared" ca="1" si="92"/>
        <v>9</v>
      </c>
      <c r="Q998" s="4" t="str">
        <f t="shared" ca="1" si="93"/>
        <v>6-10 Years</v>
      </c>
      <c r="R998">
        <f t="shared" ca="1" si="95"/>
        <v>0</v>
      </c>
      <c r="S998" t="s">
        <v>22</v>
      </c>
      <c r="T998">
        <v>2</v>
      </c>
      <c r="U998" t="s">
        <v>1396</v>
      </c>
      <c r="V998" t="s">
        <v>1394</v>
      </c>
      <c r="W998" t="s">
        <v>1394</v>
      </c>
      <c r="X998" s="3">
        <v>5</v>
      </c>
      <c r="Y998" t="s">
        <v>1395</v>
      </c>
      <c r="Z998">
        <v>35640</v>
      </c>
      <c r="AA998">
        <v>0.1</v>
      </c>
      <c r="AB998">
        <v>39204</v>
      </c>
    </row>
    <row r="999" spans="1:28" x14ac:dyDescent="0.35">
      <c r="A999" t="str">
        <f t="shared" si="90"/>
        <v>EMP0998</v>
      </c>
      <c r="B999" t="str" cm="1">
        <f t="array" ref="B999">_xlfn.IFS(
ROW()&lt;=421,"NA",
ROW()&lt;=781,"LATAM",
ROW()&lt;=1021,"EMEA",
TRUE,"APAC"
)</f>
        <v>EMEA</v>
      </c>
      <c r="C999" t="str">
        <f t="shared" si="91"/>
        <v>Germany</v>
      </c>
      <c r="D999" t="s">
        <v>26</v>
      </c>
      <c r="E999" t="s">
        <v>380</v>
      </c>
      <c r="F999" t="s">
        <v>402</v>
      </c>
      <c r="G999" t="s">
        <v>28</v>
      </c>
      <c r="H999" s="2">
        <v>42727</v>
      </c>
      <c r="I999" t="s">
        <v>29</v>
      </c>
      <c r="J999" t="s">
        <v>30</v>
      </c>
      <c r="K999" t="str">
        <f t="shared" ca="1" si="94"/>
        <v>OK</v>
      </c>
      <c r="L999" t="s">
        <v>890</v>
      </c>
      <c r="M999">
        <v>5</v>
      </c>
      <c r="N999" s="2">
        <v>46001</v>
      </c>
      <c r="O999" s="2" t="s">
        <v>22</v>
      </c>
      <c r="P999" s="4">
        <f t="shared" ca="1" si="92"/>
        <v>9</v>
      </c>
      <c r="Q999" s="4" t="str">
        <f t="shared" ca="1" si="93"/>
        <v>6-10 Years</v>
      </c>
      <c r="R999">
        <f t="shared" ca="1" si="95"/>
        <v>0</v>
      </c>
      <c r="S999" t="s">
        <v>22</v>
      </c>
      <c r="T999">
        <v>2</v>
      </c>
      <c r="U999" t="s">
        <v>1394</v>
      </c>
      <c r="V999" t="s">
        <v>1394</v>
      </c>
      <c r="W999" t="s">
        <v>1394</v>
      </c>
      <c r="X999" s="3">
        <v>3</v>
      </c>
      <c r="Y999" t="s">
        <v>1398</v>
      </c>
      <c r="Z999">
        <v>30643</v>
      </c>
      <c r="AA999">
        <v>0.1</v>
      </c>
      <c r="AB999">
        <v>33707.300000000003</v>
      </c>
    </row>
    <row r="1000" spans="1:28" x14ac:dyDescent="0.35">
      <c r="A1000" t="str">
        <f t="shared" si="90"/>
        <v>EMP0999</v>
      </c>
      <c r="B1000" t="str" cm="1">
        <f t="array" ref="B1000">_xlfn.IFS(
ROW()&lt;=421,"NA",
ROW()&lt;=781,"LATAM",
ROW()&lt;=1021,"EMEA",
TRUE,"APAC"
)</f>
        <v>EMEA</v>
      </c>
      <c r="C1000" t="str">
        <f t="shared" si="91"/>
        <v>Germany</v>
      </c>
      <c r="D1000" t="s">
        <v>44</v>
      </c>
      <c r="E1000" t="s">
        <v>380</v>
      </c>
      <c r="F1000" t="s">
        <v>582</v>
      </c>
      <c r="G1000" t="s">
        <v>28</v>
      </c>
      <c r="H1000" s="2">
        <v>42723</v>
      </c>
      <c r="I1000" t="s">
        <v>29</v>
      </c>
      <c r="J1000" t="s">
        <v>47</v>
      </c>
      <c r="K1000" t="str">
        <f t="shared" ca="1" si="94"/>
        <v>OK</v>
      </c>
      <c r="L1000" t="s">
        <v>411</v>
      </c>
      <c r="M1000">
        <v>5</v>
      </c>
      <c r="N1000" s="2">
        <v>46064</v>
      </c>
      <c r="O1000" s="2" t="s">
        <v>22</v>
      </c>
      <c r="P1000" s="4">
        <f t="shared" ca="1" si="92"/>
        <v>9</v>
      </c>
      <c r="Q1000" s="4" t="str">
        <f t="shared" ca="1" si="93"/>
        <v>6-10 Years</v>
      </c>
      <c r="R1000">
        <f t="shared" ca="1" si="95"/>
        <v>0</v>
      </c>
      <c r="S1000" t="s">
        <v>22</v>
      </c>
      <c r="T1000">
        <v>4</v>
      </c>
      <c r="U1000" t="s">
        <v>1394</v>
      </c>
      <c r="V1000" t="s">
        <v>1394</v>
      </c>
      <c r="W1000" t="s">
        <v>1394</v>
      </c>
      <c r="X1000" s="3">
        <v>1</v>
      </c>
      <c r="Y1000" t="s">
        <v>1397</v>
      </c>
      <c r="Z1000">
        <v>45392</v>
      </c>
      <c r="AA1000">
        <v>0.1</v>
      </c>
      <c r="AB1000">
        <v>49931.200000000004</v>
      </c>
    </row>
    <row r="1001" spans="1:28" x14ac:dyDescent="0.35">
      <c r="A1001" t="str">
        <f t="shared" si="90"/>
        <v>EMP1000</v>
      </c>
      <c r="B1001" t="str" cm="1">
        <f t="array" ref="B1001">_xlfn.IFS(
ROW()&lt;=421,"NA",
ROW()&lt;=781,"LATAM",
ROW()&lt;=1021,"EMEA",
TRUE,"APAC"
)</f>
        <v>EMEA</v>
      </c>
      <c r="C1001" t="str">
        <f t="shared" si="91"/>
        <v>Germany</v>
      </c>
      <c r="D1001" t="s">
        <v>35</v>
      </c>
      <c r="E1001" t="s">
        <v>145</v>
      </c>
      <c r="F1001" t="s">
        <v>172</v>
      </c>
      <c r="G1001" t="s">
        <v>28</v>
      </c>
      <c r="H1001" s="2">
        <v>42719</v>
      </c>
      <c r="I1001" t="s">
        <v>57</v>
      </c>
      <c r="J1001" t="s">
        <v>36</v>
      </c>
      <c r="K1001" t="str">
        <f t="shared" ca="1" si="94"/>
        <v>OK</v>
      </c>
      <c r="L1001" t="s">
        <v>200</v>
      </c>
      <c r="M1001">
        <v>4</v>
      </c>
      <c r="N1001" s="2">
        <v>46029</v>
      </c>
      <c r="O1001" s="2">
        <v>44419</v>
      </c>
      <c r="P1001" s="4">
        <f t="shared" ca="1" si="92"/>
        <v>4</v>
      </c>
      <c r="Q1001" s="4" t="str">
        <f t="shared" ca="1" si="93"/>
        <v>3-5 Years</v>
      </c>
      <c r="R1001">
        <f t="shared" ca="1" si="95"/>
        <v>0</v>
      </c>
      <c r="S1001" t="s">
        <v>23</v>
      </c>
      <c r="T1001">
        <v>3</v>
      </c>
      <c r="U1001" t="s">
        <v>1394</v>
      </c>
      <c r="V1001" t="s">
        <v>1394</v>
      </c>
      <c r="W1001" t="s">
        <v>1394</v>
      </c>
      <c r="X1001" s="3">
        <v>5</v>
      </c>
      <c r="Y1001" t="s">
        <v>1395</v>
      </c>
      <c r="Z1001">
        <v>51672</v>
      </c>
      <c r="AA1001">
        <v>0.15</v>
      </c>
      <c r="AB1001">
        <v>59422.799999999996</v>
      </c>
    </row>
    <row r="1002" spans="1:28" x14ac:dyDescent="0.35">
      <c r="A1002" t="str">
        <f t="shared" si="90"/>
        <v>EMP1001</v>
      </c>
      <c r="B1002" t="str" cm="1">
        <f t="array" ref="B1002">_xlfn.IFS(
ROW()&lt;=421,"NA",
ROW()&lt;=781,"LATAM",
ROW()&lt;=1021,"EMEA",
TRUE,"APAC"
)</f>
        <v>EMEA</v>
      </c>
      <c r="C1002" t="str">
        <f t="shared" si="91"/>
        <v>Germany</v>
      </c>
      <c r="D1002" t="s">
        <v>35</v>
      </c>
      <c r="E1002" t="s">
        <v>145</v>
      </c>
      <c r="F1002" t="s">
        <v>146</v>
      </c>
      <c r="G1002" t="s">
        <v>28</v>
      </c>
      <c r="H1002" s="2">
        <v>42719</v>
      </c>
      <c r="I1002" t="s">
        <v>29</v>
      </c>
      <c r="J1002" t="s">
        <v>36</v>
      </c>
      <c r="K1002" t="str">
        <f t="shared" ca="1" si="94"/>
        <v>OK</v>
      </c>
      <c r="L1002" t="s">
        <v>349</v>
      </c>
      <c r="M1002">
        <v>4</v>
      </c>
      <c r="N1002" s="2">
        <v>46063</v>
      </c>
      <c r="O1002" s="2" t="s">
        <v>22</v>
      </c>
      <c r="P1002" s="4">
        <f t="shared" ca="1" si="92"/>
        <v>9</v>
      </c>
      <c r="Q1002" s="4" t="str">
        <f t="shared" ca="1" si="93"/>
        <v>6-10 Years</v>
      </c>
      <c r="R1002">
        <f t="shared" ca="1" si="95"/>
        <v>0</v>
      </c>
      <c r="S1002" t="s">
        <v>22</v>
      </c>
      <c r="T1002">
        <v>4</v>
      </c>
      <c r="U1002" t="s">
        <v>1394</v>
      </c>
      <c r="V1002" t="s">
        <v>1394</v>
      </c>
      <c r="W1002" t="s">
        <v>1394</v>
      </c>
      <c r="X1002" s="3">
        <v>1</v>
      </c>
      <c r="Y1002" t="s">
        <v>1397</v>
      </c>
      <c r="Z1002">
        <v>61809</v>
      </c>
      <c r="AA1002">
        <v>0.15</v>
      </c>
      <c r="AB1002">
        <v>71080.349999999991</v>
      </c>
    </row>
    <row r="1003" spans="1:28" x14ac:dyDescent="0.35">
      <c r="A1003" t="str">
        <f t="shared" si="90"/>
        <v>EMP1002</v>
      </c>
      <c r="B1003" t="str" cm="1">
        <f t="array" ref="B1003">_xlfn.IFS(
ROW()&lt;=421,"NA",
ROW()&lt;=781,"LATAM",
ROW()&lt;=1021,"EMEA",
TRUE,"APAC"
)</f>
        <v>EMEA</v>
      </c>
      <c r="C1003" t="str">
        <f t="shared" si="91"/>
        <v>Germany</v>
      </c>
      <c r="D1003" t="s">
        <v>44</v>
      </c>
      <c r="E1003" t="s">
        <v>380</v>
      </c>
      <c r="F1003" t="s">
        <v>603</v>
      </c>
      <c r="G1003" t="s">
        <v>28</v>
      </c>
      <c r="H1003" s="2">
        <v>42718</v>
      </c>
      <c r="I1003" t="s">
        <v>29</v>
      </c>
      <c r="J1003" t="s">
        <v>47</v>
      </c>
      <c r="K1003" t="str">
        <f t="shared" ca="1" si="94"/>
        <v>OK</v>
      </c>
      <c r="L1003" t="s">
        <v>921</v>
      </c>
      <c r="M1003">
        <v>5</v>
      </c>
      <c r="N1003" s="2">
        <v>46051</v>
      </c>
      <c r="O1003" s="2" t="s">
        <v>22</v>
      </c>
      <c r="P1003" s="4">
        <f t="shared" ca="1" si="92"/>
        <v>9</v>
      </c>
      <c r="Q1003" s="4" t="str">
        <f t="shared" ca="1" si="93"/>
        <v>6-10 Years</v>
      </c>
      <c r="R1003">
        <f t="shared" ca="1" si="95"/>
        <v>0</v>
      </c>
      <c r="S1003" t="s">
        <v>22</v>
      </c>
      <c r="T1003">
        <v>3</v>
      </c>
      <c r="U1003" t="s">
        <v>1394</v>
      </c>
      <c r="V1003" t="s">
        <v>1396</v>
      </c>
      <c r="W1003" t="s">
        <v>1394</v>
      </c>
      <c r="X1003" s="3">
        <v>3</v>
      </c>
      <c r="Y1003" t="s">
        <v>1398</v>
      </c>
      <c r="Z1003">
        <v>40546</v>
      </c>
      <c r="AA1003">
        <v>0.1</v>
      </c>
      <c r="AB1003">
        <v>44600.600000000006</v>
      </c>
    </row>
    <row r="1004" spans="1:28" x14ac:dyDescent="0.35">
      <c r="A1004" t="str">
        <f t="shared" si="90"/>
        <v>EMP1003</v>
      </c>
      <c r="B1004" t="str" cm="1">
        <f t="array" ref="B1004">_xlfn.IFS(
ROW()&lt;=421,"NA",
ROW()&lt;=781,"LATAM",
ROW()&lt;=1021,"EMEA",
TRUE,"APAC"
)</f>
        <v>EMEA</v>
      </c>
      <c r="C1004" t="str">
        <f t="shared" si="91"/>
        <v>Germany</v>
      </c>
      <c r="D1004" t="s">
        <v>38</v>
      </c>
      <c r="E1004" t="s">
        <v>145</v>
      </c>
      <c r="F1004" t="s">
        <v>181</v>
      </c>
      <c r="G1004" t="s">
        <v>28</v>
      </c>
      <c r="H1004" s="2">
        <v>42717</v>
      </c>
      <c r="I1004" t="s">
        <v>29</v>
      </c>
      <c r="J1004" t="s">
        <v>39</v>
      </c>
      <c r="K1004" t="str">
        <f t="shared" ca="1" si="94"/>
        <v>OK</v>
      </c>
      <c r="L1004" t="s">
        <v>40</v>
      </c>
      <c r="M1004">
        <v>4</v>
      </c>
      <c r="N1004" s="2">
        <v>46010</v>
      </c>
      <c r="O1004" s="2" t="s">
        <v>22</v>
      </c>
      <c r="P1004" s="4">
        <f t="shared" ca="1" si="92"/>
        <v>9</v>
      </c>
      <c r="Q1004" s="4" t="str">
        <f t="shared" ca="1" si="93"/>
        <v>6-10 Years</v>
      </c>
      <c r="R1004">
        <f t="shared" ca="1" si="95"/>
        <v>0</v>
      </c>
      <c r="S1004" t="s">
        <v>22</v>
      </c>
      <c r="T1004">
        <v>3</v>
      </c>
      <c r="U1004" t="s">
        <v>1394</v>
      </c>
      <c r="V1004" t="s">
        <v>1394</v>
      </c>
      <c r="W1004" t="s">
        <v>1394</v>
      </c>
      <c r="X1004" s="3">
        <v>4</v>
      </c>
      <c r="Y1004" t="s">
        <v>1395</v>
      </c>
      <c r="Z1004">
        <v>56226</v>
      </c>
      <c r="AA1004">
        <v>0.15</v>
      </c>
      <c r="AB1004">
        <v>64659.899999999994</v>
      </c>
    </row>
    <row r="1005" spans="1:28" x14ac:dyDescent="0.35">
      <c r="A1005" t="str">
        <f t="shared" si="90"/>
        <v>EMP1004</v>
      </c>
      <c r="B1005" t="str" cm="1">
        <f t="array" ref="B1005">_xlfn.IFS(
ROW()&lt;=421,"NA",
ROW()&lt;=781,"LATAM",
ROW()&lt;=1021,"EMEA",
TRUE,"APAC"
)</f>
        <v>EMEA</v>
      </c>
      <c r="C1005" t="str">
        <f t="shared" si="91"/>
        <v>Germany</v>
      </c>
      <c r="D1005" t="s">
        <v>44</v>
      </c>
      <c r="E1005" t="s">
        <v>380</v>
      </c>
      <c r="F1005" t="s">
        <v>486</v>
      </c>
      <c r="G1005" t="s">
        <v>28</v>
      </c>
      <c r="H1005" s="2">
        <v>42715</v>
      </c>
      <c r="I1005" t="s">
        <v>29</v>
      </c>
      <c r="J1005" t="s">
        <v>47</v>
      </c>
      <c r="K1005" t="str">
        <f t="shared" ca="1" si="94"/>
        <v>OK</v>
      </c>
      <c r="L1005" t="s">
        <v>796</v>
      </c>
      <c r="M1005">
        <v>5</v>
      </c>
      <c r="N1005" s="2">
        <v>46047</v>
      </c>
      <c r="O1005" s="2" t="s">
        <v>22</v>
      </c>
      <c r="P1005" s="4">
        <f t="shared" ca="1" si="92"/>
        <v>9</v>
      </c>
      <c r="Q1005" s="4" t="str">
        <f t="shared" ca="1" si="93"/>
        <v>6-10 Years</v>
      </c>
      <c r="R1005">
        <f t="shared" ca="1" si="95"/>
        <v>0</v>
      </c>
      <c r="S1005" t="s">
        <v>22</v>
      </c>
      <c r="T1005">
        <v>4</v>
      </c>
      <c r="U1005" t="s">
        <v>1394</v>
      </c>
      <c r="V1005" t="s">
        <v>1394</v>
      </c>
      <c r="W1005" t="s">
        <v>1394</v>
      </c>
      <c r="X1005" s="3">
        <v>1</v>
      </c>
      <c r="Y1005" t="s">
        <v>1397</v>
      </c>
      <c r="Z1005">
        <v>39436</v>
      </c>
      <c r="AA1005">
        <v>0.1</v>
      </c>
      <c r="AB1005">
        <v>43379.600000000006</v>
      </c>
    </row>
    <row r="1006" spans="1:28" x14ac:dyDescent="0.35">
      <c r="A1006" t="str">
        <f t="shared" si="90"/>
        <v>EMP1005</v>
      </c>
      <c r="B1006" t="str" cm="1">
        <f t="array" ref="B1006">_xlfn.IFS(
ROW()&lt;=421,"NA",
ROW()&lt;=781,"LATAM",
ROW()&lt;=1021,"EMEA",
TRUE,"APAC"
)</f>
        <v>EMEA</v>
      </c>
      <c r="C1006" t="str">
        <f t="shared" si="91"/>
        <v>Germany</v>
      </c>
      <c r="D1006" t="s">
        <v>35</v>
      </c>
      <c r="E1006" t="s">
        <v>380</v>
      </c>
      <c r="F1006" t="s">
        <v>761</v>
      </c>
      <c r="G1006" t="s">
        <v>28</v>
      </c>
      <c r="H1006" s="2">
        <v>42713</v>
      </c>
      <c r="I1006" t="s">
        <v>57</v>
      </c>
      <c r="J1006" t="s">
        <v>36</v>
      </c>
      <c r="K1006" t="str">
        <f t="shared" ca="1" si="94"/>
        <v>OK</v>
      </c>
      <c r="L1006" t="s">
        <v>762</v>
      </c>
      <c r="M1006">
        <v>5</v>
      </c>
      <c r="N1006" s="2">
        <v>45995</v>
      </c>
      <c r="O1006" s="2">
        <v>43635</v>
      </c>
      <c r="P1006" s="4">
        <f t="shared" ca="1" si="92"/>
        <v>2</v>
      </c>
      <c r="Q1006" s="4" t="str">
        <f t="shared" ca="1" si="93"/>
        <v>0-2 Years</v>
      </c>
      <c r="R1006">
        <f t="shared" ca="1" si="95"/>
        <v>1</v>
      </c>
      <c r="S1006" t="s">
        <v>23</v>
      </c>
      <c r="T1006">
        <v>2</v>
      </c>
      <c r="U1006" t="s">
        <v>1396</v>
      </c>
      <c r="V1006" t="s">
        <v>1394</v>
      </c>
      <c r="W1006" t="s">
        <v>1394</v>
      </c>
      <c r="X1006" s="3">
        <v>1</v>
      </c>
      <c r="Y1006" t="s">
        <v>1397</v>
      </c>
      <c r="Z1006">
        <v>41483</v>
      </c>
      <c r="AA1006">
        <v>0.1</v>
      </c>
      <c r="AB1006">
        <v>45631.3</v>
      </c>
    </row>
    <row r="1007" spans="1:28" x14ac:dyDescent="0.35">
      <c r="A1007" t="str">
        <f t="shared" si="90"/>
        <v>EMP1006</v>
      </c>
      <c r="B1007" t="str" cm="1">
        <f t="array" ref="B1007">_xlfn.IFS(
ROW()&lt;=421,"NA",
ROW()&lt;=781,"LATAM",
ROW()&lt;=1021,"EMEA",
TRUE,"APAC"
)</f>
        <v>EMEA</v>
      </c>
      <c r="C1007" t="str">
        <f t="shared" si="91"/>
        <v>Germany</v>
      </c>
      <c r="D1007" t="s">
        <v>41</v>
      </c>
      <c r="E1007" t="s">
        <v>69</v>
      </c>
      <c r="F1007" t="s">
        <v>84</v>
      </c>
      <c r="G1007" t="s">
        <v>28</v>
      </c>
      <c r="H1007" s="2">
        <v>42710</v>
      </c>
      <c r="I1007" t="s">
        <v>29</v>
      </c>
      <c r="J1007" t="s">
        <v>42</v>
      </c>
      <c r="K1007" t="str">
        <f t="shared" ca="1" si="94"/>
        <v>OK</v>
      </c>
      <c r="L1007" t="s">
        <v>85</v>
      </c>
      <c r="M1007">
        <v>3</v>
      </c>
      <c r="N1007" s="2">
        <v>46038</v>
      </c>
      <c r="O1007" s="2" t="s">
        <v>22</v>
      </c>
      <c r="P1007" s="4">
        <f t="shared" ca="1" si="92"/>
        <v>9</v>
      </c>
      <c r="Q1007" s="4" t="str">
        <f t="shared" ca="1" si="93"/>
        <v>6-10 Years</v>
      </c>
      <c r="R1007">
        <f t="shared" ca="1" si="95"/>
        <v>0</v>
      </c>
      <c r="S1007" t="s">
        <v>22</v>
      </c>
      <c r="T1007">
        <v>4</v>
      </c>
      <c r="U1007" t="s">
        <v>1394</v>
      </c>
      <c r="V1007" t="s">
        <v>1394</v>
      </c>
      <c r="W1007" t="s">
        <v>1394</v>
      </c>
      <c r="X1007" s="3">
        <v>3</v>
      </c>
      <c r="Y1007" t="s">
        <v>1398</v>
      </c>
      <c r="Z1007">
        <v>99108</v>
      </c>
      <c r="AA1007">
        <v>0.2</v>
      </c>
      <c r="AB1007">
        <v>118929.59999999999</v>
      </c>
    </row>
    <row r="1008" spans="1:28" x14ac:dyDescent="0.35">
      <c r="A1008" t="str">
        <f t="shared" si="90"/>
        <v>EMP1007</v>
      </c>
      <c r="B1008" t="str" cm="1">
        <f t="array" ref="B1008">_xlfn.IFS(
ROW()&lt;=421,"NA",
ROW()&lt;=781,"LATAM",
ROW()&lt;=1021,"EMEA",
TRUE,"APAC"
)</f>
        <v>EMEA</v>
      </c>
      <c r="C1008" t="str">
        <f t="shared" si="91"/>
        <v>Germany</v>
      </c>
      <c r="D1008" t="s">
        <v>35</v>
      </c>
      <c r="E1008" t="s">
        <v>380</v>
      </c>
      <c r="F1008" t="s">
        <v>408</v>
      </c>
      <c r="G1008" t="s">
        <v>28</v>
      </c>
      <c r="H1008" s="2">
        <v>42707</v>
      </c>
      <c r="I1008" t="s">
        <v>29</v>
      </c>
      <c r="J1008" t="s">
        <v>36</v>
      </c>
      <c r="K1008" t="str">
        <f t="shared" ca="1" si="94"/>
        <v>OK</v>
      </c>
      <c r="L1008" t="s">
        <v>1256</v>
      </c>
      <c r="M1008">
        <v>5</v>
      </c>
      <c r="N1008" s="2">
        <v>46004</v>
      </c>
      <c r="O1008" s="2" t="s">
        <v>22</v>
      </c>
      <c r="P1008" s="4">
        <f t="shared" ca="1" si="92"/>
        <v>9</v>
      </c>
      <c r="Q1008" s="4" t="str">
        <f t="shared" ca="1" si="93"/>
        <v>6-10 Years</v>
      </c>
      <c r="R1008">
        <f t="shared" ca="1" si="95"/>
        <v>0</v>
      </c>
      <c r="S1008" t="s">
        <v>22</v>
      </c>
      <c r="T1008">
        <v>3</v>
      </c>
      <c r="U1008" t="s">
        <v>1394</v>
      </c>
      <c r="V1008" t="s">
        <v>1394</v>
      </c>
      <c r="W1008" t="s">
        <v>1394</v>
      </c>
      <c r="X1008" s="3">
        <v>3</v>
      </c>
      <c r="Y1008" t="s">
        <v>1398</v>
      </c>
      <c r="Z1008">
        <v>39791</v>
      </c>
      <c r="AA1008">
        <v>0.1</v>
      </c>
      <c r="AB1008">
        <v>43770.100000000006</v>
      </c>
    </row>
    <row r="1009" spans="1:28" x14ac:dyDescent="0.35">
      <c r="A1009" t="str">
        <f t="shared" si="90"/>
        <v>EMP1008</v>
      </c>
      <c r="B1009" t="str" cm="1">
        <f t="array" ref="B1009">_xlfn.IFS(
ROW()&lt;=421,"NA",
ROW()&lt;=781,"LATAM",
ROW()&lt;=1021,"EMEA",
TRUE,"APAC"
)</f>
        <v>EMEA</v>
      </c>
      <c r="C1009" t="str">
        <f t="shared" si="91"/>
        <v>Germany</v>
      </c>
      <c r="D1009" t="s">
        <v>32</v>
      </c>
      <c r="E1009" t="s">
        <v>380</v>
      </c>
      <c r="F1009" t="s">
        <v>1185</v>
      </c>
      <c r="G1009" t="s">
        <v>28</v>
      </c>
      <c r="H1009" s="2">
        <v>42693</v>
      </c>
      <c r="I1009" t="s">
        <v>29</v>
      </c>
      <c r="J1009" t="s">
        <v>33</v>
      </c>
      <c r="K1009" t="str">
        <f t="shared" ca="1" si="94"/>
        <v>OK</v>
      </c>
      <c r="L1009" t="s">
        <v>1199</v>
      </c>
      <c r="M1009">
        <v>5</v>
      </c>
      <c r="N1009" s="2">
        <v>46017</v>
      </c>
      <c r="O1009" s="2" t="s">
        <v>22</v>
      </c>
      <c r="P1009" s="4">
        <f t="shared" ca="1" si="92"/>
        <v>9</v>
      </c>
      <c r="Q1009" s="4" t="str">
        <f t="shared" ca="1" si="93"/>
        <v>6-10 Years</v>
      </c>
      <c r="R1009">
        <f t="shared" ca="1" si="95"/>
        <v>0</v>
      </c>
      <c r="S1009" t="s">
        <v>22</v>
      </c>
      <c r="T1009">
        <v>4</v>
      </c>
      <c r="U1009" t="s">
        <v>1394</v>
      </c>
      <c r="V1009" t="s">
        <v>1394</v>
      </c>
      <c r="W1009" t="s">
        <v>1394</v>
      </c>
      <c r="X1009" s="3">
        <v>5</v>
      </c>
      <c r="Y1009" t="s">
        <v>1395</v>
      </c>
      <c r="Z1009">
        <v>46803</v>
      </c>
      <c r="AA1009">
        <v>0.1</v>
      </c>
      <c r="AB1009">
        <v>51483.3</v>
      </c>
    </row>
    <row r="1010" spans="1:28" x14ac:dyDescent="0.35">
      <c r="A1010" t="str">
        <f t="shared" si="90"/>
        <v>EMP1009</v>
      </c>
      <c r="B1010" t="str" cm="1">
        <f t="array" ref="B1010">_xlfn.IFS(
ROW()&lt;=421,"NA",
ROW()&lt;=781,"LATAM",
ROW()&lt;=1021,"EMEA",
TRUE,"APAC"
)</f>
        <v>EMEA</v>
      </c>
      <c r="C1010" t="str">
        <f t="shared" si="91"/>
        <v>Germany</v>
      </c>
      <c r="D1010" t="s">
        <v>41</v>
      </c>
      <c r="E1010" t="s">
        <v>145</v>
      </c>
      <c r="F1010" t="s">
        <v>203</v>
      </c>
      <c r="G1010" t="s">
        <v>53</v>
      </c>
      <c r="H1010" s="2">
        <v>42687</v>
      </c>
      <c r="I1010" t="s">
        <v>29</v>
      </c>
      <c r="J1010" t="s">
        <v>42</v>
      </c>
      <c r="K1010" t="str">
        <f t="shared" ca="1" si="94"/>
        <v>OK</v>
      </c>
      <c r="L1010" t="s">
        <v>204</v>
      </c>
      <c r="M1010">
        <v>4</v>
      </c>
      <c r="N1010" s="2">
        <v>46064</v>
      </c>
      <c r="O1010" s="2" t="s">
        <v>22</v>
      </c>
      <c r="P1010" s="4">
        <f t="shared" ca="1" si="92"/>
        <v>9</v>
      </c>
      <c r="Q1010" s="4" t="str">
        <f t="shared" ca="1" si="93"/>
        <v>6-10 Years</v>
      </c>
      <c r="R1010">
        <f t="shared" ca="1" si="95"/>
        <v>0</v>
      </c>
      <c r="S1010" t="s">
        <v>22</v>
      </c>
      <c r="T1010">
        <v>3</v>
      </c>
      <c r="U1010" t="s">
        <v>1394</v>
      </c>
      <c r="V1010" t="s">
        <v>1396</v>
      </c>
      <c r="W1010" t="s">
        <v>1394</v>
      </c>
      <c r="X1010" s="3">
        <v>2</v>
      </c>
      <c r="Y1010" t="s">
        <v>1397</v>
      </c>
      <c r="Z1010">
        <v>82771</v>
      </c>
      <c r="AA1010">
        <v>0.15</v>
      </c>
      <c r="AB1010">
        <v>95186.65</v>
      </c>
    </row>
    <row r="1011" spans="1:28" x14ac:dyDescent="0.35">
      <c r="A1011" t="str">
        <f t="shared" si="90"/>
        <v>EMP1010</v>
      </c>
      <c r="B1011" t="str" cm="1">
        <f t="array" ref="B1011">_xlfn.IFS(
ROW()&lt;=421,"NA",
ROW()&lt;=781,"LATAM",
ROW()&lt;=1021,"EMEA",
TRUE,"APAC"
)</f>
        <v>EMEA</v>
      </c>
      <c r="C1011" t="str">
        <f t="shared" si="91"/>
        <v>Germany</v>
      </c>
      <c r="D1011" t="s">
        <v>26</v>
      </c>
      <c r="E1011" t="s">
        <v>380</v>
      </c>
      <c r="F1011" t="s">
        <v>440</v>
      </c>
      <c r="G1011" t="s">
        <v>28</v>
      </c>
      <c r="H1011" s="2">
        <v>42680</v>
      </c>
      <c r="I1011" t="s">
        <v>29</v>
      </c>
      <c r="J1011" t="s">
        <v>30</v>
      </c>
      <c r="K1011" t="str">
        <f t="shared" ca="1" si="94"/>
        <v>OK</v>
      </c>
      <c r="L1011" t="s">
        <v>880</v>
      </c>
      <c r="M1011">
        <v>5</v>
      </c>
      <c r="N1011" s="2">
        <v>46042</v>
      </c>
      <c r="O1011" s="2" t="s">
        <v>22</v>
      </c>
      <c r="P1011" s="4">
        <f t="shared" ca="1" si="92"/>
        <v>9</v>
      </c>
      <c r="Q1011" s="4" t="str">
        <f t="shared" ca="1" si="93"/>
        <v>6-10 Years</v>
      </c>
      <c r="R1011">
        <f t="shared" ca="1" si="95"/>
        <v>0</v>
      </c>
      <c r="S1011" t="s">
        <v>22</v>
      </c>
      <c r="T1011">
        <v>4</v>
      </c>
      <c r="U1011" t="s">
        <v>1394</v>
      </c>
      <c r="V1011" t="s">
        <v>1394</v>
      </c>
      <c r="W1011" t="s">
        <v>1394</v>
      </c>
      <c r="X1011" s="3">
        <v>1</v>
      </c>
      <c r="Y1011" t="s">
        <v>1397</v>
      </c>
      <c r="Z1011">
        <v>40847</v>
      </c>
      <c r="AA1011">
        <v>0.1</v>
      </c>
      <c r="AB1011">
        <v>44931.700000000004</v>
      </c>
    </row>
    <row r="1012" spans="1:28" x14ac:dyDescent="0.35">
      <c r="A1012" t="str">
        <f t="shared" si="90"/>
        <v>EMP1011</v>
      </c>
      <c r="B1012" t="str" cm="1">
        <f t="array" ref="B1012">_xlfn.IFS(
ROW()&lt;=421,"NA",
ROW()&lt;=781,"LATAM",
ROW()&lt;=1021,"EMEA",
TRUE,"APAC"
)</f>
        <v>EMEA</v>
      </c>
      <c r="C1012" t="str">
        <f t="shared" si="91"/>
        <v>Germany</v>
      </c>
      <c r="D1012" t="s">
        <v>41</v>
      </c>
      <c r="E1012" t="s">
        <v>380</v>
      </c>
      <c r="F1012" t="s">
        <v>490</v>
      </c>
      <c r="G1012" t="s">
        <v>28</v>
      </c>
      <c r="H1012" s="2">
        <v>42679</v>
      </c>
      <c r="I1012" t="s">
        <v>29</v>
      </c>
      <c r="J1012" t="s">
        <v>42</v>
      </c>
      <c r="K1012" t="str">
        <f t="shared" ca="1" si="94"/>
        <v>OK</v>
      </c>
      <c r="L1012" t="s">
        <v>1071</v>
      </c>
      <c r="M1012">
        <v>5</v>
      </c>
      <c r="N1012" s="2">
        <v>46025</v>
      </c>
      <c r="O1012" s="2" t="s">
        <v>22</v>
      </c>
      <c r="P1012" s="4">
        <f t="shared" ca="1" si="92"/>
        <v>9</v>
      </c>
      <c r="Q1012" s="4" t="str">
        <f t="shared" ca="1" si="93"/>
        <v>6-10 Years</v>
      </c>
      <c r="R1012">
        <f t="shared" ca="1" si="95"/>
        <v>0</v>
      </c>
      <c r="S1012" t="s">
        <v>22</v>
      </c>
      <c r="T1012">
        <v>3</v>
      </c>
      <c r="U1012" t="s">
        <v>1394</v>
      </c>
      <c r="V1012" t="s">
        <v>1394</v>
      </c>
      <c r="W1012" t="s">
        <v>1394</v>
      </c>
      <c r="X1012" s="3">
        <v>2</v>
      </c>
      <c r="Y1012" t="s">
        <v>1397</v>
      </c>
      <c r="Z1012">
        <v>49154</v>
      </c>
      <c r="AA1012">
        <v>0.1</v>
      </c>
      <c r="AB1012">
        <v>54069.4</v>
      </c>
    </row>
    <row r="1013" spans="1:28" x14ac:dyDescent="0.35">
      <c r="A1013" t="str">
        <f t="shared" si="90"/>
        <v>EMP1012</v>
      </c>
      <c r="B1013" t="str" cm="1">
        <f t="array" ref="B1013">_xlfn.IFS(
ROW()&lt;=421,"NA",
ROW()&lt;=781,"LATAM",
ROW()&lt;=1021,"EMEA",
TRUE,"APAC"
)</f>
        <v>EMEA</v>
      </c>
      <c r="C1013" t="str">
        <f t="shared" si="91"/>
        <v>Germany</v>
      </c>
      <c r="D1013" t="s">
        <v>38</v>
      </c>
      <c r="E1013" t="s">
        <v>380</v>
      </c>
      <c r="F1013" t="s">
        <v>661</v>
      </c>
      <c r="G1013" t="s">
        <v>28</v>
      </c>
      <c r="H1013" s="2">
        <v>42675</v>
      </c>
      <c r="I1013" t="s">
        <v>29</v>
      </c>
      <c r="J1013" t="s">
        <v>39</v>
      </c>
      <c r="K1013" t="str">
        <f t="shared" ca="1" si="94"/>
        <v>OK</v>
      </c>
      <c r="L1013" t="s">
        <v>140</v>
      </c>
      <c r="M1013">
        <v>5</v>
      </c>
      <c r="N1013" s="2">
        <v>46001</v>
      </c>
      <c r="O1013" s="2" t="s">
        <v>22</v>
      </c>
      <c r="P1013" s="4">
        <f t="shared" ca="1" si="92"/>
        <v>9</v>
      </c>
      <c r="Q1013" s="4" t="str">
        <f t="shared" ca="1" si="93"/>
        <v>6-10 Years</v>
      </c>
      <c r="R1013">
        <f t="shared" ca="1" si="95"/>
        <v>0</v>
      </c>
      <c r="S1013" t="s">
        <v>22</v>
      </c>
      <c r="T1013">
        <v>4</v>
      </c>
      <c r="U1013" t="s">
        <v>1394</v>
      </c>
      <c r="V1013" t="s">
        <v>1394</v>
      </c>
      <c r="W1013" t="s">
        <v>1394</v>
      </c>
      <c r="X1013" s="3">
        <v>2</v>
      </c>
      <c r="Y1013" t="s">
        <v>1397</v>
      </c>
      <c r="Z1013">
        <v>40910</v>
      </c>
      <c r="AA1013">
        <v>0.1</v>
      </c>
      <c r="AB1013">
        <v>45001</v>
      </c>
    </row>
    <row r="1014" spans="1:28" x14ac:dyDescent="0.35">
      <c r="A1014" t="str">
        <f t="shared" si="90"/>
        <v>EMP1013</v>
      </c>
      <c r="B1014" t="str" cm="1">
        <f t="array" ref="B1014">_xlfn.IFS(
ROW()&lt;=421,"NA",
ROW()&lt;=781,"LATAM",
ROW()&lt;=1021,"EMEA",
TRUE,"APAC"
)</f>
        <v>EMEA</v>
      </c>
      <c r="C1014" t="str">
        <f t="shared" si="91"/>
        <v>Germany</v>
      </c>
      <c r="D1014" t="s">
        <v>38</v>
      </c>
      <c r="E1014" t="s">
        <v>380</v>
      </c>
      <c r="F1014" t="s">
        <v>761</v>
      </c>
      <c r="G1014" t="s">
        <v>28</v>
      </c>
      <c r="H1014" s="2">
        <v>42669</v>
      </c>
      <c r="I1014" t="s">
        <v>29</v>
      </c>
      <c r="J1014" t="s">
        <v>39</v>
      </c>
      <c r="K1014" t="str">
        <f t="shared" ca="1" si="94"/>
        <v>OK</v>
      </c>
      <c r="L1014" t="s">
        <v>1147</v>
      </c>
      <c r="M1014">
        <v>5</v>
      </c>
      <c r="N1014" s="2">
        <v>46051</v>
      </c>
      <c r="O1014" s="2" t="s">
        <v>22</v>
      </c>
      <c r="P1014" s="4">
        <f t="shared" ca="1" si="92"/>
        <v>9</v>
      </c>
      <c r="Q1014" s="4" t="str">
        <f t="shared" ca="1" si="93"/>
        <v>6-10 Years</v>
      </c>
      <c r="R1014">
        <f t="shared" ca="1" si="95"/>
        <v>0</v>
      </c>
      <c r="S1014" t="s">
        <v>22</v>
      </c>
      <c r="T1014">
        <v>4</v>
      </c>
      <c r="U1014" t="s">
        <v>1394</v>
      </c>
      <c r="V1014" t="s">
        <v>1396</v>
      </c>
      <c r="W1014" t="s">
        <v>1396</v>
      </c>
      <c r="X1014" s="3">
        <v>2</v>
      </c>
      <c r="Y1014" t="s">
        <v>1397</v>
      </c>
      <c r="Z1014">
        <v>42574</v>
      </c>
      <c r="AA1014">
        <v>0.1</v>
      </c>
      <c r="AB1014">
        <v>46831.4</v>
      </c>
    </row>
    <row r="1015" spans="1:28" x14ac:dyDescent="0.35">
      <c r="A1015" t="str">
        <f t="shared" si="90"/>
        <v>EMP1014</v>
      </c>
      <c r="B1015" t="str" cm="1">
        <f t="array" ref="B1015">_xlfn.IFS(
ROW()&lt;=421,"NA",
ROW()&lt;=781,"LATAM",
ROW()&lt;=1021,"EMEA",
TRUE,"APAC"
)</f>
        <v>EMEA</v>
      </c>
      <c r="C1015" t="str">
        <f t="shared" si="91"/>
        <v>Germany</v>
      </c>
      <c r="D1015" t="s">
        <v>32</v>
      </c>
      <c r="E1015" t="s">
        <v>380</v>
      </c>
      <c r="F1015" t="s">
        <v>648</v>
      </c>
      <c r="G1015" t="s">
        <v>28</v>
      </c>
      <c r="H1015" s="2">
        <v>42667</v>
      </c>
      <c r="I1015" t="s">
        <v>57</v>
      </c>
      <c r="J1015" t="s">
        <v>33</v>
      </c>
      <c r="K1015" t="str">
        <f t="shared" ca="1" si="94"/>
        <v>OK</v>
      </c>
      <c r="L1015" t="s">
        <v>34</v>
      </c>
      <c r="M1015">
        <v>5</v>
      </c>
      <c r="N1015" s="2">
        <v>46056</v>
      </c>
      <c r="O1015" s="2">
        <v>43856</v>
      </c>
      <c r="P1015" s="4">
        <f t="shared" ca="1" si="92"/>
        <v>3</v>
      </c>
      <c r="Q1015" s="4" t="str">
        <f t="shared" ca="1" si="93"/>
        <v>3-5 Years</v>
      </c>
      <c r="R1015">
        <f t="shared" ca="1" si="95"/>
        <v>0</v>
      </c>
      <c r="S1015" t="s">
        <v>23</v>
      </c>
      <c r="T1015">
        <v>3</v>
      </c>
      <c r="U1015" t="s">
        <v>1396</v>
      </c>
      <c r="V1015" t="s">
        <v>1394</v>
      </c>
      <c r="W1015" t="s">
        <v>1394</v>
      </c>
      <c r="X1015" s="3">
        <v>4</v>
      </c>
      <c r="Y1015" t="s">
        <v>1395</v>
      </c>
      <c r="Z1015">
        <v>20894</v>
      </c>
      <c r="AA1015">
        <v>0.1</v>
      </c>
      <c r="AB1015">
        <v>22983.4</v>
      </c>
    </row>
    <row r="1016" spans="1:28" x14ac:dyDescent="0.35">
      <c r="A1016" t="str">
        <f t="shared" si="90"/>
        <v>EMP1015</v>
      </c>
      <c r="B1016" t="str" cm="1">
        <f t="array" ref="B1016">_xlfn.IFS(
ROW()&lt;=421,"NA",
ROW()&lt;=781,"LATAM",
ROW()&lt;=1021,"EMEA",
TRUE,"APAC"
)</f>
        <v>EMEA</v>
      </c>
      <c r="C1016" t="str">
        <f t="shared" si="91"/>
        <v>Germany</v>
      </c>
      <c r="D1016" t="s">
        <v>44</v>
      </c>
      <c r="E1016" t="s">
        <v>145</v>
      </c>
      <c r="F1016" t="s">
        <v>152</v>
      </c>
      <c r="G1016" t="s">
        <v>28</v>
      </c>
      <c r="H1016" s="2">
        <v>42662</v>
      </c>
      <c r="I1016" t="s">
        <v>29</v>
      </c>
      <c r="J1016" t="s">
        <v>47</v>
      </c>
      <c r="K1016" t="str">
        <f t="shared" ca="1" si="94"/>
        <v>OK</v>
      </c>
      <c r="L1016" t="s">
        <v>153</v>
      </c>
      <c r="M1016">
        <v>4</v>
      </c>
      <c r="N1016" s="2">
        <v>46040</v>
      </c>
      <c r="O1016" s="2" t="s">
        <v>22</v>
      </c>
      <c r="P1016" s="4">
        <f t="shared" ca="1" si="92"/>
        <v>9</v>
      </c>
      <c r="Q1016" s="4" t="str">
        <f t="shared" ca="1" si="93"/>
        <v>6-10 Years</v>
      </c>
      <c r="R1016">
        <f t="shared" ca="1" si="95"/>
        <v>0</v>
      </c>
      <c r="S1016" t="s">
        <v>22</v>
      </c>
      <c r="T1016">
        <v>3</v>
      </c>
      <c r="U1016" t="s">
        <v>1394</v>
      </c>
      <c r="V1016" t="s">
        <v>1394</v>
      </c>
      <c r="W1016" t="s">
        <v>1394</v>
      </c>
      <c r="X1016" s="3">
        <v>3</v>
      </c>
      <c r="Y1016" t="s">
        <v>1398</v>
      </c>
      <c r="Z1016">
        <v>70698</v>
      </c>
      <c r="AA1016">
        <v>0.15</v>
      </c>
      <c r="AB1016">
        <v>81302.7</v>
      </c>
    </row>
    <row r="1017" spans="1:28" x14ac:dyDescent="0.35">
      <c r="A1017" t="str">
        <f t="shared" si="90"/>
        <v>EMP1016</v>
      </c>
      <c r="B1017" t="str" cm="1">
        <f t="array" ref="B1017">_xlfn.IFS(
ROW()&lt;=421,"NA",
ROW()&lt;=781,"LATAM",
ROW()&lt;=1021,"EMEA",
TRUE,"APAC"
)</f>
        <v>EMEA</v>
      </c>
      <c r="C1017" t="str">
        <f t="shared" si="91"/>
        <v>Germany</v>
      </c>
      <c r="D1017" t="s">
        <v>38</v>
      </c>
      <c r="E1017" t="s">
        <v>69</v>
      </c>
      <c r="F1017" t="s">
        <v>72</v>
      </c>
      <c r="G1017" t="s">
        <v>28</v>
      </c>
      <c r="H1017" s="2">
        <v>42653</v>
      </c>
      <c r="I1017" t="s">
        <v>57</v>
      </c>
      <c r="J1017" t="s">
        <v>39</v>
      </c>
      <c r="K1017" t="str">
        <f t="shared" ca="1" si="94"/>
        <v>OK</v>
      </c>
      <c r="L1017" t="s">
        <v>134</v>
      </c>
      <c r="M1017">
        <v>3</v>
      </c>
      <c r="N1017" s="2">
        <v>46040</v>
      </c>
      <c r="O1017" s="2">
        <v>44731</v>
      </c>
      <c r="P1017" s="4">
        <f t="shared" ca="1" si="92"/>
        <v>5</v>
      </c>
      <c r="Q1017" s="4" t="str">
        <f t="shared" ca="1" si="93"/>
        <v>3-5 Years</v>
      </c>
      <c r="R1017">
        <f t="shared" ca="1" si="95"/>
        <v>0</v>
      </c>
      <c r="S1017" t="s">
        <v>23</v>
      </c>
      <c r="T1017">
        <v>3</v>
      </c>
      <c r="U1017" t="s">
        <v>1394</v>
      </c>
      <c r="V1017" t="s">
        <v>1394</v>
      </c>
      <c r="W1017" t="s">
        <v>1394</v>
      </c>
      <c r="X1017" s="3">
        <v>4</v>
      </c>
      <c r="Y1017" t="s">
        <v>1395</v>
      </c>
      <c r="Z1017">
        <v>128088</v>
      </c>
      <c r="AA1017">
        <v>0.2</v>
      </c>
      <c r="AB1017">
        <v>153705.60000000001</v>
      </c>
    </row>
    <row r="1018" spans="1:28" x14ac:dyDescent="0.35">
      <c r="A1018" t="str">
        <f t="shared" si="90"/>
        <v>EMP1017</v>
      </c>
      <c r="B1018" t="str" cm="1">
        <f t="array" ref="B1018">_xlfn.IFS(
ROW()&lt;=421,"NA",
ROW()&lt;=781,"LATAM",
ROW()&lt;=1021,"EMEA",
TRUE,"APAC"
)</f>
        <v>EMEA</v>
      </c>
      <c r="C1018" t="str">
        <f t="shared" si="91"/>
        <v>Germany</v>
      </c>
      <c r="D1018" t="s">
        <v>41</v>
      </c>
      <c r="E1018" t="s">
        <v>380</v>
      </c>
      <c r="F1018" t="s">
        <v>946</v>
      </c>
      <c r="G1018" t="s">
        <v>28</v>
      </c>
      <c r="H1018" s="2">
        <v>42649</v>
      </c>
      <c r="I1018" t="s">
        <v>57</v>
      </c>
      <c r="J1018" t="s">
        <v>42</v>
      </c>
      <c r="K1018" t="str">
        <f t="shared" ca="1" si="94"/>
        <v>OK</v>
      </c>
      <c r="L1018" t="s">
        <v>1034</v>
      </c>
      <c r="M1018">
        <v>5</v>
      </c>
      <c r="N1018" s="2">
        <v>46008</v>
      </c>
      <c r="O1018" s="2">
        <v>43367</v>
      </c>
      <c r="P1018" s="4">
        <f t="shared" ca="1" si="92"/>
        <v>1</v>
      </c>
      <c r="Q1018" s="4" t="str">
        <f t="shared" ca="1" si="93"/>
        <v>0-2 Years</v>
      </c>
      <c r="R1018">
        <f t="shared" ca="1" si="95"/>
        <v>1</v>
      </c>
      <c r="S1018" t="s">
        <v>23</v>
      </c>
      <c r="T1018">
        <v>3</v>
      </c>
      <c r="U1018" t="s">
        <v>1396</v>
      </c>
      <c r="V1018" t="s">
        <v>1396</v>
      </c>
      <c r="W1018" t="s">
        <v>1394</v>
      </c>
      <c r="X1018" s="3">
        <v>2</v>
      </c>
      <c r="Y1018" t="s">
        <v>1397</v>
      </c>
      <c r="Z1018">
        <v>29278</v>
      </c>
      <c r="AA1018">
        <v>0.1</v>
      </c>
      <c r="AB1018">
        <v>32205.800000000003</v>
      </c>
    </row>
    <row r="1019" spans="1:28" x14ac:dyDescent="0.35">
      <c r="A1019" t="str">
        <f t="shared" si="90"/>
        <v>EMP1018</v>
      </c>
      <c r="B1019" t="str" cm="1">
        <f t="array" ref="B1019">_xlfn.IFS(
ROW()&lt;=421,"NA",
ROW()&lt;=781,"LATAM",
ROW()&lt;=1021,"EMEA",
TRUE,"APAC"
)</f>
        <v>EMEA</v>
      </c>
      <c r="C1019" t="str">
        <f t="shared" si="91"/>
        <v>Germany</v>
      </c>
      <c r="D1019" t="s">
        <v>44</v>
      </c>
      <c r="E1019" t="s">
        <v>380</v>
      </c>
      <c r="F1019" t="s">
        <v>695</v>
      </c>
      <c r="G1019" t="s">
        <v>28</v>
      </c>
      <c r="H1019" s="2">
        <v>42644</v>
      </c>
      <c r="I1019" t="s">
        <v>29</v>
      </c>
      <c r="J1019" t="s">
        <v>47</v>
      </c>
      <c r="K1019" t="str">
        <f t="shared" ca="1" si="94"/>
        <v>OK</v>
      </c>
      <c r="L1019" t="s">
        <v>1165</v>
      </c>
      <c r="M1019">
        <v>5</v>
      </c>
      <c r="N1019" s="2">
        <v>45997</v>
      </c>
      <c r="O1019" s="2" t="s">
        <v>22</v>
      </c>
      <c r="P1019" s="4">
        <f t="shared" ca="1" si="92"/>
        <v>9</v>
      </c>
      <c r="Q1019" s="4" t="str">
        <f t="shared" ca="1" si="93"/>
        <v>6-10 Years</v>
      </c>
      <c r="R1019">
        <f t="shared" ca="1" si="95"/>
        <v>0</v>
      </c>
      <c r="S1019" t="s">
        <v>22</v>
      </c>
      <c r="T1019">
        <v>3</v>
      </c>
      <c r="U1019" t="s">
        <v>1394</v>
      </c>
      <c r="V1019" t="s">
        <v>1394</v>
      </c>
      <c r="W1019" t="s">
        <v>1394</v>
      </c>
      <c r="X1019" s="3">
        <v>5</v>
      </c>
      <c r="Y1019" t="s">
        <v>1395</v>
      </c>
      <c r="Z1019">
        <v>47808</v>
      </c>
      <c r="AA1019">
        <v>0.1</v>
      </c>
      <c r="AB1019">
        <v>52588.800000000003</v>
      </c>
    </row>
    <row r="1020" spans="1:28" x14ac:dyDescent="0.35">
      <c r="A1020" t="str">
        <f t="shared" si="90"/>
        <v>EMP1019</v>
      </c>
      <c r="B1020" t="str" cm="1">
        <f t="array" ref="B1020">_xlfn.IFS(
ROW()&lt;=421,"NA",
ROW()&lt;=781,"LATAM",
ROW()&lt;=1021,"EMEA",
TRUE,"APAC"
)</f>
        <v>EMEA</v>
      </c>
      <c r="C1020" t="str">
        <f t="shared" si="91"/>
        <v>Germany</v>
      </c>
      <c r="D1020" t="s">
        <v>32</v>
      </c>
      <c r="E1020" t="s">
        <v>145</v>
      </c>
      <c r="F1020" t="s">
        <v>203</v>
      </c>
      <c r="G1020" t="s">
        <v>53</v>
      </c>
      <c r="H1020" s="2">
        <v>42640</v>
      </c>
      <c r="I1020" t="s">
        <v>29</v>
      </c>
      <c r="J1020" t="s">
        <v>33</v>
      </c>
      <c r="K1020" t="str">
        <f t="shared" ca="1" si="94"/>
        <v>OK</v>
      </c>
      <c r="L1020" t="s">
        <v>329</v>
      </c>
      <c r="M1020">
        <v>4</v>
      </c>
      <c r="N1020" s="2">
        <v>46060</v>
      </c>
      <c r="O1020" s="2" t="s">
        <v>22</v>
      </c>
      <c r="P1020" s="4">
        <f t="shared" ca="1" si="92"/>
        <v>9</v>
      </c>
      <c r="Q1020" s="4" t="str">
        <f t="shared" ca="1" si="93"/>
        <v>6-10 Years</v>
      </c>
      <c r="R1020">
        <f t="shared" ca="1" si="95"/>
        <v>0</v>
      </c>
      <c r="S1020" t="s">
        <v>22</v>
      </c>
      <c r="T1020">
        <v>3</v>
      </c>
      <c r="U1020" t="s">
        <v>1396</v>
      </c>
      <c r="V1020" t="s">
        <v>1394</v>
      </c>
      <c r="W1020" t="s">
        <v>1394</v>
      </c>
      <c r="X1020" s="3">
        <v>5</v>
      </c>
      <c r="Y1020" t="s">
        <v>1395</v>
      </c>
      <c r="Z1020">
        <v>67140</v>
      </c>
      <c r="AA1020">
        <v>0.15</v>
      </c>
      <c r="AB1020">
        <v>77211</v>
      </c>
    </row>
    <row r="1021" spans="1:28" x14ac:dyDescent="0.35">
      <c r="A1021" t="str">
        <f t="shared" si="90"/>
        <v>EMP1020</v>
      </c>
      <c r="B1021" t="str" cm="1">
        <f t="array" ref="B1021">_xlfn.IFS(
ROW()&lt;=421,"NA",
ROW()&lt;=781,"LATAM",
ROW()&lt;=1021,"EMEA",
TRUE,"APAC"
)</f>
        <v>EMEA</v>
      </c>
      <c r="C1021" t="str">
        <f t="shared" si="91"/>
        <v>Germany</v>
      </c>
      <c r="D1021" t="s">
        <v>26</v>
      </c>
      <c r="E1021" t="s">
        <v>380</v>
      </c>
      <c r="F1021" t="s">
        <v>395</v>
      </c>
      <c r="G1021" t="s">
        <v>28</v>
      </c>
      <c r="H1021" s="2">
        <v>42638</v>
      </c>
      <c r="I1021" t="s">
        <v>29</v>
      </c>
      <c r="J1021" t="s">
        <v>30</v>
      </c>
      <c r="K1021" t="str">
        <f t="shared" ca="1" si="94"/>
        <v>OK</v>
      </c>
      <c r="L1021" t="s">
        <v>401</v>
      </c>
      <c r="M1021">
        <v>5</v>
      </c>
      <c r="N1021" s="2">
        <v>46001</v>
      </c>
      <c r="O1021" s="2" t="s">
        <v>22</v>
      </c>
      <c r="P1021" s="4">
        <f t="shared" ca="1" si="92"/>
        <v>9</v>
      </c>
      <c r="Q1021" s="4" t="str">
        <f t="shared" ca="1" si="93"/>
        <v>6-10 Years</v>
      </c>
      <c r="R1021">
        <f t="shared" ca="1" si="95"/>
        <v>0</v>
      </c>
      <c r="S1021" t="s">
        <v>22</v>
      </c>
      <c r="T1021">
        <v>4</v>
      </c>
      <c r="U1021" t="s">
        <v>1394</v>
      </c>
      <c r="V1021" t="s">
        <v>1396</v>
      </c>
      <c r="W1021" t="s">
        <v>1394</v>
      </c>
      <c r="X1021" s="3">
        <v>2</v>
      </c>
      <c r="Y1021" t="s">
        <v>1397</v>
      </c>
      <c r="Z1021">
        <v>40013</v>
      </c>
      <c r="AA1021">
        <v>0.1</v>
      </c>
      <c r="AB1021">
        <v>44014.3</v>
      </c>
    </row>
    <row r="1022" spans="1:28" x14ac:dyDescent="0.35">
      <c r="A1022" t="str">
        <f t="shared" si="90"/>
        <v>EMP1021</v>
      </c>
      <c r="B1022" t="str" cm="1">
        <f t="array" ref="B1022">_xlfn.IFS(
ROW()&lt;=421,"NA",
ROW()&lt;=781,"LATAM",
ROW()&lt;=1021,"EMEA",
TRUE,"APAC"
)</f>
        <v>APAC</v>
      </c>
      <c r="C1022" t="str">
        <f t="shared" si="91"/>
        <v>Singapore</v>
      </c>
      <c r="D1022" t="s">
        <v>41</v>
      </c>
      <c r="E1022" t="s">
        <v>380</v>
      </c>
      <c r="F1022" t="s">
        <v>521</v>
      </c>
      <c r="G1022" t="s">
        <v>28</v>
      </c>
      <c r="H1022" s="2">
        <v>42627</v>
      </c>
      <c r="I1022" t="s">
        <v>29</v>
      </c>
      <c r="J1022" t="s">
        <v>42</v>
      </c>
      <c r="K1022" t="str">
        <f t="shared" ca="1" si="94"/>
        <v>OK</v>
      </c>
      <c r="L1022" t="s">
        <v>183</v>
      </c>
      <c r="M1022">
        <v>5</v>
      </c>
      <c r="N1022" s="2">
        <v>46056</v>
      </c>
      <c r="O1022" s="2" t="s">
        <v>22</v>
      </c>
      <c r="P1022" s="4">
        <f t="shared" ca="1" si="92"/>
        <v>9</v>
      </c>
      <c r="Q1022" s="4" t="str">
        <f t="shared" ca="1" si="93"/>
        <v>6-10 Years</v>
      </c>
      <c r="R1022">
        <f t="shared" ca="1" si="95"/>
        <v>0</v>
      </c>
      <c r="S1022" t="s">
        <v>22</v>
      </c>
      <c r="T1022">
        <v>3</v>
      </c>
      <c r="U1022" t="s">
        <v>1394</v>
      </c>
      <c r="V1022" t="s">
        <v>1396</v>
      </c>
      <c r="W1022" t="s">
        <v>1394</v>
      </c>
      <c r="X1022" s="3">
        <v>2</v>
      </c>
      <c r="Y1022" t="s">
        <v>1397</v>
      </c>
      <c r="Z1022">
        <v>30973</v>
      </c>
      <c r="AA1022">
        <v>0.1</v>
      </c>
      <c r="AB1022">
        <v>34070.300000000003</v>
      </c>
    </row>
    <row r="1023" spans="1:28" x14ac:dyDescent="0.35">
      <c r="A1023" t="str">
        <f t="shared" si="90"/>
        <v>EMP1022</v>
      </c>
      <c r="B1023" t="str" cm="1">
        <f t="array" ref="B1023">_xlfn.IFS(
ROW()&lt;=421,"NA",
ROW()&lt;=781,"LATAM",
ROW()&lt;=1021,"EMEA",
TRUE,"APAC"
)</f>
        <v>APAC</v>
      </c>
      <c r="C1023" t="str">
        <f t="shared" si="91"/>
        <v>Singapore</v>
      </c>
      <c r="D1023" t="s">
        <v>44</v>
      </c>
      <c r="E1023" t="s">
        <v>380</v>
      </c>
      <c r="F1023" t="s">
        <v>440</v>
      </c>
      <c r="G1023" t="s">
        <v>28</v>
      </c>
      <c r="H1023" s="2">
        <v>42622</v>
      </c>
      <c r="I1023" t="s">
        <v>29</v>
      </c>
      <c r="J1023" t="s">
        <v>47</v>
      </c>
      <c r="K1023" t="str">
        <f t="shared" ca="1" si="94"/>
        <v>OK</v>
      </c>
      <c r="L1023" t="s">
        <v>1344</v>
      </c>
      <c r="M1023">
        <v>5</v>
      </c>
      <c r="N1023" s="2">
        <v>45999</v>
      </c>
      <c r="O1023" s="2" t="s">
        <v>22</v>
      </c>
      <c r="P1023" s="4">
        <f t="shared" ca="1" si="92"/>
        <v>9</v>
      </c>
      <c r="Q1023" s="4" t="str">
        <f t="shared" ca="1" si="93"/>
        <v>6-10 Years</v>
      </c>
      <c r="R1023">
        <f t="shared" ca="1" si="95"/>
        <v>0</v>
      </c>
      <c r="S1023" t="s">
        <v>22</v>
      </c>
      <c r="T1023">
        <v>4</v>
      </c>
      <c r="U1023" t="s">
        <v>1394</v>
      </c>
      <c r="V1023" t="s">
        <v>1396</v>
      </c>
      <c r="W1023" t="s">
        <v>1396</v>
      </c>
      <c r="X1023" s="3">
        <v>5</v>
      </c>
      <c r="Y1023" t="s">
        <v>1395</v>
      </c>
      <c r="Z1023">
        <v>21164</v>
      </c>
      <c r="AA1023">
        <v>0.1</v>
      </c>
      <c r="AB1023">
        <v>23280.400000000001</v>
      </c>
    </row>
    <row r="1024" spans="1:28" x14ac:dyDescent="0.35">
      <c r="A1024" t="str">
        <f t="shared" si="90"/>
        <v>EMP1023</v>
      </c>
      <c r="B1024" t="str" cm="1">
        <f t="array" ref="B1024">_xlfn.IFS(
ROW()&lt;=421,"NA",
ROW()&lt;=781,"LATAM",
ROW()&lt;=1021,"EMEA",
TRUE,"APAC"
)</f>
        <v>APAC</v>
      </c>
      <c r="C1024" t="str">
        <f t="shared" si="91"/>
        <v>Singapore</v>
      </c>
      <c r="D1024" t="s">
        <v>38</v>
      </c>
      <c r="E1024" t="s">
        <v>380</v>
      </c>
      <c r="F1024" t="s">
        <v>406</v>
      </c>
      <c r="G1024" t="s">
        <v>28</v>
      </c>
      <c r="H1024" s="2">
        <v>42621</v>
      </c>
      <c r="I1024" t="s">
        <v>29</v>
      </c>
      <c r="J1024" t="s">
        <v>39</v>
      </c>
      <c r="K1024" t="str">
        <f t="shared" ca="1" si="94"/>
        <v>OK</v>
      </c>
      <c r="L1024" t="s">
        <v>407</v>
      </c>
      <c r="M1024">
        <v>5</v>
      </c>
      <c r="N1024" s="2">
        <v>46013</v>
      </c>
      <c r="O1024" s="2" t="s">
        <v>22</v>
      </c>
      <c r="P1024" s="4">
        <f t="shared" ca="1" si="92"/>
        <v>9</v>
      </c>
      <c r="Q1024" s="4" t="str">
        <f t="shared" ca="1" si="93"/>
        <v>6-10 Years</v>
      </c>
      <c r="R1024">
        <f t="shared" ca="1" si="95"/>
        <v>0</v>
      </c>
      <c r="S1024" t="s">
        <v>22</v>
      </c>
      <c r="T1024">
        <v>3</v>
      </c>
      <c r="U1024" t="s">
        <v>1394</v>
      </c>
      <c r="V1024" t="s">
        <v>1396</v>
      </c>
      <c r="W1024" t="s">
        <v>1394</v>
      </c>
      <c r="X1024" s="3">
        <v>3</v>
      </c>
      <c r="Y1024" t="s">
        <v>1398</v>
      </c>
      <c r="Z1024">
        <v>37844</v>
      </c>
      <c r="AA1024">
        <v>0.1</v>
      </c>
      <c r="AB1024">
        <v>41628.400000000001</v>
      </c>
    </row>
    <row r="1025" spans="1:28" x14ac:dyDescent="0.35">
      <c r="A1025" t="str">
        <f t="shared" si="90"/>
        <v>EMP1024</v>
      </c>
      <c r="B1025" t="str" cm="1">
        <f t="array" ref="B1025">_xlfn.IFS(
ROW()&lt;=421,"NA",
ROW()&lt;=781,"LATAM",
ROW()&lt;=1021,"EMEA",
TRUE,"APAC"
)</f>
        <v>APAC</v>
      </c>
      <c r="C1025" t="str">
        <f t="shared" si="91"/>
        <v>Singapore</v>
      </c>
      <c r="D1025" t="s">
        <v>35</v>
      </c>
      <c r="E1025" t="s">
        <v>27</v>
      </c>
      <c r="F1025" t="s">
        <v>22</v>
      </c>
      <c r="G1025" t="s">
        <v>28</v>
      </c>
      <c r="H1025" s="2">
        <v>42609</v>
      </c>
      <c r="I1025" t="s">
        <v>29</v>
      </c>
      <c r="J1025" t="s">
        <v>36</v>
      </c>
      <c r="K1025" t="str">
        <f t="shared" ca="1" si="94"/>
        <v>⚠ Review</v>
      </c>
      <c r="L1025" t="s">
        <v>37</v>
      </c>
      <c r="M1025">
        <v>1</v>
      </c>
      <c r="N1025" s="2">
        <v>46009</v>
      </c>
      <c r="O1025" s="2" t="s">
        <v>22</v>
      </c>
      <c r="P1025" s="4">
        <f t="shared" ca="1" si="92"/>
        <v>9</v>
      </c>
      <c r="Q1025" s="4" t="str">
        <f t="shared" ca="1" si="93"/>
        <v>6-10 Years</v>
      </c>
      <c r="R1025">
        <f t="shared" ca="1" si="95"/>
        <v>0</v>
      </c>
      <c r="S1025" t="s">
        <v>22</v>
      </c>
      <c r="T1025">
        <v>3</v>
      </c>
      <c r="U1025" t="s">
        <v>1394</v>
      </c>
      <c r="V1025" t="s">
        <v>1396</v>
      </c>
      <c r="W1025" t="s">
        <v>1394</v>
      </c>
      <c r="X1025" s="3">
        <v>1</v>
      </c>
      <c r="Y1025" t="s">
        <v>1397</v>
      </c>
      <c r="Z1025">
        <v>235504</v>
      </c>
      <c r="AA1025">
        <v>0.3</v>
      </c>
      <c r="AB1025">
        <v>306155.2</v>
      </c>
    </row>
    <row r="1026" spans="1:28" x14ac:dyDescent="0.35">
      <c r="A1026" t="str">
        <f t="shared" ref="A1026:A1089" si="96">"EMP"&amp;TEXT(ROW()-1,"0000")</f>
        <v>EMP1025</v>
      </c>
      <c r="B1026" t="str" cm="1">
        <f t="array" ref="B1026">_xlfn.IFS(
ROW()&lt;=421,"NA",
ROW()&lt;=781,"LATAM",
ROW()&lt;=1021,"EMEA",
TRUE,"APAC"
)</f>
        <v>APAC</v>
      </c>
      <c r="C1026" t="str">
        <f t="shared" ref="C1026:C1089" si="97">IF(B1026="NA","USA",
IF(B1026="LATAM","Mexico",
IF(B1026="EMEA","Germany","Singapore")))</f>
        <v>Singapore</v>
      </c>
      <c r="D1026" t="s">
        <v>38</v>
      </c>
      <c r="E1026" t="s">
        <v>145</v>
      </c>
      <c r="F1026" t="s">
        <v>148</v>
      </c>
      <c r="G1026" t="s">
        <v>28</v>
      </c>
      <c r="H1026" s="2">
        <v>42604</v>
      </c>
      <c r="I1026" t="s">
        <v>29</v>
      </c>
      <c r="J1026" t="s">
        <v>39</v>
      </c>
      <c r="K1026" t="str">
        <f t="shared" ca="1" si="94"/>
        <v>OK</v>
      </c>
      <c r="L1026" t="s">
        <v>149</v>
      </c>
      <c r="M1026">
        <v>4</v>
      </c>
      <c r="N1026" s="2">
        <v>46056</v>
      </c>
      <c r="O1026" s="2" t="s">
        <v>22</v>
      </c>
      <c r="P1026" s="4">
        <f t="shared" ref="P1026:P1089" ca="1" si="98">IF(H1026&gt;TODAY(),
"",
IF(I1026="Active",
DATEDIF(H1026,TODAY(),"Y"),
DATEDIF(H1026,O1026,"Y")
))</f>
        <v>9</v>
      </c>
      <c r="Q1026" s="4" t="str">
        <f t="shared" ref="Q1026:Q1089" ca="1" si="99">IF(P1026&lt;=2,"0-2 Years",
IF(P1026&lt;=5,"3-5 Years",
IF(P1026&lt;=10,"6-10 Years","10+ Years")))</f>
        <v>6-10 Years</v>
      </c>
      <c r="R1026">
        <f t="shared" ca="1" si="95"/>
        <v>0</v>
      </c>
      <c r="S1026" t="s">
        <v>22</v>
      </c>
      <c r="T1026">
        <v>4</v>
      </c>
      <c r="U1026" t="s">
        <v>1394</v>
      </c>
      <c r="V1026" t="s">
        <v>1396</v>
      </c>
      <c r="W1026" t="s">
        <v>1396</v>
      </c>
      <c r="X1026" s="3">
        <v>2</v>
      </c>
      <c r="Y1026" t="s">
        <v>1397</v>
      </c>
      <c r="Z1026">
        <v>76920</v>
      </c>
      <c r="AA1026">
        <v>0.15</v>
      </c>
      <c r="AB1026">
        <v>88458</v>
      </c>
    </row>
    <row r="1027" spans="1:28" x14ac:dyDescent="0.35">
      <c r="A1027" t="str">
        <f t="shared" si="96"/>
        <v>EMP1026</v>
      </c>
      <c r="B1027" t="str" cm="1">
        <f t="array" ref="B1027">_xlfn.IFS(
ROW()&lt;=421,"NA",
ROW()&lt;=781,"LATAM",
ROW()&lt;=1021,"EMEA",
TRUE,"APAC"
)</f>
        <v>APAC</v>
      </c>
      <c r="C1027" t="str">
        <f t="shared" si="97"/>
        <v>Singapore</v>
      </c>
      <c r="D1027" t="s">
        <v>41</v>
      </c>
      <c r="E1027" t="s">
        <v>145</v>
      </c>
      <c r="F1027" t="s">
        <v>212</v>
      </c>
      <c r="G1027" t="s">
        <v>28</v>
      </c>
      <c r="H1027" s="2">
        <v>42598</v>
      </c>
      <c r="I1027" t="s">
        <v>57</v>
      </c>
      <c r="J1027" t="s">
        <v>42</v>
      </c>
      <c r="K1027" t="str">
        <f t="shared" ref="K1027:K1090" ca="1" si="100">IF(
OR(
H1027="",
I1027="",
AND(I1027="Inactive",O1027=""),
H1027&gt;TODAY(),
Z1027="",
F1027="",
D1027="",
X1027&lt;1
),
"⚠ Review",
"OK"
)</f>
        <v>OK</v>
      </c>
      <c r="L1027" t="s">
        <v>213</v>
      </c>
      <c r="M1027">
        <v>4</v>
      </c>
      <c r="N1027" s="2">
        <v>45991</v>
      </c>
      <c r="O1027" s="2">
        <v>42966</v>
      </c>
      <c r="P1027" s="4">
        <f t="shared" ca="1" si="98"/>
        <v>1</v>
      </c>
      <c r="Q1027" s="4" t="str">
        <f t="shared" ca="1" si="99"/>
        <v>0-2 Years</v>
      </c>
      <c r="R1027">
        <f t="shared" ref="R1027:R1090" ca="1" si="101">IF(P1027&lt;=2,1,0)</f>
        <v>1</v>
      </c>
      <c r="S1027" t="s">
        <v>23</v>
      </c>
      <c r="T1027">
        <v>3</v>
      </c>
      <c r="U1027" t="s">
        <v>1394</v>
      </c>
      <c r="V1027" t="s">
        <v>1394</v>
      </c>
      <c r="W1027" t="s">
        <v>1394</v>
      </c>
      <c r="X1027" s="3">
        <v>5</v>
      </c>
      <c r="Y1027" t="s">
        <v>1395</v>
      </c>
      <c r="Z1027">
        <v>85569</v>
      </c>
      <c r="AA1027">
        <v>0.15</v>
      </c>
      <c r="AB1027">
        <v>98404.349999999991</v>
      </c>
    </row>
    <row r="1028" spans="1:28" x14ac:dyDescent="0.35">
      <c r="A1028" t="str">
        <f t="shared" si="96"/>
        <v>EMP1027</v>
      </c>
      <c r="B1028" t="str" cm="1">
        <f t="array" ref="B1028">_xlfn.IFS(
ROW()&lt;=421,"NA",
ROW()&lt;=781,"LATAM",
ROW()&lt;=1021,"EMEA",
TRUE,"APAC"
)</f>
        <v>APAC</v>
      </c>
      <c r="C1028" t="str">
        <f t="shared" si="97"/>
        <v>Singapore</v>
      </c>
      <c r="D1028" t="s">
        <v>32</v>
      </c>
      <c r="E1028" t="s">
        <v>380</v>
      </c>
      <c r="F1028" t="s">
        <v>784</v>
      </c>
      <c r="G1028" t="s">
        <v>28</v>
      </c>
      <c r="H1028" s="2">
        <v>42594</v>
      </c>
      <c r="I1028" t="s">
        <v>29</v>
      </c>
      <c r="J1028" t="s">
        <v>33</v>
      </c>
      <c r="K1028" t="str">
        <f t="shared" ca="1" si="100"/>
        <v>OK</v>
      </c>
      <c r="L1028" t="s">
        <v>1314</v>
      </c>
      <c r="M1028">
        <v>5</v>
      </c>
      <c r="N1028" s="2">
        <v>46005</v>
      </c>
      <c r="O1028" s="2" t="s">
        <v>22</v>
      </c>
      <c r="P1028" s="4">
        <f t="shared" ca="1" si="98"/>
        <v>9</v>
      </c>
      <c r="Q1028" s="4" t="str">
        <f t="shared" ca="1" si="99"/>
        <v>6-10 Years</v>
      </c>
      <c r="R1028">
        <f t="shared" ca="1" si="101"/>
        <v>0</v>
      </c>
      <c r="S1028" t="s">
        <v>22</v>
      </c>
      <c r="T1028">
        <v>4</v>
      </c>
      <c r="U1028" t="s">
        <v>1394</v>
      </c>
      <c r="V1028" t="s">
        <v>1394</v>
      </c>
      <c r="W1028" t="s">
        <v>1394</v>
      </c>
      <c r="X1028" s="3">
        <v>4</v>
      </c>
      <c r="Y1028" t="s">
        <v>1395</v>
      </c>
      <c r="Z1028">
        <v>30715</v>
      </c>
      <c r="AA1028">
        <v>0.1</v>
      </c>
      <c r="AB1028">
        <v>33786.5</v>
      </c>
    </row>
    <row r="1029" spans="1:28" x14ac:dyDescent="0.35">
      <c r="A1029" t="str">
        <f t="shared" si="96"/>
        <v>EMP1028</v>
      </c>
      <c r="B1029" t="str" cm="1">
        <f t="array" ref="B1029">_xlfn.IFS(
ROW()&lt;=421,"NA",
ROW()&lt;=781,"LATAM",
ROW()&lt;=1021,"EMEA",
TRUE,"APAC"
)</f>
        <v>APAC</v>
      </c>
      <c r="C1029" t="str">
        <f t="shared" si="97"/>
        <v>Singapore</v>
      </c>
      <c r="D1029" t="s">
        <v>41</v>
      </c>
      <c r="E1029" t="s">
        <v>380</v>
      </c>
      <c r="F1029" t="s">
        <v>440</v>
      </c>
      <c r="G1029" t="s">
        <v>28</v>
      </c>
      <c r="H1029" s="2">
        <v>42589</v>
      </c>
      <c r="I1029" t="s">
        <v>29</v>
      </c>
      <c r="J1029" t="s">
        <v>42</v>
      </c>
      <c r="K1029" t="str">
        <f t="shared" ca="1" si="100"/>
        <v>OK</v>
      </c>
      <c r="L1029" t="s">
        <v>1354</v>
      </c>
      <c r="M1029">
        <v>5</v>
      </c>
      <c r="N1029" s="2">
        <v>46023</v>
      </c>
      <c r="O1029" s="2" t="s">
        <v>22</v>
      </c>
      <c r="P1029" s="4">
        <f t="shared" ca="1" si="98"/>
        <v>9</v>
      </c>
      <c r="Q1029" s="4" t="str">
        <f t="shared" ca="1" si="99"/>
        <v>6-10 Years</v>
      </c>
      <c r="R1029">
        <f t="shared" ca="1" si="101"/>
        <v>0</v>
      </c>
      <c r="S1029" t="s">
        <v>22</v>
      </c>
      <c r="T1029">
        <v>5</v>
      </c>
      <c r="U1029" t="s">
        <v>1394</v>
      </c>
      <c r="V1029" t="s">
        <v>1394</v>
      </c>
      <c r="W1029" t="s">
        <v>1394</v>
      </c>
      <c r="X1029" s="3">
        <v>2</v>
      </c>
      <c r="Y1029" t="s">
        <v>1397</v>
      </c>
      <c r="Z1029">
        <v>33234</v>
      </c>
      <c r="AA1029">
        <v>0.1</v>
      </c>
      <c r="AB1029">
        <v>36557.4</v>
      </c>
    </row>
    <row r="1030" spans="1:28" x14ac:dyDescent="0.35">
      <c r="A1030" t="str">
        <f t="shared" si="96"/>
        <v>EMP1029</v>
      </c>
      <c r="B1030" t="str" cm="1">
        <f t="array" ref="B1030">_xlfn.IFS(
ROW()&lt;=421,"NA",
ROW()&lt;=781,"LATAM",
ROW()&lt;=1021,"EMEA",
TRUE,"APAC"
)</f>
        <v>APAC</v>
      </c>
      <c r="C1030" t="str">
        <f t="shared" si="97"/>
        <v>Singapore</v>
      </c>
      <c r="D1030" t="s">
        <v>38</v>
      </c>
      <c r="E1030" t="s">
        <v>380</v>
      </c>
      <c r="F1030" t="s">
        <v>488</v>
      </c>
      <c r="G1030" t="s">
        <v>28</v>
      </c>
      <c r="H1030" s="2">
        <v>42586</v>
      </c>
      <c r="I1030" t="s">
        <v>29</v>
      </c>
      <c r="J1030" t="s">
        <v>39</v>
      </c>
      <c r="K1030" t="str">
        <f t="shared" ca="1" si="100"/>
        <v>OK</v>
      </c>
      <c r="L1030" t="s">
        <v>1243</v>
      </c>
      <c r="M1030">
        <v>5</v>
      </c>
      <c r="N1030" s="2">
        <v>46019</v>
      </c>
      <c r="O1030" s="2" t="s">
        <v>22</v>
      </c>
      <c r="P1030" s="4">
        <f t="shared" ca="1" si="98"/>
        <v>9</v>
      </c>
      <c r="Q1030" s="4" t="str">
        <f t="shared" ca="1" si="99"/>
        <v>6-10 Years</v>
      </c>
      <c r="R1030">
        <f t="shared" ca="1" si="101"/>
        <v>0</v>
      </c>
      <c r="S1030" t="s">
        <v>22</v>
      </c>
      <c r="T1030">
        <v>4</v>
      </c>
      <c r="U1030" t="s">
        <v>1394</v>
      </c>
      <c r="V1030" t="s">
        <v>1394</v>
      </c>
      <c r="W1030" t="s">
        <v>1394</v>
      </c>
      <c r="X1030" s="3">
        <v>1</v>
      </c>
      <c r="Y1030" t="s">
        <v>1397</v>
      </c>
      <c r="Z1030">
        <v>35332</v>
      </c>
      <c r="AA1030">
        <v>0.1</v>
      </c>
      <c r="AB1030">
        <v>38865.200000000004</v>
      </c>
    </row>
    <row r="1031" spans="1:28" x14ac:dyDescent="0.35">
      <c r="A1031" t="str">
        <f t="shared" si="96"/>
        <v>EMP1030</v>
      </c>
      <c r="B1031" t="str" cm="1">
        <f t="array" ref="B1031">_xlfn.IFS(
ROW()&lt;=421,"NA",
ROW()&lt;=781,"LATAM",
ROW()&lt;=1021,"EMEA",
TRUE,"APAC"
)</f>
        <v>APAC</v>
      </c>
      <c r="C1031" t="str">
        <f t="shared" si="97"/>
        <v>Singapore</v>
      </c>
      <c r="D1031" t="s">
        <v>38</v>
      </c>
      <c r="E1031" t="s">
        <v>69</v>
      </c>
      <c r="F1031" t="s">
        <v>118</v>
      </c>
      <c r="G1031" t="s">
        <v>28</v>
      </c>
      <c r="H1031" s="2">
        <v>42585</v>
      </c>
      <c r="I1031" t="s">
        <v>29</v>
      </c>
      <c r="J1031" t="s">
        <v>39</v>
      </c>
      <c r="K1031" t="str">
        <f t="shared" ca="1" si="100"/>
        <v>OK</v>
      </c>
      <c r="L1031" t="s">
        <v>128</v>
      </c>
      <c r="M1031">
        <v>3</v>
      </c>
      <c r="N1031" s="2">
        <v>46049</v>
      </c>
      <c r="O1031" s="2" t="s">
        <v>22</v>
      </c>
      <c r="P1031" s="4">
        <f t="shared" ca="1" si="98"/>
        <v>9</v>
      </c>
      <c r="Q1031" s="4" t="str">
        <f t="shared" ca="1" si="99"/>
        <v>6-10 Years</v>
      </c>
      <c r="R1031">
        <f t="shared" ca="1" si="101"/>
        <v>0</v>
      </c>
      <c r="S1031" t="s">
        <v>22</v>
      </c>
      <c r="T1031">
        <v>3</v>
      </c>
      <c r="U1031" t="s">
        <v>1394</v>
      </c>
      <c r="V1031" t="s">
        <v>1394</v>
      </c>
      <c r="W1031" t="s">
        <v>1394</v>
      </c>
      <c r="X1031" s="3">
        <v>4</v>
      </c>
      <c r="Y1031" t="s">
        <v>1395</v>
      </c>
      <c r="Z1031">
        <v>118334</v>
      </c>
      <c r="AA1031">
        <v>0.2</v>
      </c>
      <c r="AB1031">
        <v>142000.79999999999</v>
      </c>
    </row>
    <row r="1032" spans="1:28" x14ac:dyDescent="0.35">
      <c r="A1032" t="str">
        <f t="shared" si="96"/>
        <v>EMP1031</v>
      </c>
      <c r="B1032" t="str" cm="1">
        <f t="array" ref="B1032">_xlfn.IFS(
ROW()&lt;=421,"NA",
ROW()&lt;=781,"LATAM",
ROW()&lt;=1021,"EMEA",
TRUE,"APAC"
)</f>
        <v>APAC</v>
      </c>
      <c r="C1032" t="str">
        <f t="shared" si="97"/>
        <v>Singapore</v>
      </c>
      <c r="D1032" t="s">
        <v>26</v>
      </c>
      <c r="E1032" t="s">
        <v>380</v>
      </c>
      <c r="F1032" t="s">
        <v>508</v>
      </c>
      <c r="G1032" t="s">
        <v>53</v>
      </c>
      <c r="H1032" s="2">
        <v>42583</v>
      </c>
      <c r="I1032" t="s">
        <v>29</v>
      </c>
      <c r="J1032" t="s">
        <v>30</v>
      </c>
      <c r="K1032" t="str">
        <f t="shared" ca="1" si="100"/>
        <v>OK</v>
      </c>
      <c r="L1032" t="s">
        <v>1042</v>
      </c>
      <c r="M1032">
        <v>5</v>
      </c>
      <c r="N1032" s="2">
        <v>46063</v>
      </c>
      <c r="O1032" s="2" t="s">
        <v>22</v>
      </c>
      <c r="P1032" s="4">
        <f t="shared" ca="1" si="98"/>
        <v>9</v>
      </c>
      <c r="Q1032" s="4" t="str">
        <f t="shared" ca="1" si="99"/>
        <v>6-10 Years</v>
      </c>
      <c r="R1032">
        <f t="shared" ca="1" si="101"/>
        <v>0</v>
      </c>
      <c r="S1032" t="s">
        <v>22</v>
      </c>
      <c r="T1032">
        <v>4</v>
      </c>
      <c r="U1032" t="s">
        <v>1394</v>
      </c>
      <c r="V1032" t="s">
        <v>1394</v>
      </c>
      <c r="W1032" t="s">
        <v>1394</v>
      </c>
      <c r="X1032" s="3">
        <v>4</v>
      </c>
      <c r="Y1032" t="s">
        <v>1395</v>
      </c>
      <c r="Z1032">
        <v>41860</v>
      </c>
      <c r="AA1032">
        <v>0.1</v>
      </c>
      <c r="AB1032">
        <v>46046.000000000007</v>
      </c>
    </row>
    <row r="1033" spans="1:28" x14ac:dyDescent="0.35">
      <c r="A1033" t="str">
        <f t="shared" si="96"/>
        <v>EMP1032</v>
      </c>
      <c r="B1033" t="str" cm="1">
        <f t="array" ref="B1033">_xlfn.IFS(
ROW()&lt;=421,"NA",
ROW()&lt;=781,"LATAM",
ROW()&lt;=1021,"EMEA",
TRUE,"APAC"
)</f>
        <v>APAC</v>
      </c>
      <c r="C1033" t="str">
        <f t="shared" si="97"/>
        <v>Singapore</v>
      </c>
      <c r="D1033" t="s">
        <v>32</v>
      </c>
      <c r="E1033" t="s">
        <v>380</v>
      </c>
      <c r="F1033" t="s">
        <v>438</v>
      </c>
      <c r="G1033" t="s">
        <v>53</v>
      </c>
      <c r="H1033" s="2">
        <v>42579</v>
      </c>
      <c r="I1033" t="s">
        <v>29</v>
      </c>
      <c r="J1033" t="s">
        <v>33</v>
      </c>
      <c r="K1033" t="str">
        <f t="shared" ca="1" si="100"/>
        <v>OK</v>
      </c>
      <c r="L1033" t="s">
        <v>653</v>
      </c>
      <c r="M1033">
        <v>5</v>
      </c>
      <c r="N1033" s="2">
        <v>46022</v>
      </c>
      <c r="O1033" s="2" t="s">
        <v>22</v>
      </c>
      <c r="P1033" s="4">
        <f t="shared" ca="1" si="98"/>
        <v>9</v>
      </c>
      <c r="Q1033" s="4" t="str">
        <f t="shared" ca="1" si="99"/>
        <v>6-10 Years</v>
      </c>
      <c r="R1033">
        <f t="shared" ca="1" si="101"/>
        <v>0</v>
      </c>
      <c r="S1033" t="s">
        <v>22</v>
      </c>
      <c r="T1033">
        <v>3</v>
      </c>
      <c r="U1033" t="s">
        <v>1394</v>
      </c>
      <c r="V1033" t="s">
        <v>1394</v>
      </c>
      <c r="W1033" t="s">
        <v>1394</v>
      </c>
      <c r="X1033" s="3">
        <v>2</v>
      </c>
      <c r="Y1033" t="s">
        <v>1397</v>
      </c>
      <c r="Z1033">
        <v>42221</v>
      </c>
      <c r="AA1033">
        <v>0.1</v>
      </c>
      <c r="AB1033">
        <v>46443.100000000006</v>
      </c>
    </row>
    <row r="1034" spans="1:28" x14ac:dyDescent="0.35">
      <c r="A1034" t="str">
        <f t="shared" si="96"/>
        <v>EMP1033</v>
      </c>
      <c r="B1034" t="str" cm="1">
        <f t="array" ref="B1034">_xlfn.IFS(
ROW()&lt;=421,"NA",
ROW()&lt;=781,"LATAM",
ROW()&lt;=1021,"EMEA",
TRUE,"APAC"
)</f>
        <v>APAC</v>
      </c>
      <c r="C1034" t="str">
        <f t="shared" si="97"/>
        <v>Singapore</v>
      </c>
      <c r="D1034" t="s">
        <v>38</v>
      </c>
      <c r="E1034" t="s">
        <v>380</v>
      </c>
      <c r="F1034" t="s">
        <v>623</v>
      </c>
      <c r="G1034" t="s">
        <v>28</v>
      </c>
      <c r="H1034" s="2">
        <v>42576</v>
      </c>
      <c r="I1034" t="s">
        <v>29</v>
      </c>
      <c r="J1034" t="s">
        <v>39</v>
      </c>
      <c r="K1034" t="str">
        <f t="shared" ca="1" si="100"/>
        <v>OK</v>
      </c>
      <c r="L1034" t="s">
        <v>1175</v>
      </c>
      <c r="M1034">
        <v>5</v>
      </c>
      <c r="N1034" s="2">
        <v>46066</v>
      </c>
      <c r="O1034" s="2" t="s">
        <v>22</v>
      </c>
      <c r="P1034" s="4">
        <f t="shared" ca="1" si="98"/>
        <v>9</v>
      </c>
      <c r="Q1034" s="4" t="str">
        <f t="shared" ca="1" si="99"/>
        <v>6-10 Years</v>
      </c>
      <c r="R1034">
        <f t="shared" ca="1" si="101"/>
        <v>0</v>
      </c>
      <c r="S1034" t="s">
        <v>22</v>
      </c>
      <c r="T1034">
        <v>3</v>
      </c>
      <c r="U1034" t="s">
        <v>1396</v>
      </c>
      <c r="V1034" t="s">
        <v>1394</v>
      </c>
      <c r="W1034" t="s">
        <v>1394</v>
      </c>
      <c r="X1034" s="3">
        <v>1</v>
      </c>
      <c r="Y1034" t="s">
        <v>1397</v>
      </c>
      <c r="Z1034">
        <v>45092</v>
      </c>
      <c r="AA1034">
        <v>0.1</v>
      </c>
      <c r="AB1034">
        <v>49601.200000000004</v>
      </c>
    </row>
    <row r="1035" spans="1:28" x14ac:dyDescent="0.35">
      <c r="A1035" t="str">
        <f t="shared" si="96"/>
        <v>EMP1034</v>
      </c>
      <c r="B1035" t="str" cm="1">
        <f t="array" ref="B1035">_xlfn.IFS(
ROW()&lt;=421,"NA",
ROW()&lt;=781,"LATAM",
ROW()&lt;=1021,"EMEA",
TRUE,"APAC"
)</f>
        <v>APAC</v>
      </c>
      <c r="C1035" t="str">
        <f t="shared" si="97"/>
        <v>Singapore</v>
      </c>
      <c r="D1035" t="s">
        <v>35</v>
      </c>
      <c r="E1035" t="s">
        <v>380</v>
      </c>
      <c r="F1035" t="s">
        <v>466</v>
      </c>
      <c r="G1035" t="s">
        <v>28</v>
      </c>
      <c r="H1035" s="2">
        <v>42575</v>
      </c>
      <c r="I1035" t="s">
        <v>29</v>
      </c>
      <c r="J1035" t="s">
        <v>36</v>
      </c>
      <c r="K1035" t="str">
        <f t="shared" ca="1" si="100"/>
        <v>OK</v>
      </c>
      <c r="L1035" t="s">
        <v>1347</v>
      </c>
      <c r="M1035">
        <v>5</v>
      </c>
      <c r="N1035" s="2">
        <v>46002</v>
      </c>
      <c r="O1035" s="2" t="s">
        <v>22</v>
      </c>
      <c r="P1035" s="4">
        <f t="shared" ca="1" si="98"/>
        <v>9</v>
      </c>
      <c r="Q1035" s="4" t="str">
        <f t="shared" ca="1" si="99"/>
        <v>6-10 Years</v>
      </c>
      <c r="R1035">
        <f t="shared" ca="1" si="101"/>
        <v>0</v>
      </c>
      <c r="S1035" t="s">
        <v>22</v>
      </c>
      <c r="T1035">
        <v>5</v>
      </c>
      <c r="U1035" t="s">
        <v>1394</v>
      </c>
      <c r="V1035" t="s">
        <v>1394</v>
      </c>
      <c r="W1035" t="s">
        <v>1394</v>
      </c>
      <c r="X1035" s="3">
        <v>5</v>
      </c>
      <c r="Y1035" t="s">
        <v>1395</v>
      </c>
      <c r="Z1035">
        <v>31074</v>
      </c>
      <c r="AA1035">
        <v>0.1</v>
      </c>
      <c r="AB1035">
        <v>34181.4</v>
      </c>
    </row>
    <row r="1036" spans="1:28" x14ac:dyDescent="0.35">
      <c r="A1036" t="str">
        <f t="shared" si="96"/>
        <v>EMP1035</v>
      </c>
      <c r="B1036" t="str" cm="1">
        <f t="array" ref="B1036">_xlfn.IFS(
ROW()&lt;=421,"NA",
ROW()&lt;=781,"LATAM",
ROW()&lt;=1021,"EMEA",
TRUE,"APAC"
)</f>
        <v>APAC</v>
      </c>
      <c r="C1036" t="str">
        <f t="shared" si="97"/>
        <v>Singapore</v>
      </c>
      <c r="D1036" t="s">
        <v>44</v>
      </c>
      <c r="E1036" t="s">
        <v>380</v>
      </c>
      <c r="F1036" t="s">
        <v>618</v>
      </c>
      <c r="G1036" t="s">
        <v>28</v>
      </c>
      <c r="H1036" s="2">
        <v>42572</v>
      </c>
      <c r="I1036" t="s">
        <v>29</v>
      </c>
      <c r="J1036" t="s">
        <v>47</v>
      </c>
      <c r="K1036" t="str">
        <f t="shared" ca="1" si="100"/>
        <v>OK</v>
      </c>
      <c r="L1036" t="s">
        <v>1120</v>
      </c>
      <c r="M1036">
        <v>5</v>
      </c>
      <c r="N1036" s="2">
        <v>46066</v>
      </c>
      <c r="O1036" s="2" t="s">
        <v>22</v>
      </c>
      <c r="P1036" s="4">
        <f t="shared" ca="1" si="98"/>
        <v>9</v>
      </c>
      <c r="Q1036" s="4" t="str">
        <f t="shared" ca="1" si="99"/>
        <v>6-10 Years</v>
      </c>
      <c r="R1036">
        <f t="shared" ca="1" si="101"/>
        <v>0</v>
      </c>
      <c r="S1036" t="s">
        <v>22</v>
      </c>
      <c r="T1036">
        <v>3</v>
      </c>
      <c r="U1036" t="s">
        <v>1394</v>
      </c>
      <c r="V1036" t="s">
        <v>1394</v>
      </c>
      <c r="W1036" t="s">
        <v>1394</v>
      </c>
      <c r="X1036" s="3">
        <v>3</v>
      </c>
      <c r="Y1036" t="s">
        <v>1398</v>
      </c>
      <c r="Z1036">
        <v>33491</v>
      </c>
      <c r="AA1036">
        <v>0.1</v>
      </c>
      <c r="AB1036">
        <v>36840.100000000006</v>
      </c>
    </row>
    <row r="1037" spans="1:28" x14ac:dyDescent="0.35">
      <c r="A1037" t="str">
        <f t="shared" si="96"/>
        <v>EMP1036</v>
      </c>
      <c r="B1037" t="str" cm="1">
        <f t="array" ref="B1037">_xlfn.IFS(
ROW()&lt;=421,"NA",
ROW()&lt;=781,"LATAM",
ROW()&lt;=1021,"EMEA",
TRUE,"APAC"
)</f>
        <v>APAC</v>
      </c>
      <c r="C1037" t="str">
        <f t="shared" si="97"/>
        <v>Singapore</v>
      </c>
      <c r="D1037" t="s">
        <v>38</v>
      </c>
      <c r="E1037" t="s">
        <v>380</v>
      </c>
      <c r="F1037" t="s">
        <v>759</v>
      </c>
      <c r="G1037" t="s">
        <v>28</v>
      </c>
      <c r="H1037" s="2">
        <v>42570</v>
      </c>
      <c r="I1037" t="s">
        <v>29</v>
      </c>
      <c r="J1037" t="s">
        <v>39</v>
      </c>
      <c r="K1037" t="str">
        <f t="shared" ca="1" si="100"/>
        <v>OK</v>
      </c>
      <c r="L1037" t="s">
        <v>1141</v>
      </c>
      <c r="M1037">
        <v>5</v>
      </c>
      <c r="N1037" s="2">
        <v>46042</v>
      </c>
      <c r="O1037" s="2" t="s">
        <v>22</v>
      </c>
      <c r="P1037" s="4">
        <f t="shared" ca="1" si="98"/>
        <v>9</v>
      </c>
      <c r="Q1037" s="4" t="str">
        <f t="shared" ca="1" si="99"/>
        <v>6-10 Years</v>
      </c>
      <c r="R1037">
        <f t="shared" ca="1" si="101"/>
        <v>0</v>
      </c>
      <c r="S1037" t="s">
        <v>22</v>
      </c>
      <c r="T1037">
        <v>4</v>
      </c>
      <c r="U1037" t="s">
        <v>1394</v>
      </c>
      <c r="V1037" t="s">
        <v>1394</v>
      </c>
      <c r="W1037" t="s">
        <v>1394</v>
      </c>
      <c r="X1037" s="3">
        <v>1</v>
      </c>
      <c r="Y1037" t="s">
        <v>1397</v>
      </c>
      <c r="Z1037">
        <v>21292</v>
      </c>
      <c r="AA1037">
        <v>0.1</v>
      </c>
      <c r="AB1037">
        <v>23421.200000000001</v>
      </c>
    </row>
    <row r="1038" spans="1:28" x14ac:dyDescent="0.35">
      <c r="A1038" t="str">
        <f t="shared" si="96"/>
        <v>EMP1037</v>
      </c>
      <c r="B1038" t="str" cm="1">
        <f t="array" ref="B1038">_xlfn.IFS(
ROW()&lt;=421,"NA",
ROW()&lt;=781,"LATAM",
ROW()&lt;=1021,"EMEA",
TRUE,"APAC"
)</f>
        <v>APAC</v>
      </c>
      <c r="C1038" t="str">
        <f t="shared" si="97"/>
        <v>Singapore</v>
      </c>
      <c r="D1038" t="s">
        <v>35</v>
      </c>
      <c r="E1038" t="s">
        <v>145</v>
      </c>
      <c r="F1038" t="s">
        <v>201</v>
      </c>
      <c r="G1038" t="s">
        <v>28</v>
      </c>
      <c r="H1038" s="2">
        <v>42569</v>
      </c>
      <c r="I1038" t="s">
        <v>29</v>
      </c>
      <c r="J1038" t="s">
        <v>36</v>
      </c>
      <c r="K1038" t="str">
        <f t="shared" ca="1" si="100"/>
        <v>OK</v>
      </c>
      <c r="L1038" t="s">
        <v>210</v>
      </c>
      <c r="M1038">
        <v>4</v>
      </c>
      <c r="N1038" s="2">
        <v>46038</v>
      </c>
      <c r="O1038" s="2" t="s">
        <v>22</v>
      </c>
      <c r="P1038" s="4">
        <f t="shared" ca="1" si="98"/>
        <v>9</v>
      </c>
      <c r="Q1038" s="4" t="str">
        <f t="shared" ca="1" si="99"/>
        <v>6-10 Years</v>
      </c>
      <c r="R1038">
        <f t="shared" ca="1" si="101"/>
        <v>0</v>
      </c>
      <c r="S1038" t="s">
        <v>22</v>
      </c>
      <c r="T1038">
        <v>4</v>
      </c>
      <c r="U1038" t="s">
        <v>1394</v>
      </c>
      <c r="V1038" t="s">
        <v>1394</v>
      </c>
      <c r="W1038" t="s">
        <v>1394</v>
      </c>
      <c r="X1038" s="3">
        <v>4</v>
      </c>
      <c r="Y1038" t="s">
        <v>1395</v>
      </c>
      <c r="Z1038">
        <v>74232</v>
      </c>
      <c r="AA1038">
        <v>0.15</v>
      </c>
      <c r="AB1038">
        <v>85366.799999999988</v>
      </c>
    </row>
    <row r="1039" spans="1:28" x14ac:dyDescent="0.35">
      <c r="A1039" t="str">
        <f t="shared" si="96"/>
        <v>EMP1038</v>
      </c>
      <c r="B1039" t="str" cm="1">
        <f t="array" ref="B1039">_xlfn.IFS(
ROW()&lt;=421,"NA",
ROW()&lt;=781,"LATAM",
ROW()&lt;=1021,"EMEA",
TRUE,"APAC"
)</f>
        <v>APAC</v>
      </c>
      <c r="C1039" t="str">
        <f t="shared" si="97"/>
        <v>Singapore</v>
      </c>
      <c r="D1039" t="s">
        <v>44</v>
      </c>
      <c r="E1039" t="s">
        <v>380</v>
      </c>
      <c r="F1039" t="s">
        <v>524</v>
      </c>
      <c r="G1039" t="s">
        <v>28</v>
      </c>
      <c r="H1039" s="2">
        <v>42562</v>
      </c>
      <c r="I1039" t="s">
        <v>29</v>
      </c>
      <c r="J1039" t="s">
        <v>47</v>
      </c>
      <c r="K1039" t="str">
        <f t="shared" ca="1" si="100"/>
        <v>OK</v>
      </c>
      <c r="L1039" t="s">
        <v>916</v>
      </c>
      <c r="M1039">
        <v>5</v>
      </c>
      <c r="N1039" s="2">
        <v>46056</v>
      </c>
      <c r="O1039" s="2" t="s">
        <v>22</v>
      </c>
      <c r="P1039" s="4">
        <f t="shared" ca="1" si="98"/>
        <v>9</v>
      </c>
      <c r="Q1039" s="4" t="str">
        <f t="shared" ca="1" si="99"/>
        <v>6-10 Years</v>
      </c>
      <c r="R1039">
        <f t="shared" ca="1" si="101"/>
        <v>0</v>
      </c>
      <c r="S1039" t="s">
        <v>22</v>
      </c>
      <c r="T1039">
        <v>4</v>
      </c>
      <c r="U1039" t="s">
        <v>1394</v>
      </c>
      <c r="V1039" t="s">
        <v>1394</v>
      </c>
      <c r="W1039" t="s">
        <v>1394</v>
      </c>
      <c r="X1039" s="3">
        <v>3</v>
      </c>
      <c r="Y1039" t="s">
        <v>1398</v>
      </c>
      <c r="Z1039">
        <v>37984</v>
      </c>
      <c r="AA1039">
        <v>0.1</v>
      </c>
      <c r="AB1039">
        <v>41782.400000000001</v>
      </c>
    </row>
    <row r="1040" spans="1:28" x14ac:dyDescent="0.35">
      <c r="A1040" t="str">
        <f t="shared" si="96"/>
        <v>EMP1039</v>
      </c>
      <c r="B1040" t="str" cm="1">
        <f t="array" ref="B1040">_xlfn.IFS(
ROW()&lt;=421,"NA",
ROW()&lt;=781,"LATAM",
ROW()&lt;=1021,"EMEA",
TRUE,"APAC"
)</f>
        <v>APAC</v>
      </c>
      <c r="C1040" t="str">
        <f t="shared" si="97"/>
        <v>Singapore</v>
      </c>
      <c r="D1040" t="s">
        <v>44</v>
      </c>
      <c r="E1040" t="s">
        <v>380</v>
      </c>
      <c r="F1040" t="s">
        <v>811</v>
      </c>
      <c r="G1040" t="s">
        <v>28</v>
      </c>
      <c r="H1040" s="2">
        <v>42560</v>
      </c>
      <c r="I1040" t="s">
        <v>29</v>
      </c>
      <c r="J1040" t="s">
        <v>47</v>
      </c>
      <c r="K1040" t="str">
        <f t="shared" ca="1" si="100"/>
        <v>OK</v>
      </c>
      <c r="L1040" t="s">
        <v>530</v>
      </c>
      <c r="M1040">
        <v>5</v>
      </c>
      <c r="N1040" s="2">
        <v>46001</v>
      </c>
      <c r="O1040" s="2" t="s">
        <v>22</v>
      </c>
      <c r="P1040" s="4">
        <f t="shared" ca="1" si="98"/>
        <v>9</v>
      </c>
      <c r="Q1040" s="4" t="str">
        <f t="shared" ca="1" si="99"/>
        <v>6-10 Years</v>
      </c>
      <c r="R1040">
        <f t="shared" ca="1" si="101"/>
        <v>0</v>
      </c>
      <c r="S1040" t="s">
        <v>22</v>
      </c>
      <c r="T1040">
        <v>3</v>
      </c>
      <c r="U1040" t="s">
        <v>1394</v>
      </c>
      <c r="V1040" t="s">
        <v>1396</v>
      </c>
      <c r="W1040" t="s">
        <v>1394</v>
      </c>
      <c r="X1040" s="3">
        <v>1</v>
      </c>
      <c r="Y1040" t="s">
        <v>1397</v>
      </c>
      <c r="Z1040">
        <v>43704</v>
      </c>
      <c r="AA1040">
        <v>0.1</v>
      </c>
      <c r="AB1040">
        <v>48074.400000000001</v>
      </c>
    </row>
    <row r="1041" spans="1:28" x14ac:dyDescent="0.35">
      <c r="A1041" t="str">
        <f t="shared" si="96"/>
        <v>EMP1040</v>
      </c>
      <c r="B1041" t="str" cm="1">
        <f t="array" ref="B1041">_xlfn.IFS(
ROW()&lt;=421,"NA",
ROW()&lt;=781,"LATAM",
ROW()&lt;=1021,"EMEA",
TRUE,"APAC"
)</f>
        <v>APAC</v>
      </c>
      <c r="C1041" t="str">
        <f t="shared" si="97"/>
        <v>Singapore</v>
      </c>
      <c r="D1041" t="s">
        <v>38</v>
      </c>
      <c r="E1041" t="s">
        <v>380</v>
      </c>
      <c r="F1041" t="s">
        <v>820</v>
      </c>
      <c r="G1041" t="s">
        <v>28</v>
      </c>
      <c r="H1041" s="2">
        <v>42559</v>
      </c>
      <c r="I1041" t="s">
        <v>29</v>
      </c>
      <c r="J1041" t="s">
        <v>39</v>
      </c>
      <c r="K1041" t="str">
        <f t="shared" ca="1" si="100"/>
        <v>OK</v>
      </c>
      <c r="L1041" t="s">
        <v>821</v>
      </c>
      <c r="M1041">
        <v>5</v>
      </c>
      <c r="N1041" s="2">
        <v>46058</v>
      </c>
      <c r="O1041" s="2" t="s">
        <v>22</v>
      </c>
      <c r="P1041" s="4">
        <f t="shared" ca="1" si="98"/>
        <v>9</v>
      </c>
      <c r="Q1041" s="4" t="str">
        <f t="shared" ca="1" si="99"/>
        <v>6-10 Years</v>
      </c>
      <c r="R1041">
        <f t="shared" ca="1" si="101"/>
        <v>0</v>
      </c>
      <c r="S1041" t="s">
        <v>22</v>
      </c>
      <c r="T1041">
        <v>3</v>
      </c>
      <c r="U1041" t="s">
        <v>1394</v>
      </c>
      <c r="V1041" t="s">
        <v>1394</v>
      </c>
      <c r="W1041" t="s">
        <v>1394</v>
      </c>
      <c r="X1041" s="3">
        <v>3</v>
      </c>
      <c r="Y1041" t="s">
        <v>1398</v>
      </c>
      <c r="Z1041">
        <v>30940</v>
      </c>
      <c r="AA1041">
        <v>0.1</v>
      </c>
      <c r="AB1041">
        <v>34034</v>
      </c>
    </row>
    <row r="1042" spans="1:28" x14ac:dyDescent="0.35">
      <c r="A1042" t="str">
        <f t="shared" si="96"/>
        <v>EMP1041</v>
      </c>
      <c r="B1042" t="str" cm="1">
        <f t="array" ref="B1042">_xlfn.IFS(
ROW()&lt;=421,"NA",
ROW()&lt;=781,"LATAM",
ROW()&lt;=1021,"EMEA",
TRUE,"APAC"
)</f>
        <v>APAC</v>
      </c>
      <c r="C1042" t="str">
        <f t="shared" si="97"/>
        <v>Singapore</v>
      </c>
      <c r="D1042" t="s">
        <v>38</v>
      </c>
      <c r="E1042" t="s">
        <v>380</v>
      </c>
      <c r="F1042" t="s">
        <v>964</v>
      </c>
      <c r="G1042" t="s">
        <v>28</v>
      </c>
      <c r="H1042" s="2">
        <v>42559</v>
      </c>
      <c r="I1042" t="s">
        <v>29</v>
      </c>
      <c r="J1042" t="s">
        <v>39</v>
      </c>
      <c r="K1042" t="str">
        <f t="shared" ca="1" si="100"/>
        <v>OK</v>
      </c>
      <c r="L1042" t="s">
        <v>1153</v>
      </c>
      <c r="M1042">
        <v>5</v>
      </c>
      <c r="N1042" s="2">
        <v>45992</v>
      </c>
      <c r="O1042" s="2" t="s">
        <v>22</v>
      </c>
      <c r="P1042" s="4">
        <f t="shared" ca="1" si="98"/>
        <v>9</v>
      </c>
      <c r="Q1042" s="4" t="str">
        <f t="shared" ca="1" si="99"/>
        <v>6-10 Years</v>
      </c>
      <c r="R1042">
        <f t="shared" ca="1" si="101"/>
        <v>0</v>
      </c>
      <c r="S1042" t="s">
        <v>22</v>
      </c>
      <c r="T1042">
        <v>3</v>
      </c>
      <c r="U1042" t="s">
        <v>1394</v>
      </c>
      <c r="V1042" t="s">
        <v>1394</v>
      </c>
      <c r="W1042" t="s">
        <v>1394</v>
      </c>
      <c r="X1042" s="3">
        <v>3</v>
      </c>
      <c r="Y1042" t="s">
        <v>1398</v>
      </c>
      <c r="Z1042">
        <v>48460</v>
      </c>
      <c r="AA1042">
        <v>0.1</v>
      </c>
      <c r="AB1042">
        <v>53306.000000000007</v>
      </c>
    </row>
    <row r="1043" spans="1:28" x14ac:dyDescent="0.35">
      <c r="A1043" t="str">
        <f t="shared" si="96"/>
        <v>EMP1042</v>
      </c>
      <c r="B1043" t="str" cm="1">
        <f t="array" ref="B1043">_xlfn.IFS(
ROW()&lt;=421,"NA",
ROW()&lt;=781,"LATAM",
ROW()&lt;=1021,"EMEA",
TRUE,"APAC"
)</f>
        <v>APAC</v>
      </c>
      <c r="C1043" t="str">
        <f t="shared" si="97"/>
        <v>Singapore</v>
      </c>
      <c r="D1043" t="s">
        <v>38</v>
      </c>
      <c r="E1043" t="s">
        <v>380</v>
      </c>
      <c r="F1043" t="s">
        <v>899</v>
      </c>
      <c r="G1043" t="s">
        <v>28</v>
      </c>
      <c r="H1043" s="2">
        <v>42557</v>
      </c>
      <c r="I1043" t="s">
        <v>29</v>
      </c>
      <c r="J1043" t="s">
        <v>39</v>
      </c>
      <c r="K1043" t="str">
        <f t="shared" ca="1" si="100"/>
        <v>OK</v>
      </c>
      <c r="L1043" t="s">
        <v>900</v>
      </c>
      <c r="M1043">
        <v>5</v>
      </c>
      <c r="N1043" s="2">
        <v>46002</v>
      </c>
      <c r="O1043" s="2" t="s">
        <v>22</v>
      </c>
      <c r="P1043" s="4">
        <f t="shared" ca="1" si="98"/>
        <v>9</v>
      </c>
      <c r="Q1043" s="4" t="str">
        <f t="shared" ca="1" si="99"/>
        <v>6-10 Years</v>
      </c>
      <c r="R1043">
        <f t="shared" ca="1" si="101"/>
        <v>0</v>
      </c>
      <c r="S1043" t="s">
        <v>22</v>
      </c>
      <c r="T1043">
        <v>2</v>
      </c>
      <c r="U1043" t="s">
        <v>1394</v>
      </c>
      <c r="V1043" t="s">
        <v>1394</v>
      </c>
      <c r="W1043" t="s">
        <v>1394</v>
      </c>
      <c r="X1043" s="3">
        <v>3</v>
      </c>
      <c r="Y1043" t="s">
        <v>1398</v>
      </c>
      <c r="Z1043">
        <v>32645</v>
      </c>
      <c r="AA1043">
        <v>0.1</v>
      </c>
      <c r="AB1043">
        <v>35909.5</v>
      </c>
    </row>
    <row r="1044" spans="1:28" x14ac:dyDescent="0.35">
      <c r="A1044" t="str">
        <f t="shared" si="96"/>
        <v>EMP1043</v>
      </c>
      <c r="B1044" t="str" cm="1">
        <f t="array" ref="B1044">_xlfn.IFS(
ROW()&lt;=421,"NA",
ROW()&lt;=781,"LATAM",
ROW()&lt;=1021,"EMEA",
TRUE,"APAC"
)</f>
        <v>APAC</v>
      </c>
      <c r="C1044" t="str">
        <f t="shared" si="97"/>
        <v>Singapore</v>
      </c>
      <c r="D1044" t="s">
        <v>41</v>
      </c>
      <c r="E1044" t="s">
        <v>145</v>
      </c>
      <c r="F1044" t="s">
        <v>162</v>
      </c>
      <c r="G1044" t="s">
        <v>28</v>
      </c>
      <c r="H1044" s="2">
        <v>42549</v>
      </c>
      <c r="I1044" t="s">
        <v>29</v>
      </c>
      <c r="J1044" t="s">
        <v>42</v>
      </c>
      <c r="K1044" t="str">
        <f t="shared" ca="1" si="100"/>
        <v>OK</v>
      </c>
      <c r="L1044" t="s">
        <v>163</v>
      </c>
      <c r="M1044">
        <v>4</v>
      </c>
      <c r="N1044" s="2">
        <v>46045</v>
      </c>
      <c r="O1044" s="2" t="s">
        <v>22</v>
      </c>
      <c r="P1044" s="4">
        <f t="shared" ca="1" si="98"/>
        <v>9</v>
      </c>
      <c r="Q1044" s="4" t="str">
        <f t="shared" ca="1" si="99"/>
        <v>6-10 Years</v>
      </c>
      <c r="R1044">
        <f t="shared" ca="1" si="101"/>
        <v>0</v>
      </c>
      <c r="S1044" t="s">
        <v>22</v>
      </c>
      <c r="T1044">
        <v>2</v>
      </c>
      <c r="U1044" t="s">
        <v>1394</v>
      </c>
      <c r="V1044" t="s">
        <v>1394</v>
      </c>
      <c r="W1044" t="s">
        <v>1394</v>
      </c>
      <c r="X1044" s="3">
        <v>3</v>
      </c>
      <c r="Y1044" t="s">
        <v>1398</v>
      </c>
      <c r="Z1044">
        <v>82133</v>
      </c>
      <c r="AA1044">
        <v>0.15</v>
      </c>
      <c r="AB1044">
        <v>94452.95</v>
      </c>
    </row>
    <row r="1045" spans="1:28" x14ac:dyDescent="0.35">
      <c r="A1045" t="str">
        <f t="shared" si="96"/>
        <v>EMP1044</v>
      </c>
      <c r="B1045" t="str" cm="1">
        <f t="array" ref="B1045">_xlfn.IFS(
ROW()&lt;=421,"NA",
ROW()&lt;=781,"LATAM",
ROW()&lt;=1021,"EMEA",
TRUE,"APAC"
)</f>
        <v>APAC</v>
      </c>
      <c r="C1045" t="str">
        <f t="shared" si="97"/>
        <v>Singapore</v>
      </c>
      <c r="D1045" t="s">
        <v>35</v>
      </c>
      <c r="E1045" t="s">
        <v>145</v>
      </c>
      <c r="F1045" t="s">
        <v>188</v>
      </c>
      <c r="G1045" t="s">
        <v>28</v>
      </c>
      <c r="H1045" s="2">
        <v>42548</v>
      </c>
      <c r="I1045" t="s">
        <v>57</v>
      </c>
      <c r="J1045" t="s">
        <v>36</v>
      </c>
      <c r="K1045" t="str">
        <f t="shared" ca="1" si="100"/>
        <v>OK</v>
      </c>
      <c r="L1045" t="s">
        <v>189</v>
      </c>
      <c r="M1045">
        <v>4</v>
      </c>
      <c r="N1045" s="2">
        <v>46024</v>
      </c>
      <c r="O1045" s="2">
        <v>44036</v>
      </c>
      <c r="P1045" s="4">
        <f t="shared" ca="1" si="98"/>
        <v>4</v>
      </c>
      <c r="Q1045" s="4" t="str">
        <f t="shared" ca="1" si="99"/>
        <v>3-5 Years</v>
      </c>
      <c r="R1045">
        <f t="shared" ca="1" si="101"/>
        <v>0</v>
      </c>
      <c r="S1045" t="s">
        <v>23</v>
      </c>
      <c r="T1045">
        <v>3</v>
      </c>
      <c r="U1045" t="s">
        <v>1394</v>
      </c>
      <c r="V1045" t="s">
        <v>1394</v>
      </c>
      <c r="W1045" t="s">
        <v>1394</v>
      </c>
      <c r="X1045" s="3">
        <v>4</v>
      </c>
      <c r="Y1045" t="s">
        <v>1395</v>
      </c>
      <c r="Z1045">
        <v>74797</v>
      </c>
      <c r="AA1045">
        <v>0.15</v>
      </c>
      <c r="AB1045">
        <v>86016.549999999988</v>
      </c>
    </row>
    <row r="1046" spans="1:28" x14ac:dyDescent="0.35">
      <c r="A1046" t="str">
        <f t="shared" si="96"/>
        <v>EMP1045</v>
      </c>
      <c r="B1046" t="str" cm="1">
        <f t="array" ref="B1046">_xlfn.IFS(
ROW()&lt;=421,"NA",
ROW()&lt;=781,"LATAM",
ROW()&lt;=1021,"EMEA",
TRUE,"APAC"
)</f>
        <v>APAC</v>
      </c>
      <c r="C1046" t="str">
        <f t="shared" si="97"/>
        <v>Singapore</v>
      </c>
      <c r="D1046" t="s">
        <v>26</v>
      </c>
      <c r="E1046" t="s">
        <v>380</v>
      </c>
      <c r="F1046" t="s">
        <v>406</v>
      </c>
      <c r="G1046" t="s">
        <v>28</v>
      </c>
      <c r="H1046" s="2">
        <v>42541</v>
      </c>
      <c r="I1046" t="s">
        <v>29</v>
      </c>
      <c r="J1046" t="s">
        <v>30</v>
      </c>
      <c r="K1046" t="str">
        <f t="shared" ca="1" si="100"/>
        <v>OK</v>
      </c>
      <c r="L1046" t="s">
        <v>679</v>
      </c>
      <c r="M1046">
        <v>5</v>
      </c>
      <c r="N1046" s="2">
        <v>45993</v>
      </c>
      <c r="O1046" s="2" t="s">
        <v>22</v>
      </c>
      <c r="P1046" s="4">
        <f t="shared" ca="1" si="98"/>
        <v>9</v>
      </c>
      <c r="Q1046" s="4" t="str">
        <f t="shared" ca="1" si="99"/>
        <v>6-10 Years</v>
      </c>
      <c r="R1046">
        <f t="shared" ca="1" si="101"/>
        <v>0</v>
      </c>
      <c r="S1046" t="s">
        <v>22</v>
      </c>
      <c r="T1046">
        <v>3</v>
      </c>
      <c r="U1046" t="s">
        <v>1394</v>
      </c>
      <c r="V1046" t="s">
        <v>1394</v>
      </c>
      <c r="W1046" t="s">
        <v>1394</v>
      </c>
      <c r="X1046" s="3">
        <v>5</v>
      </c>
      <c r="Y1046" t="s">
        <v>1395</v>
      </c>
      <c r="Z1046">
        <v>34374</v>
      </c>
      <c r="AA1046">
        <v>0.1</v>
      </c>
      <c r="AB1046">
        <v>37811.4</v>
      </c>
    </row>
    <row r="1047" spans="1:28" x14ac:dyDescent="0.35">
      <c r="A1047" t="str">
        <f t="shared" si="96"/>
        <v>EMP1046</v>
      </c>
      <c r="B1047" t="str" cm="1">
        <f t="array" ref="B1047">_xlfn.IFS(
ROW()&lt;=421,"NA",
ROW()&lt;=781,"LATAM",
ROW()&lt;=1021,"EMEA",
TRUE,"APAC"
)</f>
        <v>APAC</v>
      </c>
      <c r="C1047" t="str">
        <f t="shared" si="97"/>
        <v>Singapore</v>
      </c>
      <c r="D1047" t="s">
        <v>32</v>
      </c>
      <c r="E1047" t="s">
        <v>380</v>
      </c>
      <c r="F1047" t="s">
        <v>429</v>
      </c>
      <c r="G1047" t="s">
        <v>53</v>
      </c>
      <c r="H1047" s="2">
        <v>42541</v>
      </c>
      <c r="I1047" t="s">
        <v>29</v>
      </c>
      <c r="J1047" t="s">
        <v>33</v>
      </c>
      <c r="K1047" t="str">
        <f t="shared" ca="1" si="100"/>
        <v>OK</v>
      </c>
      <c r="L1047" t="s">
        <v>224</v>
      </c>
      <c r="M1047">
        <v>5</v>
      </c>
      <c r="N1047" s="2">
        <v>46046</v>
      </c>
      <c r="O1047" s="2" t="s">
        <v>22</v>
      </c>
      <c r="P1047" s="4">
        <f t="shared" ca="1" si="98"/>
        <v>9</v>
      </c>
      <c r="Q1047" s="4" t="str">
        <f t="shared" ca="1" si="99"/>
        <v>6-10 Years</v>
      </c>
      <c r="R1047">
        <f t="shared" ca="1" si="101"/>
        <v>0</v>
      </c>
      <c r="S1047" t="s">
        <v>22</v>
      </c>
      <c r="T1047">
        <v>2</v>
      </c>
      <c r="U1047" t="s">
        <v>1394</v>
      </c>
      <c r="V1047" t="s">
        <v>1394</v>
      </c>
      <c r="W1047" t="s">
        <v>1394</v>
      </c>
      <c r="X1047" s="3">
        <v>5</v>
      </c>
      <c r="Y1047" t="s">
        <v>1395</v>
      </c>
      <c r="Z1047">
        <v>45657</v>
      </c>
      <c r="AA1047">
        <v>0.1</v>
      </c>
      <c r="AB1047">
        <v>50222.700000000004</v>
      </c>
    </row>
    <row r="1048" spans="1:28" x14ac:dyDescent="0.35">
      <c r="A1048" t="str">
        <f t="shared" si="96"/>
        <v>EMP1047</v>
      </c>
      <c r="B1048" t="str" cm="1">
        <f t="array" ref="B1048">_xlfn.IFS(
ROW()&lt;=421,"NA",
ROW()&lt;=781,"LATAM",
ROW()&lt;=1021,"EMEA",
TRUE,"APAC"
)</f>
        <v>APAC</v>
      </c>
      <c r="C1048" t="str">
        <f t="shared" si="97"/>
        <v>Singapore</v>
      </c>
      <c r="D1048" t="s">
        <v>38</v>
      </c>
      <c r="E1048" t="s">
        <v>380</v>
      </c>
      <c r="F1048" t="s">
        <v>431</v>
      </c>
      <c r="G1048" t="s">
        <v>28</v>
      </c>
      <c r="H1048" s="2">
        <v>42535</v>
      </c>
      <c r="I1048" t="s">
        <v>29</v>
      </c>
      <c r="J1048" t="s">
        <v>39</v>
      </c>
      <c r="K1048" t="str">
        <f t="shared" ca="1" si="100"/>
        <v>OK</v>
      </c>
      <c r="L1048" t="s">
        <v>938</v>
      </c>
      <c r="M1048">
        <v>5</v>
      </c>
      <c r="N1048" s="2">
        <v>46005</v>
      </c>
      <c r="O1048" s="2" t="s">
        <v>22</v>
      </c>
      <c r="P1048" s="4">
        <f t="shared" ca="1" si="98"/>
        <v>9</v>
      </c>
      <c r="Q1048" s="4" t="str">
        <f t="shared" ca="1" si="99"/>
        <v>6-10 Years</v>
      </c>
      <c r="R1048">
        <f t="shared" ca="1" si="101"/>
        <v>0</v>
      </c>
      <c r="S1048" t="s">
        <v>22</v>
      </c>
      <c r="T1048">
        <v>4</v>
      </c>
      <c r="U1048" t="s">
        <v>1394</v>
      </c>
      <c r="V1048" t="s">
        <v>1394</v>
      </c>
      <c r="W1048" t="s">
        <v>1394</v>
      </c>
      <c r="X1048" s="3">
        <v>2</v>
      </c>
      <c r="Y1048" t="s">
        <v>1397</v>
      </c>
      <c r="Z1048">
        <v>40222</v>
      </c>
      <c r="AA1048">
        <v>0.1</v>
      </c>
      <c r="AB1048">
        <v>44244.200000000004</v>
      </c>
    </row>
    <row r="1049" spans="1:28" x14ac:dyDescent="0.35">
      <c r="A1049" t="str">
        <f t="shared" si="96"/>
        <v>EMP1048</v>
      </c>
      <c r="B1049" t="str" cm="1">
        <f t="array" ref="B1049">_xlfn.IFS(
ROW()&lt;=421,"NA",
ROW()&lt;=781,"LATAM",
ROW()&lt;=1021,"EMEA",
TRUE,"APAC"
)</f>
        <v>APAC</v>
      </c>
      <c r="C1049" t="str">
        <f t="shared" si="97"/>
        <v>Singapore</v>
      </c>
      <c r="D1049" t="s">
        <v>41</v>
      </c>
      <c r="E1049" t="s">
        <v>380</v>
      </c>
      <c r="F1049" t="s">
        <v>715</v>
      </c>
      <c r="G1049" t="s">
        <v>28</v>
      </c>
      <c r="H1049" s="2">
        <v>42532</v>
      </c>
      <c r="I1049" t="s">
        <v>29</v>
      </c>
      <c r="J1049" t="s">
        <v>42</v>
      </c>
      <c r="K1049" t="str">
        <f t="shared" ca="1" si="100"/>
        <v>OK</v>
      </c>
      <c r="L1049" t="s">
        <v>109</v>
      </c>
      <c r="M1049">
        <v>5</v>
      </c>
      <c r="N1049" s="2">
        <v>46017</v>
      </c>
      <c r="O1049" s="2" t="s">
        <v>22</v>
      </c>
      <c r="P1049" s="4">
        <f t="shared" ca="1" si="98"/>
        <v>9</v>
      </c>
      <c r="Q1049" s="4" t="str">
        <f t="shared" ca="1" si="99"/>
        <v>6-10 Years</v>
      </c>
      <c r="R1049">
        <f t="shared" ca="1" si="101"/>
        <v>0</v>
      </c>
      <c r="S1049" t="s">
        <v>22</v>
      </c>
      <c r="T1049">
        <v>5</v>
      </c>
      <c r="U1049" t="s">
        <v>1394</v>
      </c>
      <c r="V1049" t="s">
        <v>1394</v>
      </c>
      <c r="W1049" t="s">
        <v>1394</v>
      </c>
      <c r="X1049" s="3">
        <v>1</v>
      </c>
      <c r="Y1049" t="s">
        <v>1397</v>
      </c>
      <c r="Z1049">
        <v>36754</v>
      </c>
      <c r="AA1049">
        <v>0.1</v>
      </c>
      <c r="AB1049">
        <v>40429.4</v>
      </c>
    </row>
    <row r="1050" spans="1:28" x14ac:dyDescent="0.35">
      <c r="A1050" t="str">
        <f t="shared" si="96"/>
        <v>EMP1049</v>
      </c>
      <c r="B1050" t="str" cm="1">
        <f t="array" ref="B1050">_xlfn.IFS(
ROW()&lt;=421,"NA",
ROW()&lt;=781,"LATAM",
ROW()&lt;=1021,"EMEA",
TRUE,"APAC"
)</f>
        <v>APAC</v>
      </c>
      <c r="C1050" t="str">
        <f t="shared" si="97"/>
        <v>Singapore</v>
      </c>
      <c r="D1050" t="s">
        <v>41</v>
      </c>
      <c r="E1050" t="s">
        <v>380</v>
      </c>
      <c r="F1050" t="s">
        <v>553</v>
      </c>
      <c r="G1050" t="s">
        <v>28</v>
      </c>
      <c r="H1050" s="2">
        <v>42531</v>
      </c>
      <c r="I1050" t="s">
        <v>29</v>
      </c>
      <c r="J1050" t="s">
        <v>42</v>
      </c>
      <c r="K1050" t="str">
        <f t="shared" ca="1" si="100"/>
        <v>OK</v>
      </c>
      <c r="L1050" t="s">
        <v>1387</v>
      </c>
      <c r="M1050">
        <v>5</v>
      </c>
      <c r="N1050" s="2">
        <v>46059</v>
      </c>
      <c r="O1050" s="2" t="s">
        <v>22</v>
      </c>
      <c r="P1050" s="4">
        <f t="shared" ca="1" si="98"/>
        <v>9</v>
      </c>
      <c r="Q1050" s="4" t="str">
        <f t="shared" ca="1" si="99"/>
        <v>6-10 Years</v>
      </c>
      <c r="R1050">
        <f t="shared" ca="1" si="101"/>
        <v>0</v>
      </c>
      <c r="S1050" t="s">
        <v>22</v>
      </c>
      <c r="T1050">
        <v>4</v>
      </c>
      <c r="U1050" t="s">
        <v>1394</v>
      </c>
      <c r="V1050" t="s">
        <v>1396</v>
      </c>
      <c r="W1050" t="s">
        <v>1394</v>
      </c>
      <c r="X1050" s="3">
        <v>5</v>
      </c>
      <c r="Y1050" t="s">
        <v>1395</v>
      </c>
      <c r="Z1050">
        <v>26407</v>
      </c>
      <c r="AA1050">
        <v>0.1</v>
      </c>
      <c r="AB1050">
        <v>29047.7</v>
      </c>
    </row>
    <row r="1051" spans="1:28" x14ac:dyDescent="0.35">
      <c r="A1051" t="str">
        <f t="shared" si="96"/>
        <v>EMP1050</v>
      </c>
      <c r="B1051" t="str" cm="1">
        <f t="array" ref="B1051">_xlfn.IFS(
ROW()&lt;=421,"NA",
ROW()&lt;=781,"LATAM",
ROW()&lt;=1021,"EMEA",
TRUE,"APAC"
)</f>
        <v>APAC</v>
      </c>
      <c r="C1051" t="str">
        <f t="shared" si="97"/>
        <v>Singapore</v>
      </c>
      <c r="D1051" t="s">
        <v>35</v>
      </c>
      <c r="E1051" t="s">
        <v>380</v>
      </c>
      <c r="F1051" t="s">
        <v>438</v>
      </c>
      <c r="G1051" t="s">
        <v>28</v>
      </c>
      <c r="H1051" s="2">
        <v>42525</v>
      </c>
      <c r="I1051" t="s">
        <v>29</v>
      </c>
      <c r="J1051" t="s">
        <v>36</v>
      </c>
      <c r="K1051" t="str">
        <f t="shared" ca="1" si="100"/>
        <v>⚠ Review</v>
      </c>
      <c r="L1051" t="s">
        <v>439</v>
      </c>
      <c r="M1051">
        <v>5</v>
      </c>
      <c r="N1051" s="2">
        <v>45989</v>
      </c>
      <c r="O1051" s="2" t="s">
        <v>22</v>
      </c>
      <c r="P1051" s="4">
        <f t="shared" ca="1" si="98"/>
        <v>9</v>
      </c>
      <c r="Q1051" s="4" t="str">
        <f t="shared" ca="1" si="99"/>
        <v>6-10 Years</v>
      </c>
      <c r="R1051">
        <f t="shared" ca="1" si="101"/>
        <v>0</v>
      </c>
      <c r="S1051" t="s">
        <v>22</v>
      </c>
      <c r="T1051">
        <v>3</v>
      </c>
      <c r="U1051" t="s">
        <v>1394</v>
      </c>
      <c r="V1051" t="s">
        <v>1394</v>
      </c>
      <c r="W1051" t="s">
        <v>1394</v>
      </c>
      <c r="X1051" s="3">
        <v>5</v>
      </c>
      <c r="Y1051" t="s">
        <v>1395</v>
      </c>
      <c r="AA1051">
        <v>0.1</v>
      </c>
      <c r="AB1051">
        <v>22844.800000000003</v>
      </c>
    </row>
    <row r="1052" spans="1:28" x14ac:dyDescent="0.35">
      <c r="A1052" t="str">
        <f t="shared" si="96"/>
        <v>EMP1051</v>
      </c>
      <c r="B1052" t="str" cm="1">
        <f t="array" ref="B1052">_xlfn.IFS(
ROW()&lt;=421,"NA",
ROW()&lt;=781,"LATAM",
ROW()&lt;=1021,"EMEA",
TRUE,"APAC"
)</f>
        <v>APAC</v>
      </c>
      <c r="C1052" t="str">
        <f t="shared" si="97"/>
        <v>Singapore</v>
      </c>
      <c r="D1052" t="s">
        <v>35</v>
      </c>
      <c r="E1052" t="s">
        <v>380</v>
      </c>
      <c r="F1052" t="s">
        <v>444</v>
      </c>
      <c r="G1052" t="s">
        <v>53</v>
      </c>
      <c r="H1052" s="2">
        <v>42522</v>
      </c>
      <c r="I1052" t="s">
        <v>29</v>
      </c>
      <c r="J1052" t="s">
        <v>36</v>
      </c>
      <c r="K1052" t="str">
        <f t="shared" ca="1" si="100"/>
        <v>OK</v>
      </c>
      <c r="L1052" t="s">
        <v>293</v>
      </c>
      <c r="M1052">
        <v>5</v>
      </c>
      <c r="N1052" s="2">
        <v>45988</v>
      </c>
      <c r="O1052" s="2" t="s">
        <v>22</v>
      </c>
      <c r="P1052" s="4">
        <f t="shared" ca="1" si="98"/>
        <v>9</v>
      </c>
      <c r="Q1052" s="4" t="str">
        <f t="shared" ca="1" si="99"/>
        <v>6-10 Years</v>
      </c>
      <c r="R1052">
        <f t="shared" ca="1" si="101"/>
        <v>0</v>
      </c>
      <c r="S1052" t="s">
        <v>22</v>
      </c>
      <c r="T1052">
        <v>3</v>
      </c>
      <c r="U1052" t="s">
        <v>1396</v>
      </c>
      <c r="V1052" t="s">
        <v>1394</v>
      </c>
      <c r="W1052" t="s">
        <v>1394</v>
      </c>
      <c r="X1052" s="3">
        <v>5</v>
      </c>
      <c r="Y1052" t="s">
        <v>1395</v>
      </c>
      <c r="Z1052">
        <v>28475</v>
      </c>
      <c r="AA1052">
        <v>0.1</v>
      </c>
      <c r="AB1052">
        <v>31322.500000000004</v>
      </c>
    </row>
    <row r="1053" spans="1:28" x14ac:dyDescent="0.35">
      <c r="A1053" t="str">
        <f t="shared" si="96"/>
        <v>EMP1052</v>
      </c>
      <c r="B1053" t="str" cm="1">
        <f t="array" ref="B1053">_xlfn.IFS(
ROW()&lt;=421,"NA",
ROW()&lt;=781,"LATAM",
ROW()&lt;=1021,"EMEA",
TRUE,"APAC"
)</f>
        <v>APAC</v>
      </c>
      <c r="C1053" t="str">
        <f t="shared" si="97"/>
        <v>Singapore</v>
      </c>
      <c r="D1053" t="s">
        <v>35</v>
      </c>
      <c r="E1053" t="s">
        <v>145</v>
      </c>
      <c r="F1053" t="s">
        <v>182</v>
      </c>
      <c r="G1053" t="s">
        <v>28</v>
      </c>
      <c r="H1053" s="2">
        <v>42517</v>
      </c>
      <c r="I1053" t="s">
        <v>29</v>
      </c>
      <c r="J1053" t="s">
        <v>36</v>
      </c>
      <c r="K1053" t="str">
        <f t="shared" ca="1" si="100"/>
        <v>OK</v>
      </c>
      <c r="L1053" t="s">
        <v>316</v>
      </c>
      <c r="M1053">
        <v>4</v>
      </c>
      <c r="N1053" s="2">
        <v>46002</v>
      </c>
      <c r="O1053" s="2" t="s">
        <v>22</v>
      </c>
      <c r="P1053" s="4">
        <f t="shared" ca="1" si="98"/>
        <v>9</v>
      </c>
      <c r="Q1053" s="4" t="str">
        <f t="shared" ca="1" si="99"/>
        <v>6-10 Years</v>
      </c>
      <c r="R1053">
        <f t="shared" ca="1" si="101"/>
        <v>0</v>
      </c>
      <c r="S1053" t="s">
        <v>22</v>
      </c>
      <c r="T1053">
        <v>3</v>
      </c>
      <c r="U1053" t="s">
        <v>1394</v>
      </c>
      <c r="V1053" t="s">
        <v>1394</v>
      </c>
      <c r="W1053" t="s">
        <v>1394</v>
      </c>
      <c r="X1053" s="3">
        <v>3</v>
      </c>
      <c r="Y1053" t="s">
        <v>1398</v>
      </c>
      <c r="Z1053">
        <v>70577</v>
      </c>
      <c r="AA1053">
        <v>0.15</v>
      </c>
      <c r="AB1053">
        <v>81163.549999999988</v>
      </c>
    </row>
    <row r="1054" spans="1:28" x14ac:dyDescent="0.35">
      <c r="A1054" t="str">
        <f t="shared" si="96"/>
        <v>EMP1053</v>
      </c>
      <c r="B1054" t="str" cm="1">
        <f t="array" ref="B1054">_xlfn.IFS(
ROW()&lt;=421,"NA",
ROW()&lt;=781,"LATAM",
ROW()&lt;=1021,"EMEA",
TRUE,"APAC"
)</f>
        <v>APAC</v>
      </c>
      <c r="C1054" t="str">
        <f t="shared" si="97"/>
        <v>Singapore</v>
      </c>
      <c r="D1054" t="s">
        <v>38</v>
      </c>
      <c r="E1054" t="s">
        <v>145</v>
      </c>
      <c r="F1054" t="s">
        <v>271</v>
      </c>
      <c r="G1054" t="s">
        <v>53</v>
      </c>
      <c r="H1054" s="2">
        <v>42515</v>
      </c>
      <c r="I1054" t="s">
        <v>29</v>
      </c>
      <c r="J1054" t="s">
        <v>39</v>
      </c>
      <c r="K1054" t="str">
        <f t="shared" ca="1" si="100"/>
        <v>OK</v>
      </c>
      <c r="L1054" t="s">
        <v>272</v>
      </c>
      <c r="M1054">
        <v>4</v>
      </c>
      <c r="N1054" s="2">
        <v>46016</v>
      </c>
      <c r="O1054" s="2" t="s">
        <v>22</v>
      </c>
      <c r="P1054" s="4">
        <f t="shared" ca="1" si="98"/>
        <v>9</v>
      </c>
      <c r="Q1054" s="4" t="str">
        <f t="shared" ca="1" si="99"/>
        <v>6-10 Years</v>
      </c>
      <c r="R1054">
        <f t="shared" ca="1" si="101"/>
        <v>0</v>
      </c>
      <c r="S1054" t="s">
        <v>22</v>
      </c>
      <c r="T1054">
        <v>4</v>
      </c>
      <c r="U1054" t="s">
        <v>1394</v>
      </c>
      <c r="V1054" t="s">
        <v>1394</v>
      </c>
      <c r="W1054" t="s">
        <v>1394</v>
      </c>
      <c r="X1054" s="3">
        <v>2</v>
      </c>
      <c r="Y1054" t="s">
        <v>1397</v>
      </c>
      <c r="Z1054">
        <v>62555</v>
      </c>
      <c r="AA1054">
        <v>0.15</v>
      </c>
      <c r="AB1054">
        <v>71938.25</v>
      </c>
    </row>
    <row r="1055" spans="1:28" x14ac:dyDescent="0.35">
      <c r="A1055" t="str">
        <f t="shared" si="96"/>
        <v>EMP1054</v>
      </c>
      <c r="B1055" t="str" cm="1">
        <f t="array" ref="B1055">_xlfn.IFS(
ROW()&lt;=421,"NA",
ROW()&lt;=781,"LATAM",
ROW()&lt;=1021,"EMEA",
TRUE,"APAC"
)</f>
        <v>APAC</v>
      </c>
      <c r="C1055" t="str">
        <f t="shared" si="97"/>
        <v>Singapore</v>
      </c>
      <c r="D1055" t="s">
        <v>44</v>
      </c>
      <c r="E1055" t="s">
        <v>380</v>
      </c>
      <c r="F1055" t="s">
        <v>488</v>
      </c>
      <c r="G1055" t="s">
        <v>28</v>
      </c>
      <c r="H1055" s="2">
        <v>42512</v>
      </c>
      <c r="I1055" t="s">
        <v>29</v>
      </c>
      <c r="J1055" t="s">
        <v>47</v>
      </c>
      <c r="K1055" t="str">
        <f t="shared" ca="1" si="100"/>
        <v>OK</v>
      </c>
      <c r="L1055" t="s">
        <v>992</v>
      </c>
      <c r="M1055">
        <v>5</v>
      </c>
      <c r="N1055" s="2">
        <v>46060</v>
      </c>
      <c r="O1055" s="2" t="s">
        <v>22</v>
      </c>
      <c r="P1055" s="4">
        <f t="shared" ca="1" si="98"/>
        <v>9</v>
      </c>
      <c r="Q1055" s="4" t="str">
        <f t="shared" ca="1" si="99"/>
        <v>6-10 Years</v>
      </c>
      <c r="R1055">
        <f t="shared" ca="1" si="101"/>
        <v>0</v>
      </c>
      <c r="S1055" t="s">
        <v>22</v>
      </c>
      <c r="T1055">
        <v>3</v>
      </c>
      <c r="U1055" t="s">
        <v>1394</v>
      </c>
      <c r="V1055" t="s">
        <v>1394</v>
      </c>
      <c r="W1055" t="s">
        <v>1394</v>
      </c>
      <c r="X1055" s="3">
        <v>1</v>
      </c>
      <c r="Y1055" t="s">
        <v>1397</v>
      </c>
      <c r="Z1055">
        <v>34730</v>
      </c>
      <c r="AA1055">
        <v>0.1</v>
      </c>
      <c r="AB1055">
        <v>38203</v>
      </c>
    </row>
    <row r="1056" spans="1:28" x14ac:dyDescent="0.35">
      <c r="A1056" t="str">
        <f t="shared" si="96"/>
        <v>EMP1055</v>
      </c>
      <c r="B1056" t="str" cm="1">
        <f t="array" ref="B1056">_xlfn.IFS(
ROW()&lt;=421,"NA",
ROW()&lt;=781,"LATAM",
ROW()&lt;=1021,"EMEA",
TRUE,"APAC"
)</f>
        <v>APAC</v>
      </c>
      <c r="C1056" t="str">
        <f t="shared" si="97"/>
        <v>Singapore</v>
      </c>
      <c r="D1056" t="s">
        <v>44</v>
      </c>
      <c r="E1056" t="s">
        <v>145</v>
      </c>
      <c r="F1056" t="s">
        <v>178</v>
      </c>
      <c r="G1056" t="s">
        <v>28</v>
      </c>
      <c r="H1056" s="2">
        <v>42510</v>
      </c>
      <c r="I1056" t="s">
        <v>29</v>
      </c>
      <c r="J1056" t="s">
        <v>47</v>
      </c>
      <c r="K1056" t="str">
        <f t="shared" ca="1" si="100"/>
        <v>OK</v>
      </c>
      <c r="L1056" t="s">
        <v>365</v>
      </c>
      <c r="M1056">
        <v>4</v>
      </c>
      <c r="N1056" s="2">
        <v>46045</v>
      </c>
      <c r="O1056" s="2" t="s">
        <v>22</v>
      </c>
      <c r="P1056" s="4">
        <f t="shared" ca="1" si="98"/>
        <v>9</v>
      </c>
      <c r="Q1056" s="4" t="str">
        <f t="shared" ca="1" si="99"/>
        <v>6-10 Years</v>
      </c>
      <c r="R1056">
        <f t="shared" ca="1" si="101"/>
        <v>0</v>
      </c>
      <c r="S1056" t="s">
        <v>22</v>
      </c>
      <c r="T1056">
        <v>3</v>
      </c>
      <c r="U1056" t="s">
        <v>1394</v>
      </c>
      <c r="V1056" t="s">
        <v>1394</v>
      </c>
      <c r="W1056" t="s">
        <v>1394</v>
      </c>
      <c r="X1056" s="3">
        <v>2</v>
      </c>
      <c r="Y1056" t="s">
        <v>1397</v>
      </c>
      <c r="Z1056">
        <v>55963</v>
      </c>
      <c r="AA1056">
        <v>0.15</v>
      </c>
      <c r="AB1056">
        <v>64357.45</v>
      </c>
    </row>
    <row r="1057" spans="1:28" x14ac:dyDescent="0.35">
      <c r="A1057" t="str">
        <f t="shared" si="96"/>
        <v>EMP1056</v>
      </c>
      <c r="B1057" t="str" cm="1">
        <f t="array" ref="B1057">_xlfn.IFS(
ROW()&lt;=421,"NA",
ROW()&lt;=781,"LATAM",
ROW()&lt;=1021,"EMEA",
TRUE,"APAC"
)</f>
        <v>APAC</v>
      </c>
      <c r="C1057" t="str">
        <f t="shared" si="97"/>
        <v>Singapore</v>
      </c>
      <c r="D1057" t="s">
        <v>32</v>
      </c>
      <c r="E1057" t="s">
        <v>380</v>
      </c>
      <c r="F1057" t="s">
        <v>784</v>
      </c>
      <c r="G1057" t="s">
        <v>28</v>
      </c>
      <c r="H1057" s="2">
        <v>42505</v>
      </c>
      <c r="I1057" t="s">
        <v>29</v>
      </c>
      <c r="J1057" t="s">
        <v>33</v>
      </c>
      <c r="K1057" t="str">
        <f t="shared" ca="1" si="100"/>
        <v>OK</v>
      </c>
      <c r="L1057" t="s">
        <v>881</v>
      </c>
      <c r="M1057">
        <v>5</v>
      </c>
      <c r="N1057" s="2">
        <v>46054</v>
      </c>
      <c r="O1057" s="2" t="s">
        <v>22</v>
      </c>
      <c r="P1057" s="4">
        <f t="shared" ca="1" si="98"/>
        <v>9</v>
      </c>
      <c r="Q1057" s="4" t="str">
        <f t="shared" ca="1" si="99"/>
        <v>6-10 Years</v>
      </c>
      <c r="R1057">
        <f t="shared" ca="1" si="101"/>
        <v>0</v>
      </c>
      <c r="S1057" t="s">
        <v>22</v>
      </c>
      <c r="T1057">
        <v>2</v>
      </c>
      <c r="U1057" t="s">
        <v>1394</v>
      </c>
      <c r="V1057" t="s">
        <v>1394</v>
      </c>
      <c r="W1057" t="s">
        <v>1394</v>
      </c>
      <c r="X1057" s="3">
        <v>1</v>
      </c>
      <c r="Y1057" t="s">
        <v>1397</v>
      </c>
      <c r="Z1057">
        <v>48269</v>
      </c>
      <c r="AA1057">
        <v>0.1</v>
      </c>
      <c r="AB1057">
        <v>53095.9</v>
      </c>
    </row>
    <row r="1058" spans="1:28" x14ac:dyDescent="0.35">
      <c r="A1058" t="str">
        <f t="shared" si="96"/>
        <v>EMP1057</v>
      </c>
      <c r="B1058" t="str" cm="1">
        <f t="array" ref="B1058">_xlfn.IFS(
ROW()&lt;=421,"NA",
ROW()&lt;=781,"LATAM",
ROW()&lt;=1021,"EMEA",
TRUE,"APAC"
)</f>
        <v>APAC</v>
      </c>
      <c r="C1058" t="str">
        <f t="shared" si="97"/>
        <v>Singapore</v>
      </c>
      <c r="D1058" t="s">
        <v>44</v>
      </c>
      <c r="E1058" t="s">
        <v>380</v>
      </c>
      <c r="F1058" t="s">
        <v>628</v>
      </c>
      <c r="G1058" t="s">
        <v>28</v>
      </c>
      <c r="H1058" s="2">
        <v>42505</v>
      </c>
      <c r="I1058" t="s">
        <v>29</v>
      </c>
      <c r="J1058" t="s">
        <v>47</v>
      </c>
      <c r="K1058" t="str">
        <f t="shared" ca="1" si="100"/>
        <v>OK</v>
      </c>
      <c r="L1058" t="s">
        <v>974</v>
      </c>
      <c r="M1058">
        <v>5</v>
      </c>
      <c r="N1058" s="2">
        <v>46016</v>
      </c>
      <c r="O1058" s="2" t="s">
        <v>22</v>
      </c>
      <c r="P1058" s="4">
        <f t="shared" ca="1" si="98"/>
        <v>9</v>
      </c>
      <c r="Q1058" s="4" t="str">
        <f t="shared" ca="1" si="99"/>
        <v>6-10 Years</v>
      </c>
      <c r="R1058">
        <f t="shared" ca="1" si="101"/>
        <v>0</v>
      </c>
      <c r="S1058" t="s">
        <v>22</v>
      </c>
      <c r="T1058">
        <v>4</v>
      </c>
      <c r="U1058" t="s">
        <v>1394</v>
      </c>
      <c r="V1058" t="s">
        <v>1394</v>
      </c>
      <c r="W1058" t="s">
        <v>1394</v>
      </c>
      <c r="X1058" s="3">
        <v>5</v>
      </c>
      <c r="Y1058" t="s">
        <v>1395</v>
      </c>
      <c r="Z1058">
        <v>26584</v>
      </c>
      <c r="AA1058">
        <v>0.1</v>
      </c>
      <c r="AB1058">
        <v>29242.400000000001</v>
      </c>
    </row>
    <row r="1059" spans="1:28" x14ac:dyDescent="0.35">
      <c r="A1059" t="str">
        <f t="shared" si="96"/>
        <v>EMP1058</v>
      </c>
      <c r="B1059" t="str" cm="1">
        <f t="array" ref="B1059">_xlfn.IFS(
ROW()&lt;=421,"NA",
ROW()&lt;=781,"LATAM",
ROW()&lt;=1021,"EMEA",
TRUE,"APAC"
)</f>
        <v>APAC</v>
      </c>
      <c r="C1059" t="str">
        <f t="shared" si="97"/>
        <v>Singapore</v>
      </c>
      <c r="D1059" t="s">
        <v>38</v>
      </c>
      <c r="E1059" t="s">
        <v>380</v>
      </c>
      <c r="F1059" t="s">
        <v>543</v>
      </c>
      <c r="G1059" t="s">
        <v>28</v>
      </c>
      <c r="H1059" s="2">
        <v>42503</v>
      </c>
      <c r="I1059" t="s">
        <v>29</v>
      </c>
      <c r="J1059" t="s">
        <v>39</v>
      </c>
      <c r="K1059" t="str">
        <f t="shared" ca="1" si="100"/>
        <v>OK</v>
      </c>
      <c r="L1059" t="s">
        <v>451</v>
      </c>
      <c r="M1059">
        <v>5</v>
      </c>
      <c r="N1059" s="2">
        <v>46046</v>
      </c>
      <c r="O1059" s="2" t="s">
        <v>22</v>
      </c>
      <c r="P1059" s="4">
        <f t="shared" ca="1" si="98"/>
        <v>9</v>
      </c>
      <c r="Q1059" s="4" t="str">
        <f t="shared" ca="1" si="99"/>
        <v>6-10 Years</v>
      </c>
      <c r="R1059">
        <f t="shared" ca="1" si="101"/>
        <v>0</v>
      </c>
      <c r="S1059" t="s">
        <v>22</v>
      </c>
      <c r="T1059">
        <v>4</v>
      </c>
      <c r="U1059" t="s">
        <v>1394</v>
      </c>
      <c r="V1059" t="s">
        <v>1394</v>
      </c>
      <c r="W1059" t="s">
        <v>1394</v>
      </c>
      <c r="X1059" s="3">
        <v>2</v>
      </c>
      <c r="Y1059" t="s">
        <v>1397</v>
      </c>
      <c r="Z1059">
        <v>40644</v>
      </c>
      <c r="AA1059">
        <v>0.1</v>
      </c>
      <c r="AB1059">
        <v>44708.4</v>
      </c>
    </row>
    <row r="1060" spans="1:28" x14ac:dyDescent="0.35">
      <c r="A1060" t="str">
        <f t="shared" si="96"/>
        <v>EMP1059</v>
      </c>
      <c r="B1060" t="str" cm="1">
        <f t="array" ref="B1060">_xlfn.IFS(
ROW()&lt;=421,"NA",
ROW()&lt;=781,"LATAM",
ROW()&lt;=1021,"EMEA",
TRUE,"APAC"
)</f>
        <v>APAC</v>
      </c>
      <c r="C1060" t="str">
        <f t="shared" si="97"/>
        <v>Singapore</v>
      </c>
      <c r="D1060" t="s">
        <v>38</v>
      </c>
      <c r="E1060" t="s">
        <v>380</v>
      </c>
      <c r="F1060" t="s">
        <v>675</v>
      </c>
      <c r="G1060" t="s">
        <v>28</v>
      </c>
      <c r="H1060" s="2">
        <v>42503</v>
      </c>
      <c r="I1060" t="s">
        <v>29</v>
      </c>
      <c r="J1060" t="s">
        <v>39</v>
      </c>
      <c r="K1060" t="str">
        <f t="shared" ca="1" si="100"/>
        <v>OK</v>
      </c>
      <c r="L1060" t="s">
        <v>989</v>
      </c>
      <c r="M1060">
        <v>5</v>
      </c>
      <c r="N1060" s="2">
        <v>46007</v>
      </c>
      <c r="O1060" s="2" t="s">
        <v>22</v>
      </c>
      <c r="P1060" s="4">
        <f t="shared" ca="1" si="98"/>
        <v>9</v>
      </c>
      <c r="Q1060" s="4" t="str">
        <f t="shared" ca="1" si="99"/>
        <v>6-10 Years</v>
      </c>
      <c r="R1060">
        <f t="shared" ca="1" si="101"/>
        <v>0</v>
      </c>
      <c r="S1060" t="s">
        <v>22</v>
      </c>
      <c r="T1060">
        <v>3</v>
      </c>
      <c r="U1060" t="s">
        <v>1394</v>
      </c>
      <c r="V1060" t="s">
        <v>1394</v>
      </c>
      <c r="W1060" t="s">
        <v>1394</v>
      </c>
      <c r="X1060" s="3">
        <v>2</v>
      </c>
      <c r="Y1060" t="s">
        <v>1397</v>
      </c>
      <c r="Z1060">
        <v>35981</v>
      </c>
      <c r="AA1060">
        <v>0.1</v>
      </c>
      <c r="AB1060">
        <v>39579.100000000006</v>
      </c>
    </row>
    <row r="1061" spans="1:28" x14ac:dyDescent="0.35">
      <c r="A1061" t="str">
        <f t="shared" si="96"/>
        <v>EMP1060</v>
      </c>
      <c r="B1061" t="str" cm="1">
        <f t="array" ref="B1061">_xlfn.IFS(
ROW()&lt;=421,"NA",
ROW()&lt;=781,"LATAM",
ROW()&lt;=1021,"EMEA",
TRUE,"APAC"
)</f>
        <v>APAC</v>
      </c>
      <c r="C1061" t="str">
        <f t="shared" si="97"/>
        <v>Singapore</v>
      </c>
      <c r="D1061" t="s">
        <v>38</v>
      </c>
      <c r="E1061" t="s">
        <v>380</v>
      </c>
      <c r="F1061" t="s">
        <v>412</v>
      </c>
      <c r="G1061" t="s">
        <v>28</v>
      </c>
      <c r="H1061" s="2">
        <v>42502</v>
      </c>
      <c r="I1061" t="s">
        <v>29</v>
      </c>
      <c r="J1061" t="s">
        <v>39</v>
      </c>
      <c r="K1061" t="str">
        <f t="shared" ca="1" si="100"/>
        <v>OK</v>
      </c>
      <c r="L1061" t="s">
        <v>559</v>
      </c>
      <c r="M1061">
        <v>5</v>
      </c>
      <c r="N1061" s="2">
        <v>46039</v>
      </c>
      <c r="O1061" s="2" t="s">
        <v>22</v>
      </c>
      <c r="P1061" s="4">
        <f t="shared" ca="1" si="98"/>
        <v>9</v>
      </c>
      <c r="Q1061" s="4" t="str">
        <f t="shared" ca="1" si="99"/>
        <v>6-10 Years</v>
      </c>
      <c r="R1061">
        <f t="shared" ca="1" si="101"/>
        <v>0</v>
      </c>
      <c r="S1061" t="s">
        <v>22</v>
      </c>
      <c r="T1061">
        <v>5</v>
      </c>
      <c r="U1061" t="s">
        <v>1394</v>
      </c>
      <c r="V1061" t="s">
        <v>1394</v>
      </c>
      <c r="W1061" t="s">
        <v>1394</v>
      </c>
      <c r="X1061" s="3">
        <v>5</v>
      </c>
      <c r="Y1061" t="s">
        <v>1395</v>
      </c>
      <c r="Z1061">
        <v>24843</v>
      </c>
      <c r="AA1061">
        <v>0.1</v>
      </c>
      <c r="AB1061">
        <v>27327.300000000003</v>
      </c>
    </row>
    <row r="1062" spans="1:28" x14ac:dyDescent="0.35">
      <c r="A1062" t="str">
        <f t="shared" si="96"/>
        <v>EMP1061</v>
      </c>
      <c r="B1062" t="str" cm="1">
        <f t="array" ref="B1062">_xlfn.IFS(
ROW()&lt;=421,"NA",
ROW()&lt;=781,"LATAM",
ROW()&lt;=1021,"EMEA",
TRUE,"APAC"
)</f>
        <v>APAC</v>
      </c>
      <c r="C1062" t="str">
        <f t="shared" si="97"/>
        <v>Singapore</v>
      </c>
      <c r="D1062" t="s">
        <v>44</v>
      </c>
      <c r="E1062" t="s">
        <v>380</v>
      </c>
      <c r="F1062" t="s">
        <v>395</v>
      </c>
      <c r="G1062" t="s">
        <v>28</v>
      </c>
      <c r="H1062" s="2">
        <v>42501</v>
      </c>
      <c r="I1062" t="s">
        <v>29</v>
      </c>
      <c r="J1062" t="s">
        <v>47</v>
      </c>
      <c r="K1062" t="str">
        <f t="shared" ca="1" si="100"/>
        <v>OK</v>
      </c>
      <c r="L1062" t="s">
        <v>230</v>
      </c>
      <c r="M1062">
        <v>5</v>
      </c>
      <c r="N1062" s="2">
        <v>46051</v>
      </c>
      <c r="O1062" s="2" t="s">
        <v>22</v>
      </c>
      <c r="P1062" s="4">
        <f t="shared" ca="1" si="98"/>
        <v>9</v>
      </c>
      <c r="Q1062" s="4" t="str">
        <f t="shared" ca="1" si="99"/>
        <v>6-10 Years</v>
      </c>
      <c r="R1062">
        <f t="shared" ca="1" si="101"/>
        <v>0</v>
      </c>
      <c r="S1062" t="s">
        <v>22</v>
      </c>
      <c r="T1062">
        <v>4</v>
      </c>
      <c r="U1062" t="s">
        <v>1394</v>
      </c>
      <c r="V1062" t="s">
        <v>1394</v>
      </c>
      <c r="W1062" t="s">
        <v>1394</v>
      </c>
      <c r="X1062" s="3">
        <v>1</v>
      </c>
      <c r="Y1062" t="s">
        <v>1397</v>
      </c>
      <c r="Z1062">
        <v>48321</v>
      </c>
      <c r="AA1062">
        <v>0.1</v>
      </c>
      <c r="AB1062">
        <v>53153.100000000006</v>
      </c>
    </row>
    <row r="1063" spans="1:28" x14ac:dyDescent="0.35">
      <c r="A1063" t="str">
        <f t="shared" si="96"/>
        <v>EMP1062</v>
      </c>
      <c r="B1063" t="str" cm="1">
        <f t="array" ref="B1063">_xlfn.IFS(
ROW()&lt;=421,"NA",
ROW()&lt;=781,"LATAM",
ROW()&lt;=1021,"EMEA",
TRUE,"APAC"
)</f>
        <v>APAC</v>
      </c>
      <c r="C1063" t="str">
        <f t="shared" si="97"/>
        <v>Singapore</v>
      </c>
      <c r="D1063" t="s">
        <v>35</v>
      </c>
      <c r="E1063" t="s">
        <v>69</v>
      </c>
      <c r="F1063" t="s">
        <v>126</v>
      </c>
      <c r="G1063" t="s">
        <v>28</v>
      </c>
      <c r="H1063" s="2">
        <v>42499</v>
      </c>
      <c r="I1063" t="s">
        <v>29</v>
      </c>
      <c r="J1063" t="s">
        <v>36</v>
      </c>
      <c r="K1063" t="str">
        <f t="shared" ca="1" si="100"/>
        <v>OK</v>
      </c>
      <c r="L1063" t="s">
        <v>127</v>
      </c>
      <c r="M1063">
        <v>3</v>
      </c>
      <c r="N1063" s="2">
        <v>46027</v>
      </c>
      <c r="O1063" s="2" t="s">
        <v>22</v>
      </c>
      <c r="P1063" s="4">
        <f t="shared" ca="1" si="98"/>
        <v>9</v>
      </c>
      <c r="Q1063" s="4" t="str">
        <f t="shared" ca="1" si="99"/>
        <v>6-10 Years</v>
      </c>
      <c r="R1063">
        <f t="shared" ca="1" si="101"/>
        <v>0</v>
      </c>
      <c r="S1063" t="s">
        <v>22</v>
      </c>
      <c r="T1063">
        <v>3</v>
      </c>
      <c r="U1063" t="s">
        <v>1394</v>
      </c>
      <c r="V1063" t="s">
        <v>1394</v>
      </c>
      <c r="W1063" t="s">
        <v>1394</v>
      </c>
      <c r="X1063" s="3">
        <v>2</v>
      </c>
      <c r="Y1063" t="s">
        <v>1397</v>
      </c>
      <c r="Z1063">
        <v>120009</v>
      </c>
      <c r="AA1063">
        <v>0.2</v>
      </c>
      <c r="AB1063">
        <v>144010.79999999999</v>
      </c>
    </row>
    <row r="1064" spans="1:28" x14ac:dyDescent="0.35">
      <c r="A1064" t="str">
        <f t="shared" si="96"/>
        <v>EMP1063</v>
      </c>
      <c r="B1064" t="str" cm="1">
        <f t="array" ref="B1064">_xlfn.IFS(
ROW()&lt;=421,"NA",
ROW()&lt;=781,"LATAM",
ROW()&lt;=1021,"EMEA",
TRUE,"APAC"
)</f>
        <v>APAC</v>
      </c>
      <c r="C1064" t="str">
        <f t="shared" si="97"/>
        <v>Singapore</v>
      </c>
      <c r="D1064" t="s">
        <v>38</v>
      </c>
      <c r="E1064" t="s">
        <v>380</v>
      </c>
      <c r="F1064" t="s">
        <v>522</v>
      </c>
      <c r="G1064" t="s">
        <v>28</v>
      </c>
      <c r="H1064" s="2">
        <v>42498</v>
      </c>
      <c r="I1064" t="s">
        <v>29</v>
      </c>
      <c r="J1064" t="s">
        <v>39</v>
      </c>
      <c r="K1064" t="str">
        <f t="shared" ca="1" si="100"/>
        <v>OK</v>
      </c>
      <c r="L1064" t="s">
        <v>1281</v>
      </c>
      <c r="M1064">
        <v>5</v>
      </c>
      <c r="N1064" s="2">
        <v>46035</v>
      </c>
      <c r="O1064" s="2" t="s">
        <v>22</v>
      </c>
      <c r="P1064" s="4">
        <f t="shared" ca="1" si="98"/>
        <v>9</v>
      </c>
      <c r="Q1064" s="4" t="str">
        <f t="shared" ca="1" si="99"/>
        <v>6-10 Years</v>
      </c>
      <c r="R1064">
        <f t="shared" ca="1" si="101"/>
        <v>0</v>
      </c>
      <c r="S1064" t="s">
        <v>22</v>
      </c>
      <c r="T1064">
        <v>3</v>
      </c>
      <c r="U1064" t="s">
        <v>1394</v>
      </c>
      <c r="V1064" t="s">
        <v>1394</v>
      </c>
      <c r="W1064" t="s">
        <v>1394</v>
      </c>
      <c r="X1064" s="3">
        <v>4</v>
      </c>
      <c r="Y1064" t="s">
        <v>1395</v>
      </c>
      <c r="Z1064">
        <v>20863</v>
      </c>
      <c r="AA1064">
        <v>0.1</v>
      </c>
      <c r="AB1064">
        <v>22949.300000000003</v>
      </c>
    </row>
    <row r="1065" spans="1:28" x14ac:dyDescent="0.35">
      <c r="A1065" t="str">
        <f t="shared" si="96"/>
        <v>EMP1064</v>
      </c>
      <c r="B1065" t="str" cm="1">
        <f t="array" ref="B1065">_xlfn.IFS(
ROW()&lt;=421,"NA",
ROW()&lt;=781,"LATAM",
ROW()&lt;=1021,"EMEA",
TRUE,"APAC"
)</f>
        <v>APAC</v>
      </c>
      <c r="C1065" t="str">
        <f t="shared" si="97"/>
        <v>Singapore</v>
      </c>
      <c r="D1065" t="s">
        <v>38</v>
      </c>
      <c r="E1065" t="s">
        <v>145</v>
      </c>
      <c r="F1065" t="s">
        <v>219</v>
      </c>
      <c r="G1065" t="s">
        <v>28</v>
      </c>
      <c r="H1065" s="2">
        <v>42485</v>
      </c>
      <c r="I1065" t="s">
        <v>29</v>
      </c>
      <c r="J1065" t="s">
        <v>39</v>
      </c>
      <c r="K1065" t="str">
        <f t="shared" ca="1" si="100"/>
        <v>OK</v>
      </c>
      <c r="L1065" t="s">
        <v>220</v>
      </c>
      <c r="M1065">
        <v>4</v>
      </c>
      <c r="N1065" s="2">
        <v>46040</v>
      </c>
      <c r="O1065" s="2" t="s">
        <v>22</v>
      </c>
      <c r="P1065" s="4">
        <f t="shared" ca="1" si="98"/>
        <v>9</v>
      </c>
      <c r="Q1065" s="4" t="str">
        <f t="shared" ca="1" si="99"/>
        <v>6-10 Years</v>
      </c>
      <c r="R1065">
        <f t="shared" ca="1" si="101"/>
        <v>0</v>
      </c>
      <c r="S1065" t="s">
        <v>22</v>
      </c>
      <c r="T1065">
        <v>4</v>
      </c>
      <c r="U1065" t="s">
        <v>1394</v>
      </c>
      <c r="V1065" t="s">
        <v>1394</v>
      </c>
      <c r="W1065" t="s">
        <v>1394</v>
      </c>
      <c r="X1065" s="3">
        <v>2</v>
      </c>
      <c r="Y1065" t="s">
        <v>1397</v>
      </c>
      <c r="Z1065">
        <v>77013</v>
      </c>
      <c r="AA1065">
        <v>0.15</v>
      </c>
      <c r="AB1065">
        <v>88564.95</v>
      </c>
    </row>
    <row r="1066" spans="1:28" x14ac:dyDescent="0.35">
      <c r="A1066" t="str">
        <f t="shared" si="96"/>
        <v>EMP1065</v>
      </c>
      <c r="B1066" t="str" cm="1">
        <f t="array" ref="B1066">_xlfn.IFS(
ROW()&lt;=421,"NA",
ROW()&lt;=781,"LATAM",
ROW()&lt;=1021,"EMEA",
TRUE,"APAC"
)</f>
        <v>APAC</v>
      </c>
      <c r="C1066" t="str">
        <f t="shared" si="97"/>
        <v>Singapore</v>
      </c>
      <c r="D1066" t="s">
        <v>32</v>
      </c>
      <c r="E1066" t="s">
        <v>380</v>
      </c>
      <c r="F1066" t="s">
        <v>454</v>
      </c>
      <c r="G1066" t="s">
        <v>28</v>
      </c>
      <c r="H1066" s="2">
        <v>42484</v>
      </c>
      <c r="I1066" t="s">
        <v>29</v>
      </c>
      <c r="J1066" t="s">
        <v>33</v>
      </c>
      <c r="K1066" t="str">
        <f t="shared" ca="1" si="100"/>
        <v>OK</v>
      </c>
      <c r="L1066" t="s">
        <v>876</v>
      </c>
      <c r="M1066">
        <v>5</v>
      </c>
      <c r="N1066" s="2">
        <v>46036</v>
      </c>
      <c r="O1066" s="2" t="s">
        <v>22</v>
      </c>
      <c r="P1066" s="4">
        <f t="shared" ca="1" si="98"/>
        <v>9</v>
      </c>
      <c r="Q1066" s="4" t="str">
        <f t="shared" ca="1" si="99"/>
        <v>6-10 Years</v>
      </c>
      <c r="R1066">
        <f t="shared" ca="1" si="101"/>
        <v>0</v>
      </c>
      <c r="S1066" t="s">
        <v>22</v>
      </c>
      <c r="T1066">
        <v>4</v>
      </c>
      <c r="U1066" t="s">
        <v>1396</v>
      </c>
      <c r="V1066" t="s">
        <v>1394</v>
      </c>
      <c r="W1066" t="s">
        <v>1394</v>
      </c>
      <c r="X1066" s="3">
        <v>3</v>
      </c>
      <c r="Y1066" t="s">
        <v>1398</v>
      </c>
      <c r="Z1066">
        <v>31956</v>
      </c>
      <c r="AA1066">
        <v>0.1</v>
      </c>
      <c r="AB1066">
        <v>35151.600000000006</v>
      </c>
    </row>
    <row r="1067" spans="1:28" x14ac:dyDescent="0.35">
      <c r="A1067" t="str">
        <f t="shared" si="96"/>
        <v>EMP1066</v>
      </c>
      <c r="B1067" t="str" cm="1">
        <f t="array" ref="B1067">_xlfn.IFS(
ROW()&lt;=421,"NA",
ROW()&lt;=781,"LATAM",
ROW()&lt;=1021,"EMEA",
TRUE,"APAC"
)</f>
        <v>APAC</v>
      </c>
      <c r="C1067" t="str">
        <f t="shared" si="97"/>
        <v>Singapore</v>
      </c>
      <c r="D1067" t="s">
        <v>32</v>
      </c>
      <c r="E1067" t="s">
        <v>380</v>
      </c>
      <c r="F1067" t="s">
        <v>564</v>
      </c>
      <c r="G1067" t="s">
        <v>28</v>
      </c>
      <c r="H1067" s="2">
        <v>42474</v>
      </c>
      <c r="I1067" t="s">
        <v>57</v>
      </c>
      <c r="J1067" t="s">
        <v>33</v>
      </c>
      <c r="K1067" t="str">
        <f t="shared" ca="1" si="100"/>
        <v>OK</v>
      </c>
      <c r="L1067" t="s">
        <v>1010</v>
      </c>
      <c r="M1067">
        <v>5</v>
      </c>
      <c r="N1067" s="2">
        <v>45993</v>
      </c>
      <c r="O1067" s="2">
        <v>43228</v>
      </c>
      <c r="P1067" s="4">
        <f t="shared" ca="1" si="98"/>
        <v>2</v>
      </c>
      <c r="Q1067" s="4" t="str">
        <f t="shared" ca="1" si="99"/>
        <v>0-2 Years</v>
      </c>
      <c r="R1067">
        <f t="shared" ca="1" si="101"/>
        <v>1</v>
      </c>
      <c r="S1067" t="s">
        <v>23</v>
      </c>
      <c r="T1067">
        <v>3</v>
      </c>
      <c r="U1067" t="s">
        <v>1394</v>
      </c>
      <c r="V1067" t="s">
        <v>1396</v>
      </c>
      <c r="W1067" t="s">
        <v>1394</v>
      </c>
      <c r="X1067" s="3">
        <v>4</v>
      </c>
      <c r="Y1067" t="s">
        <v>1395</v>
      </c>
      <c r="Z1067">
        <v>41192</v>
      </c>
      <c r="AA1067">
        <v>0.1</v>
      </c>
      <c r="AB1067">
        <v>45311.200000000004</v>
      </c>
    </row>
    <row r="1068" spans="1:28" x14ac:dyDescent="0.35">
      <c r="A1068" t="str">
        <f t="shared" si="96"/>
        <v>EMP1067</v>
      </c>
      <c r="B1068" t="str" cm="1">
        <f t="array" ref="B1068">_xlfn.IFS(
ROW()&lt;=421,"NA",
ROW()&lt;=781,"LATAM",
ROW()&lt;=1021,"EMEA",
TRUE,"APAC"
)</f>
        <v>APAC</v>
      </c>
      <c r="C1068" t="str">
        <f t="shared" si="97"/>
        <v>Singapore</v>
      </c>
      <c r="D1068" t="s">
        <v>38</v>
      </c>
      <c r="E1068" t="s">
        <v>380</v>
      </c>
      <c r="F1068" t="s">
        <v>450</v>
      </c>
      <c r="G1068" t="s">
        <v>28</v>
      </c>
      <c r="H1068" s="2">
        <v>42473</v>
      </c>
      <c r="I1068" t="s">
        <v>29</v>
      </c>
      <c r="J1068" t="s">
        <v>39</v>
      </c>
      <c r="K1068" t="str">
        <f t="shared" ca="1" si="100"/>
        <v>OK</v>
      </c>
      <c r="L1068" t="s">
        <v>451</v>
      </c>
      <c r="M1068">
        <v>5</v>
      </c>
      <c r="N1068" s="2">
        <v>46008</v>
      </c>
      <c r="O1068" s="2" t="s">
        <v>22</v>
      </c>
      <c r="P1068" s="4">
        <f t="shared" ca="1" si="98"/>
        <v>9</v>
      </c>
      <c r="Q1068" s="4" t="str">
        <f t="shared" ca="1" si="99"/>
        <v>6-10 Years</v>
      </c>
      <c r="R1068">
        <f t="shared" ca="1" si="101"/>
        <v>0</v>
      </c>
      <c r="S1068" t="s">
        <v>22</v>
      </c>
      <c r="T1068">
        <v>2</v>
      </c>
      <c r="U1068" t="s">
        <v>1394</v>
      </c>
      <c r="V1068" t="s">
        <v>1394</v>
      </c>
      <c r="W1068" t="s">
        <v>1394</v>
      </c>
      <c r="X1068" s="3">
        <v>2</v>
      </c>
      <c r="Y1068" t="s">
        <v>1397</v>
      </c>
      <c r="Z1068">
        <v>27198</v>
      </c>
      <c r="AA1068">
        <v>0.1</v>
      </c>
      <c r="AB1068">
        <v>29917.800000000003</v>
      </c>
    </row>
    <row r="1069" spans="1:28" x14ac:dyDescent="0.35">
      <c r="A1069" t="str">
        <f t="shared" si="96"/>
        <v>EMP1068</v>
      </c>
      <c r="B1069" t="str" cm="1">
        <f t="array" ref="B1069">_xlfn.IFS(
ROW()&lt;=421,"NA",
ROW()&lt;=781,"LATAM",
ROW()&lt;=1021,"EMEA",
TRUE,"APAC"
)</f>
        <v>APAC</v>
      </c>
      <c r="C1069" t="str">
        <f t="shared" si="97"/>
        <v>Singapore</v>
      </c>
      <c r="D1069" t="s">
        <v>38</v>
      </c>
      <c r="E1069" t="s">
        <v>380</v>
      </c>
      <c r="F1069" t="s">
        <v>933</v>
      </c>
      <c r="G1069" t="s">
        <v>28</v>
      </c>
      <c r="H1069" s="2">
        <v>42472</v>
      </c>
      <c r="I1069" t="s">
        <v>29</v>
      </c>
      <c r="J1069" t="s">
        <v>39</v>
      </c>
      <c r="K1069" t="str">
        <f t="shared" ca="1" si="100"/>
        <v>OK</v>
      </c>
      <c r="L1069" t="s">
        <v>1021</v>
      </c>
      <c r="M1069">
        <v>5</v>
      </c>
      <c r="N1069" s="2">
        <v>46062</v>
      </c>
      <c r="O1069" s="2" t="s">
        <v>22</v>
      </c>
      <c r="P1069" s="4">
        <f t="shared" ca="1" si="98"/>
        <v>9</v>
      </c>
      <c r="Q1069" s="4" t="str">
        <f t="shared" ca="1" si="99"/>
        <v>6-10 Years</v>
      </c>
      <c r="R1069">
        <f t="shared" ca="1" si="101"/>
        <v>0</v>
      </c>
      <c r="S1069" t="s">
        <v>22</v>
      </c>
      <c r="T1069">
        <v>5</v>
      </c>
      <c r="U1069" t="s">
        <v>1394</v>
      </c>
      <c r="V1069" t="s">
        <v>1394</v>
      </c>
      <c r="W1069" t="s">
        <v>1394</v>
      </c>
      <c r="X1069" s="3">
        <v>4</v>
      </c>
      <c r="Y1069" t="s">
        <v>1395</v>
      </c>
      <c r="Z1069">
        <v>32649</v>
      </c>
      <c r="AA1069">
        <v>0.1</v>
      </c>
      <c r="AB1069">
        <v>35913.9</v>
      </c>
    </row>
    <row r="1070" spans="1:28" x14ac:dyDescent="0.35">
      <c r="A1070" t="str">
        <f t="shared" si="96"/>
        <v>EMP1069</v>
      </c>
      <c r="B1070" t="str" cm="1">
        <f t="array" ref="B1070">_xlfn.IFS(
ROW()&lt;=421,"NA",
ROW()&lt;=781,"LATAM",
ROW()&lt;=1021,"EMEA",
TRUE,"APAC"
)</f>
        <v>APAC</v>
      </c>
      <c r="C1070" t="str">
        <f t="shared" si="97"/>
        <v>Singapore</v>
      </c>
      <c r="D1070" t="s">
        <v>44</v>
      </c>
      <c r="E1070" t="s">
        <v>380</v>
      </c>
      <c r="F1070" t="s">
        <v>786</v>
      </c>
      <c r="G1070" t="s">
        <v>28</v>
      </c>
      <c r="H1070" s="2">
        <v>42472</v>
      </c>
      <c r="I1070" t="s">
        <v>29</v>
      </c>
      <c r="J1070" t="s">
        <v>47</v>
      </c>
      <c r="K1070" t="str">
        <f t="shared" ca="1" si="100"/>
        <v>OK</v>
      </c>
      <c r="L1070" t="s">
        <v>1051</v>
      </c>
      <c r="M1070">
        <v>5</v>
      </c>
      <c r="N1070" s="2">
        <v>46055</v>
      </c>
      <c r="O1070" s="2" t="s">
        <v>22</v>
      </c>
      <c r="P1070" s="4">
        <f t="shared" ca="1" si="98"/>
        <v>9</v>
      </c>
      <c r="Q1070" s="4" t="str">
        <f t="shared" ca="1" si="99"/>
        <v>6-10 Years</v>
      </c>
      <c r="R1070">
        <f t="shared" ca="1" si="101"/>
        <v>0</v>
      </c>
      <c r="S1070" t="s">
        <v>22</v>
      </c>
      <c r="T1070">
        <v>3</v>
      </c>
      <c r="U1070" t="s">
        <v>1394</v>
      </c>
      <c r="V1070" t="s">
        <v>1394</v>
      </c>
      <c r="W1070" t="s">
        <v>1394</v>
      </c>
      <c r="X1070" s="3">
        <v>2</v>
      </c>
      <c r="Y1070" t="s">
        <v>1397</v>
      </c>
      <c r="Z1070">
        <v>31472</v>
      </c>
      <c r="AA1070">
        <v>0.1</v>
      </c>
      <c r="AB1070">
        <v>34619.200000000004</v>
      </c>
    </row>
    <row r="1071" spans="1:28" x14ac:dyDescent="0.35">
      <c r="A1071" t="str">
        <f t="shared" si="96"/>
        <v>EMP1070</v>
      </c>
      <c r="B1071" t="str" cm="1">
        <f t="array" ref="B1071">_xlfn.IFS(
ROW()&lt;=421,"NA",
ROW()&lt;=781,"LATAM",
ROW()&lt;=1021,"EMEA",
TRUE,"APAC"
)</f>
        <v>APAC</v>
      </c>
      <c r="C1071" t="str">
        <f t="shared" si="97"/>
        <v>Singapore</v>
      </c>
      <c r="D1071" t="s">
        <v>41</v>
      </c>
      <c r="E1071" t="s">
        <v>380</v>
      </c>
      <c r="F1071" t="s">
        <v>442</v>
      </c>
      <c r="G1071" t="s">
        <v>28</v>
      </c>
      <c r="H1071" s="2">
        <v>42472</v>
      </c>
      <c r="I1071" t="s">
        <v>29</v>
      </c>
      <c r="J1071" t="s">
        <v>42</v>
      </c>
      <c r="K1071" t="str">
        <f t="shared" ca="1" si="100"/>
        <v>OK</v>
      </c>
      <c r="L1071" t="s">
        <v>1180</v>
      </c>
      <c r="M1071">
        <v>5</v>
      </c>
      <c r="N1071" s="2">
        <v>46062</v>
      </c>
      <c r="O1071" s="2" t="s">
        <v>22</v>
      </c>
      <c r="P1071" s="4">
        <f t="shared" ca="1" si="98"/>
        <v>9</v>
      </c>
      <c r="Q1071" s="4" t="str">
        <f t="shared" ca="1" si="99"/>
        <v>6-10 Years</v>
      </c>
      <c r="R1071">
        <f t="shared" ca="1" si="101"/>
        <v>0</v>
      </c>
      <c r="S1071" t="s">
        <v>22</v>
      </c>
      <c r="T1071">
        <v>3</v>
      </c>
      <c r="U1071" t="s">
        <v>1394</v>
      </c>
      <c r="V1071" t="s">
        <v>1396</v>
      </c>
      <c r="W1071" t="s">
        <v>1394</v>
      </c>
      <c r="X1071" s="3">
        <v>4</v>
      </c>
      <c r="Y1071" t="s">
        <v>1395</v>
      </c>
      <c r="Z1071">
        <v>32396</v>
      </c>
      <c r="AA1071">
        <v>0.1</v>
      </c>
      <c r="AB1071">
        <v>35635.600000000006</v>
      </c>
    </row>
    <row r="1072" spans="1:28" x14ac:dyDescent="0.35">
      <c r="A1072" t="str">
        <f t="shared" si="96"/>
        <v>EMP1071</v>
      </c>
      <c r="B1072" t="str" cm="1">
        <f t="array" ref="B1072">_xlfn.IFS(
ROW()&lt;=421,"NA",
ROW()&lt;=781,"LATAM",
ROW()&lt;=1021,"EMEA",
TRUE,"APAC"
)</f>
        <v>APAC</v>
      </c>
      <c r="C1072" t="str">
        <f t="shared" si="97"/>
        <v>Singapore</v>
      </c>
      <c r="D1072" t="s">
        <v>26</v>
      </c>
      <c r="E1072" t="s">
        <v>380</v>
      </c>
      <c r="F1072" t="s">
        <v>772</v>
      </c>
      <c r="G1072" t="s">
        <v>28</v>
      </c>
      <c r="H1072" s="2">
        <v>42468</v>
      </c>
      <c r="I1072" t="s">
        <v>29</v>
      </c>
      <c r="J1072" t="s">
        <v>30</v>
      </c>
      <c r="K1072" t="str">
        <f t="shared" ca="1" si="100"/>
        <v>OK</v>
      </c>
      <c r="L1072" t="s">
        <v>1371</v>
      </c>
      <c r="M1072">
        <v>5</v>
      </c>
      <c r="N1072" s="2">
        <v>46014</v>
      </c>
      <c r="O1072" s="2" t="s">
        <v>22</v>
      </c>
      <c r="P1072" s="4">
        <f t="shared" ca="1" si="98"/>
        <v>9</v>
      </c>
      <c r="Q1072" s="4" t="str">
        <f t="shared" ca="1" si="99"/>
        <v>6-10 Years</v>
      </c>
      <c r="R1072">
        <f t="shared" ca="1" si="101"/>
        <v>0</v>
      </c>
      <c r="S1072" t="s">
        <v>22</v>
      </c>
      <c r="T1072">
        <v>3</v>
      </c>
      <c r="U1072" t="s">
        <v>1394</v>
      </c>
      <c r="V1072" t="s">
        <v>1394</v>
      </c>
      <c r="W1072" t="s">
        <v>1394</v>
      </c>
      <c r="X1072" s="3">
        <v>3</v>
      </c>
      <c r="Y1072" t="s">
        <v>1398</v>
      </c>
      <c r="Z1072">
        <v>37960</v>
      </c>
      <c r="AA1072">
        <v>0.1</v>
      </c>
      <c r="AB1072">
        <v>41756</v>
      </c>
    </row>
    <row r="1073" spans="1:28" x14ac:dyDescent="0.35">
      <c r="A1073" t="str">
        <f t="shared" si="96"/>
        <v>EMP1072</v>
      </c>
      <c r="B1073" t="str" cm="1">
        <f t="array" ref="B1073">_xlfn.IFS(
ROW()&lt;=421,"NA",
ROW()&lt;=781,"LATAM",
ROW()&lt;=1021,"EMEA",
TRUE,"APAC"
)</f>
        <v>APAC</v>
      </c>
      <c r="C1073" t="str">
        <f t="shared" si="97"/>
        <v>Singapore</v>
      </c>
      <c r="D1073" t="s">
        <v>32</v>
      </c>
      <c r="E1073" t="s">
        <v>380</v>
      </c>
      <c r="F1073" t="s">
        <v>484</v>
      </c>
      <c r="G1073" t="s">
        <v>53</v>
      </c>
      <c r="H1073" s="2">
        <v>42467</v>
      </c>
      <c r="I1073" t="s">
        <v>29</v>
      </c>
      <c r="J1073" t="s">
        <v>33</v>
      </c>
      <c r="K1073" t="str">
        <f t="shared" ca="1" si="100"/>
        <v>OK</v>
      </c>
      <c r="L1073" t="s">
        <v>1271</v>
      </c>
      <c r="M1073">
        <v>5</v>
      </c>
      <c r="N1073" s="2">
        <v>46058</v>
      </c>
      <c r="O1073" s="2" t="s">
        <v>22</v>
      </c>
      <c r="P1073" s="4">
        <f t="shared" ca="1" si="98"/>
        <v>9</v>
      </c>
      <c r="Q1073" s="4" t="str">
        <f t="shared" ca="1" si="99"/>
        <v>6-10 Years</v>
      </c>
      <c r="R1073">
        <f t="shared" ca="1" si="101"/>
        <v>0</v>
      </c>
      <c r="S1073" t="s">
        <v>22</v>
      </c>
      <c r="T1073">
        <v>4</v>
      </c>
      <c r="U1073" t="s">
        <v>1394</v>
      </c>
      <c r="V1073" t="s">
        <v>1394</v>
      </c>
      <c r="W1073" t="s">
        <v>1394</v>
      </c>
      <c r="X1073" s="3">
        <v>2</v>
      </c>
      <c r="Y1073" t="s">
        <v>1397</v>
      </c>
      <c r="Z1073">
        <v>38545</v>
      </c>
      <c r="AA1073">
        <v>0.1</v>
      </c>
      <c r="AB1073">
        <v>42399.5</v>
      </c>
    </row>
    <row r="1074" spans="1:28" x14ac:dyDescent="0.35">
      <c r="A1074" t="str">
        <f t="shared" si="96"/>
        <v>EMP1073</v>
      </c>
      <c r="B1074" t="str" cm="1">
        <f t="array" ref="B1074">_xlfn.IFS(
ROW()&lt;=421,"NA",
ROW()&lt;=781,"LATAM",
ROW()&lt;=1021,"EMEA",
TRUE,"APAC"
)</f>
        <v>APAC</v>
      </c>
      <c r="C1074" t="str">
        <f t="shared" si="97"/>
        <v>Singapore</v>
      </c>
      <c r="D1074" t="s">
        <v>41</v>
      </c>
      <c r="E1074" t="s">
        <v>380</v>
      </c>
      <c r="F1074" t="s">
        <v>553</v>
      </c>
      <c r="G1074" t="s">
        <v>28</v>
      </c>
      <c r="H1074" s="2">
        <v>42466</v>
      </c>
      <c r="I1074" t="s">
        <v>29</v>
      </c>
      <c r="J1074" t="s">
        <v>42</v>
      </c>
      <c r="K1074" t="str">
        <f t="shared" ca="1" si="100"/>
        <v>OK</v>
      </c>
      <c r="L1074" t="s">
        <v>787</v>
      </c>
      <c r="M1074">
        <v>5</v>
      </c>
      <c r="N1074" s="2">
        <v>46008</v>
      </c>
      <c r="O1074" s="2" t="s">
        <v>22</v>
      </c>
      <c r="P1074" s="4">
        <f t="shared" ca="1" si="98"/>
        <v>9</v>
      </c>
      <c r="Q1074" s="4" t="str">
        <f t="shared" ca="1" si="99"/>
        <v>6-10 Years</v>
      </c>
      <c r="R1074">
        <f t="shared" ca="1" si="101"/>
        <v>0</v>
      </c>
      <c r="S1074" t="s">
        <v>22</v>
      </c>
      <c r="T1074">
        <v>3</v>
      </c>
      <c r="U1074" t="s">
        <v>1394</v>
      </c>
      <c r="V1074" t="s">
        <v>1394</v>
      </c>
      <c r="W1074" t="s">
        <v>1394</v>
      </c>
      <c r="X1074" s="3">
        <v>2</v>
      </c>
      <c r="Y1074" t="s">
        <v>1397</v>
      </c>
      <c r="Z1074">
        <v>45979</v>
      </c>
      <c r="AA1074">
        <v>0.1</v>
      </c>
      <c r="AB1074">
        <v>50576.9</v>
      </c>
    </row>
    <row r="1075" spans="1:28" x14ac:dyDescent="0.35">
      <c r="A1075" t="str">
        <f t="shared" si="96"/>
        <v>EMP1074</v>
      </c>
      <c r="B1075" t="str" cm="1">
        <f t="array" ref="B1075">_xlfn.IFS(
ROW()&lt;=421,"NA",
ROW()&lt;=781,"LATAM",
ROW()&lt;=1021,"EMEA",
TRUE,"APAC"
)</f>
        <v>APAC</v>
      </c>
      <c r="C1075" t="str">
        <f t="shared" si="97"/>
        <v>Singapore</v>
      </c>
      <c r="D1075" t="s">
        <v>38</v>
      </c>
      <c r="E1075" t="s">
        <v>69</v>
      </c>
      <c r="F1075" t="s">
        <v>101</v>
      </c>
      <c r="G1075" t="s">
        <v>28</v>
      </c>
      <c r="H1075" s="2">
        <v>42457</v>
      </c>
      <c r="I1075" t="s">
        <v>29</v>
      </c>
      <c r="J1075" t="s">
        <v>39</v>
      </c>
      <c r="K1075" t="str">
        <f t="shared" ca="1" si="100"/>
        <v>OK</v>
      </c>
      <c r="L1075" t="s">
        <v>102</v>
      </c>
      <c r="M1075">
        <v>3</v>
      </c>
      <c r="N1075" s="2">
        <v>46052</v>
      </c>
      <c r="O1075" s="2" t="s">
        <v>22</v>
      </c>
      <c r="P1075" s="4">
        <f t="shared" ca="1" si="98"/>
        <v>9</v>
      </c>
      <c r="Q1075" s="4" t="str">
        <f t="shared" ca="1" si="99"/>
        <v>6-10 Years</v>
      </c>
      <c r="R1075">
        <f t="shared" ca="1" si="101"/>
        <v>0</v>
      </c>
      <c r="S1075" t="s">
        <v>22</v>
      </c>
      <c r="T1075">
        <v>4</v>
      </c>
      <c r="U1075" t="s">
        <v>1396</v>
      </c>
      <c r="V1075" t="s">
        <v>1394</v>
      </c>
      <c r="W1075" t="s">
        <v>1394</v>
      </c>
      <c r="X1075" s="3">
        <v>2</v>
      </c>
      <c r="Y1075" t="s">
        <v>1397</v>
      </c>
      <c r="Z1075">
        <v>106436</v>
      </c>
      <c r="AA1075">
        <v>0.2</v>
      </c>
      <c r="AB1075">
        <v>127723.2</v>
      </c>
    </row>
    <row r="1076" spans="1:28" x14ac:dyDescent="0.35">
      <c r="A1076" t="str">
        <f t="shared" si="96"/>
        <v>EMP1075</v>
      </c>
      <c r="B1076" t="str" cm="1">
        <f t="array" ref="B1076">_xlfn.IFS(
ROW()&lt;=421,"NA",
ROW()&lt;=781,"LATAM",
ROW()&lt;=1021,"EMEA",
TRUE,"APAC"
)</f>
        <v>APAC</v>
      </c>
      <c r="C1076" t="str">
        <f t="shared" si="97"/>
        <v>Singapore</v>
      </c>
      <c r="D1076" t="s">
        <v>41</v>
      </c>
      <c r="E1076" t="s">
        <v>380</v>
      </c>
      <c r="F1076" t="s">
        <v>545</v>
      </c>
      <c r="G1076" t="s">
        <v>28</v>
      </c>
      <c r="H1076" s="2">
        <v>42457</v>
      </c>
      <c r="I1076" t="s">
        <v>29</v>
      </c>
      <c r="J1076" t="s">
        <v>42</v>
      </c>
      <c r="K1076" t="str">
        <f t="shared" ca="1" si="100"/>
        <v>OK</v>
      </c>
      <c r="L1076" t="s">
        <v>546</v>
      </c>
      <c r="M1076">
        <v>5</v>
      </c>
      <c r="N1076" s="2">
        <v>46014</v>
      </c>
      <c r="O1076" s="2" t="s">
        <v>22</v>
      </c>
      <c r="P1076" s="4">
        <f t="shared" ca="1" si="98"/>
        <v>9</v>
      </c>
      <c r="Q1076" s="4" t="str">
        <f t="shared" ca="1" si="99"/>
        <v>6-10 Years</v>
      </c>
      <c r="R1076">
        <f t="shared" ca="1" si="101"/>
        <v>0</v>
      </c>
      <c r="S1076" t="s">
        <v>22</v>
      </c>
      <c r="T1076">
        <v>4</v>
      </c>
      <c r="U1076" t="s">
        <v>1394</v>
      </c>
      <c r="V1076" t="s">
        <v>1394</v>
      </c>
      <c r="W1076" t="s">
        <v>1394</v>
      </c>
      <c r="X1076" s="3">
        <v>4</v>
      </c>
      <c r="Y1076" t="s">
        <v>1395</v>
      </c>
      <c r="Z1076">
        <v>26926</v>
      </c>
      <c r="AA1076">
        <v>0.1</v>
      </c>
      <c r="AB1076">
        <v>29618.600000000002</v>
      </c>
    </row>
    <row r="1077" spans="1:28" x14ac:dyDescent="0.35">
      <c r="A1077" t="str">
        <f t="shared" si="96"/>
        <v>EMP1076</v>
      </c>
      <c r="B1077" t="str" cm="1">
        <f t="array" ref="B1077">_xlfn.IFS(
ROW()&lt;=421,"NA",
ROW()&lt;=781,"LATAM",
ROW()&lt;=1021,"EMEA",
TRUE,"APAC"
)</f>
        <v>APAC</v>
      </c>
      <c r="C1077" t="str">
        <f t="shared" si="97"/>
        <v>Singapore</v>
      </c>
      <c r="D1077" t="s">
        <v>38</v>
      </c>
      <c r="E1077" t="s">
        <v>380</v>
      </c>
      <c r="F1077" t="s">
        <v>510</v>
      </c>
      <c r="G1077" t="s">
        <v>28</v>
      </c>
      <c r="H1077" s="2">
        <v>42456</v>
      </c>
      <c r="I1077" t="s">
        <v>29</v>
      </c>
      <c r="J1077" t="s">
        <v>39</v>
      </c>
      <c r="K1077" t="str">
        <f t="shared" ca="1" si="100"/>
        <v>OK</v>
      </c>
      <c r="L1077" t="s">
        <v>878</v>
      </c>
      <c r="M1077">
        <v>5</v>
      </c>
      <c r="N1077" s="2">
        <v>46025</v>
      </c>
      <c r="O1077" s="2" t="s">
        <v>22</v>
      </c>
      <c r="P1077" s="4">
        <f t="shared" ca="1" si="98"/>
        <v>9</v>
      </c>
      <c r="Q1077" s="4" t="str">
        <f t="shared" ca="1" si="99"/>
        <v>6-10 Years</v>
      </c>
      <c r="R1077">
        <f t="shared" ca="1" si="101"/>
        <v>0</v>
      </c>
      <c r="S1077" t="s">
        <v>22</v>
      </c>
      <c r="T1077">
        <v>3</v>
      </c>
      <c r="U1077" t="s">
        <v>1394</v>
      </c>
      <c r="V1077" t="s">
        <v>1394</v>
      </c>
      <c r="W1077" t="s">
        <v>1394</v>
      </c>
      <c r="X1077" s="3">
        <v>2</v>
      </c>
      <c r="Y1077" t="s">
        <v>1397</v>
      </c>
      <c r="Z1077">
        <v>23873</v>
      </c>
      <c r="AA1077">
        <v>0.1</v>
      </c>
      <c r="AB1077">
        <v>26260.300000000003</v>
      </c>
    </row>
    <row r="1078" spans="1:28" x14ac:dyDescent="0.35">
      <c r="A1078" t="str">
        <f t="shared" si="96"/>
        <v>EMP1077</v>
      </c>
      <c r="B1078" t="str" cm="1">
        <f t="array" ref="B1078">_xlfn.IFS(
ROW()&lt;=421,"NA",
ROW()&lt;=781,"LATAM",
ROW()&lt;=1021,"EMEA",
TRUE,"APAC"
)</f>
        <v>APAC</v>
      </c>
      <c r="C1078" t="str">
        <f t="shared" si="97"/>
        <v>Singapore</v>
      </c>
      <c r="D1078" t="s">
        <v>44</v>
      </c>
      <c r="E1078" t="s">
        <v>145</v>
      </c>
      <c r="F1078" t="s">
        <v>185</v>
      </c>
      <c r="G1078" t="s">
        <v>28</v>
      </c>
      <c r="H1078" s="2">
        <v>42453</v>
      </c>
      <c r="I1078" t="s">
        <v>29</v>
      </c>
      <c r="J1078" t="s">
        <v>47</v>
      </c>
      <c r="K1078" t="str">
        <f t="shared" ca="1" si="100"/>
        <v>OK</v>
      </c>
      <c r="L1078" t="s">
        <v>253</v>
      </c>
      <c r="M1078">
        <v>4</v>
      </c>
      <c r="N1078" s="2">
        <v>46044</v>
      </c>
      <c r="O1078" s="2" t="s">
        <v>22</v>
      </c>
      <c r="P1078" s="4">
        <f t="shared" ca="1" si="98"/>
        <v>9</v>
      </c>
      <c r="Q1078" s="4" t="str">
        <f t="shared" ca="1" si="99"/>
        <v>6-10 Years</v>
      </c>
      <c r="R1078">
        <f t="shared" ca="1" si="101"/>
        <v>0</v>
      </c>
      <c r="S1078" t="s">
        <v>22</v>
      </c>
      <c r="T1078">
        <v>3</v>
      </c>
      <c r="U1078" t="s">
        <v>1394</v>
      </c>
      <c r="V1078" t="s">
        <v>1396</v>
      </c>
      <c r="W1078" t="s">
        <v>1396</v>
      </c>
      <c r="X1078" s="3">
        <v>4</v>
      </c>
      <c r="Y1078" t="s">
        <v>1395</v>
      </c>
      <c r="Z1078">
        <v>68959</v>
      </c>
      <c r="AA1078">
        <v>0.15</v>
      </c>
      <c r="AB1078">
        <v>79302.849999999991</v>
      </c>
    </row>
    <row r="1079" spans="1:28" x14ac:dyDescent="0.35">
      <c r="A1079" t="str">
        <f t="shared" si="96"/>
        <v>EMP1078</v>
      </c>
      <c r="B1079" t="str" cm="1">
        <f t="array" ref="B1079">_xlfn.IFS(
ROW()&lt;=421,"NA",
ROW()&lt;=781,"LATAM",
ROW()&lt;=1021,"EMEA",
TRUE,"APAC"
)</f>
        <v>APAC</v>
      </c>
      <c r="C1079" t="str">
        <f t="shared" si="97"/>
        <v>Singapore</v>
      </c>
      <c r="D1079" t="s">
        <v>32</v>
      </c>
      <c r="E1079" t="s">
        <v>380</v>
      </c>
      <c r="F1079" t="s">
        <v>381</v>
      </c>
      <c r="G1079" t="s">
        <v>28</v>
      </c>
      <c r="H1079" s="2">
        <v>42448</v>
      </c>
      <c r="I1079" t="s">
        <v>29</v>
      </c>
      <c r="J1079" t="s">
        <v>33</v>
      </c>
      <c r="K1079" t="str">
        <f t="shared" ca="1" si="100"/>
        <v>OK</v>
      </c>
      <c r="L1079" t="s">
        <v>1173</v>
      </c>
      <c r="M1079">
        <v>5</v>
      </c>
      <c r="N1079" s="2">
        <v>46069</v>
      </c>
      <c r="O1079" s="2" t="s">
        <v>22</v>
      </c>
      <c r="P1079" s="4">
        <f t="shared" ca="1" si="98"/>
        <v>9</v>
      </c>
      <c r="Q1079" s="4" t="str">
        <f t="shared" ca="1" si="99"/>
        <v>6-10 Years</v>
      </c>
      <c r="R1079">
        <f t="shared" ca="1" si="101"/>
        <v>0</v>
      </c>
      <c r="S1079" t="s">
        <v>22</v>
      </c>
      <c r="T1079">
        <v>4</v>
      </c>
      <c r="U1079" t="s">
        <v>1394</v>
      </c>
      <c r="V1079" t="s">
        <v>1394</v>
      </c>
      <c r="W1079" t="s">
        <v>1394</v>
      </c>
      <c r="X1079" s="3">
        <v>1</v>
      </c>
      <c r="Y1079" t="s">
        <v>1397</v>
      </c>
      <c r="Z1079">
        <v>31261</v>
      </c>
      <c r="AA1079">
        <v>0.1</v>
      </c>
      <c r="AB1079">
        <v>34387.100000000006</v>
      </c>
    </row>
    <row r="1080" spans="1:28" x14ac:dyDescent="0.35">
      <c r="A1080" t="str">
        <f t="shared" si="96"/>
        <v>EMP1079</v>
      </c>
      <c r="B1080" t="str" cm="1">
        <f t="array" ref="B1080">_xlfn.IFS(
ROW()&lt;=421,"NA",
ROW()&lt;=781,"LATAM",
ROW()&lt;=1021,"EMEA",
TRUE,"APAC"
)</f>
        <v>APAC</v>
      </c>
      <c r="C1080" t="str">
        <f t="shared" si="97"/>
        <v>Singapore</v>
      </c>
      <c r="D1080" t="s">
        <v>35</v>
      </c>
      <c r="E1080" t="s">
        <v>380</v>
      </c>
      <c r="F1080" t="s">
        <v>385</v>
      </c>
      <c r="G1080" t="s">
        <v>28</v>
      </c>
      <c r="H1080" s="2">
        <v>42443</v>
      </c>
      <c r="I1080" t="s">
        <v>29</v>
      </c>
      <c r="J1080" t="s">
        <v>36</v>
      </c>
      <c r="K1080" t="str">
        <f t="shared" ca="1" si="100"/>
        <v>OK</v>
      </c>
      <c r="L1080" t="s">
        <v>1380</v>
      </c>
      <c r="M1080">
        <v>5</v>
      </c>
      <c r="N1080" s="2">
        <v>46069</v>
      </c>
      <c r="O1080" s="2" t="s">
        <v>22</v>
      </c>
      <c r="P1080" s="4">
        <f t="shared" ca="1" si="98"/>
        <v>9</v>
      </c>
      <c r="Q1080" s="4" t="str">
        <f t="shared" ca="1" si="99"/>
        <v>6-10 Years</v>
      </c>
      <c r="R1080">
        <f t="shared" ca="1" si="101"/>
        <v>0</v>
      </c>
      <c r="S1080" t="s">
        <v>22</v>
      </c>
      <c r="T1080">
        <v>3</v>
      </c>
      <c r="U1080" t="s">
        <v>1394</v>
      </c>
      <c r="V1080" t="s">
        <v>1394</v>
      </c>
      <c r="W1080" t="s">
        <v>1394</v>
      </c>
      <c r="X1080" s="3">
        <v>3</v>
      </c>
      <c r="Y1080" t="s">
        <v>1398</v>
      </c>
      <c r="Z1080">
        <v>32132</v>
      </c>
      <c r="AA1080">
        <v>0.1</v>
      </c>
      <c r="AB1080">
        <v>35345.200000000004</v>
      </c>
    </row>
    <row r="1081" spans="1:28" x14ac:dyDescent="0.35">
      <c r="A1081" t="str">
        <f t="shared" si="96"/>
        <v>EMP1080</v>
      </c>
      <c r="B1081" t="str" cm="1">
        <f t="array" ref="B1081">_xlfn.IFS(
ROW()&lt;=421,"NA",
ROW()&lt;=781,"LATAM",
ROW()&lt;=1021,"EMEA",
TRUE,"APAC"
)</f>
        <v>APAC</v>
      </c>
      <c r="C1081" t="str">
        <f t="shared" si="97"/>
        <v>Singapore</v>
      </c>
      <c r="D1081" t="s">
        <v>41</v>
      </c>
      <c r="E1081" t="s">
        <v>380</v>
      </c>
      <c r="F1081" t="s">
        <v>623</v>
      </c>
      <c r="G1081" t="s">
        <v>28</v>
      </c>
      <c r="H1081" s="2">
        <v>42442</v>
      </c>
      <c r="I1081" t="s">
        <v>57</v>
      </c>
      <c r="J1081" t="s">
        <v>42</v>
      </c>
      <c r="K1081" t="str">
        <f t="shared" ca="1" si="100"/>
        <v>OK</v>
      </c>
      <c r="L1081" t="s">
        <v>1050</v>
      </c>
      <c r="M1081">
        <v>5</v>
      </c>
      <c r="N1081" s="2">
        <v>46005</v>
      </c>
      <c r="O1081" s="2">
        <v>42949</v>
      </c>
      <c r="P1081" s="4">
        <f t="shared" ca="1" si="98"/>
        <v>1</v>
      </c>
      <c r="Q1081" s="4" t="str">
        <f t="shared" ca="1" si="99"/>
        <v>0-2 Years</v>
      </c>
      <c r="R1081">
        <f t="shared" ca="1" si="101"/>
        <v>1</v>
      </c>
      <c r="S1081" t="s">
        <v>23</v>
      </c>
      <c r="T1081">
        <v>4</v>
      </c>
      <c r="U1081" t="s">
        <v>1394</v>
      </c>
      <c r="V1081" t="s">
        <v>1394</v>
      </c>
      <c r="W1081" t="s">
        <v>1394</v>
      </c>
      <c r="X1081" s="3">
        <v>4</v>
      </c>
      <c r="Y1081" t="s">
        <v>1395</v>
      </c>
      <c r="Z1081">
        <v>23459</v>
      </c>
      <c r="AA1081">
        <v>0.1</v>
      </c>
      <c r="AB1081">
        <v>25804.9</v>
      </c>
    </row>
    <row r="1082" spans="1:28" x14ac:dyDescent="0.35">
      <c r="A1082" t="str">
        <f t="shared" si="96"/>
        <v>EMP1081</v>
      </c>
      <c r="B1082" t="str" cm="1">
        <f t="array" ref="B1082">_xlfn.IFS(
ROW()&lt;=421,"NA",
ROW()&lt;=781,"LATAM",
ROW()&lt;=1021,"EMEA",
TRUE,"APAC"
)</f>
        <v>APAC</v>
      </c>
      <c r="C1082" t="str">
        <f t="shared" si="97"/>
        <v>Singapore</v>
      </c>
      <c r="D1082" t="s">
        <v>26</v>
      </c>
      <c r="E1082" t="s">
        <v>380</v>
      </c>
      <c r="F1082" t="s">
        <v>482</v>
      </c>
      <c r="G1082" t="s">
        <v>28</v>
      </c>
      <c r="H1082" s="2">
        <v>42440</v>
      </c>
      <c r="I1082" t="s">
        <v>29</v>
      </c>
      <c r="J1082" t="s">
        <v>30</v>
      </c>
      <c r="K1082" t="str">
        <f t="shared" ca="1" si="100"/>
        <v>OK</v>
      </c>
      <c r="L1082" t="s">
        <v>1379</v>
      </c>
      <c r="M1082">
        <v>5</v>
      </c>
      <c r="N1082" s="2">
        <v>45989</v>
      </c>
      <c r="O1082" s="2" t="s">
        <v>22</v>
      </c>
      <c r="P1082" s="4">
        <f t="shared" ca="1" si="98"/>
        <v>9</v>
      </c>
      <c r="Q1082" s="4" t="str">
        <f t="shared" ca="1" si="99"/>
        <v>6-10 Years</v>
      </c>
      <c r="R1082">
        <f t="shared" ca="1" si="101"/>
        <v>0</v>
      </c>
      <c r="S1082" t="s">
        <v>22</v>
      </c>
      <c r="T1082">
        <v>2</v>
      </c>
      <c r="U1082" t="s">
        <v>1394</v>
      </c>
      <c r="V1082" t="s">
        <v>1394</v>
      </c>
      <c r="W1082" t="s">
        <v>1394</v>
      </c>
      <c r="X1082" s="3">
        <v>5</v>
      </c>
      <c r="Y1082" t="s">
        <v>1395</v>
      </c>
      <c r="Z1082">
        <v>26221</v>
      </c>
      <c r="AA1082">
        <v>0.1</v>
      </c>
      <c r="AB1082">
        <v>28843.100000000002</v>
      </c>
    </row>
    <row r="1083" spans="1:28" x14ac:dyDescent="0.35">
      <c r="A1083" t="str">
        <f t="shared" si="96"/>
        <v>EMP1082</v>
      </c>
      <c r="B1083" t="str" cm="1">
        <f t="array" ref="B1083">_xlfn.IFS(
ROW()&lt;=421,"NA",
ROW()&lt;=781,"LATAM",
ROW()&lt;=1021,"EMEA",
TRUE,"APAC"
)</f>
        <v>APAC</v>
      </c>
      <c r="C1083" t="str">
        <f t="shared" si="97"/>
        <v>Singapore</v>
      </c>
      <c r="E1083" t="s">
        <v>380</v>
      </c>
      <c r="F1083" t="s">
        <v>983</v>
      </c>
      <c r="G1083" t="s">
        <v>28</v>
      </c>
      <c r="H1083" s="2">
        <v>42437</v>
      </c>
      <c r="I1083" t="s">
        <v>29</v>
      </c>
      <c r="J1083" t="s">
        <v>39</v>
      </c>
      <c r="K1083" t="str">
        <f t="shared" ca="1" si="100"/>
        <v>⚠ Review</v>
      </c>
      <c r="L1083" t="s">
        <v>984</v>
      </c>
      <c r="M1083">
        <v>5</v>
      </c>
      <c r="N1083" s="2">
        <v>46011</v>
      </c>
      <c r="O1083" s="2" t="s">
        <v>22</v>
      </c>
      <c r="P1083" s="4">
        <f t="shared" ca="1" si="98"/>
        <v>9</v>
      </c>
      <c r="Q1083" s="4" t="str">
        <f t="shared" ca="1" si="99"/>
        <v>6-10 Years</v>
      </c>
      <c r="R1083">
        <f t="shared" ca="1" si="101"/>
        <v>0</v>
      </c>
      <c r="S1083" t="s">
        <v>22</v>
      </c>
      <c r="T1083">
        <v>3</v>
      </c>
      <c r="U1083" t="s">
        <v>1394</v>
      </c>
      <c r="V1083" t="s">
        <v>1394</v>
      </c>
      <c r="W1083" t="s">
        <v>1394</v>
      </c>
      <c r="X1083" s="3">
        <v>4</v>
      </c>
      <c r="Y1083" t="s">
        <v>1395</v>
      </c>
      <c r="Z1083">
        <v>26873</v>
      </c>
      <c r="AA1083">
        <v>0.1</v>
      </c>
      <c r="AB1083">
        <v>29560.300000000003</v>
      </c>
    </row>
    <row r="1084" spans="1:28" x14ac:dyDescent="0.35">
      <c r="A1084" t="str">
        <f t="shared" si="96"/>
        <v>EMP1083</v>
      </c>
      <c r="B1084" t="str" cm="1">
        <f t="array" ref="B1084">_xlfn.IFS(
ROW()&lt;=421,"NA",
ROW()&lt;=781,"LATAM",
ROW()&lt;=1021,"EMEA",
TRUE,"APAC"
)</f>
        <v>APAC</v>
      </c>
      <c r="C1084" t="str">
        <f t="shared" si="97"/>
        <v>Singapore</v>
      </c>
      <c r="D1084" t="s">
        <v>32</v>
      </c>
      <c r="E1084" t="s">
        <v>380</v>
      </c>
      <c r="F1084" t="s">
        <v>460</v>
      </c>
      <c r="G1084" t="s">
        <v>28</v>
      </c>
      <c r="H1084" s="2">
        <v>42433</v>
      </c>
      <c r="I1084" t="s">
        <v>57</v>
      </c>
      <c r="J1084" t="s">
        <v>33</v>
      </c>
      <c r="K1084" t="str">
        <f t="shared" ca="1" si="100"/>
        <v>OK</v>
      </c>
      <c r="L1084" t="s">
        <v>952</v>
      </c>
      <c r="M1084">
        <v>5</v>
      </c>
      <c r="N1084" s="2">
        <v>46070</v>
      </c>
      <c r="O1084" s="2">
        <v>43612</v>
      </c>
      <c r="P1084" s="4">
        <f t="shared" ca="1" si="98"/>
        <v>3</v>
      </c>
      <c r="Q1084" s="4" t="str">
        <f t="shared" ca="1" si="99"/>
        <v>3-5 Years</v>
      </c>
      <c r="R1084">
        <f t="shared" ca="1" si="101"/>
        <v>0</v>
      </c>
      <c r="S1084" t="s">
        <v>24</v>
      </c>
      <c r="T1084">
        <v>4</v>
      </c>
      <c r="U1084" t="s">
        <v>1394</v>
      </c>
      <c r="V1084" t="s">
        <v>1394</v>
      </c>
      <c r="W1084" t="s">
        <v>1394</v>
      </c>
      <c r="X1084" s="3">
        <v>3</v>
      </c>
      <c r="Y1084" t="s">
        <v>1398</v>
      </c>
      <c r="Z1084">
        <v>32156</v>
      </c>
      <c r="AA1084">
        <v>0.1</v>
      </c>
      <c r="AB1084">
        <v>35371.600000000006</v>
      </c>
    </row>
    <row r="1085" spans="1:28" x14ac:dyDescent="0.35">
      <c r="A1085" t="str">
        <f t="shared" si="96"/>
        <v>EMP1084</v>
      </c>
      <c r="B1085" t="str" cm="1">
        <f t="array" ref="B1085">_xlfn.IFS(
ROW()&lt;=421,"NA",
ROW()&lt;=781,"LATAM",
ROW()&lt;=1021,"EMEA",
TRUE,"APAC"
)</f>
        <v>APAC</v>
      </c>
      <c r="C1085" t="str">
        <f t="shared" si="97"/>
        <v>Singapore</v>
      </c>
      <c r="D1085" t="s">
        <v>35</v>
      </c>
      <c r="E1085" t="s">
        <v>380</v>
      </c>
      <c r="F1085" t="s">
        <v>408</v>
      </c>
      <c r="G1085" t="s">
        <v>28</v>
      </c>
      <c r="H1085" s="2">
        <v>42428</v>
      </c>
      <c r="I1085" t="s">
        <v>29</v>
      </c>
      <c r="J1085" t="s">
        <v>36</v>
      </c>
      <c r="K1085" t="str">
        <f t="shared" ca="1" si="100"/>
        <v>OK</v>
      </c>
      <c r="L1085" t="s">
        <v>1158</v>
      </c>
      <c r="M1085">
        <v>5</v>
      </c>
      <c r="N1085" s="2">
        <v>45993</v>
      </c>
      <c r="O1085" s="2" t="s">
        <v>22</v>
      </c>
      <c r="P1085" s="4">
        <f t="shared" ca="1" si="98"/>
        <v>10</v>
      </c>
      <c r="Q1085" s="4" t="str">
        <f t="shared" ca="1" si="99"/>
        <v>6-10 Years</v>
      </c>
      <c r="R1085">
        <f t="shared" ca="1" si="101"/>
        <v>0</v>
      </c>
      <c r="S1085" t="s">
        <v>22</v>
      </c>
      <c r="T1085">
        <v>3</v>
      </c>
      <c r="U1085" t="s">
        <v>1394</v>
      </c>
      <c r="V1085" t="s">
        <v>1394</v>
      </c>
      <c r="W1085" t="s">
        <v>1394</v>
      </c>
      <c r="X1085" s="3">
        <v>1</v>
      </c>
      <c r="Y1085" t="s">
        <v>1397</v>
      </c>
      <c r="Z1085">
        <v>44864</v>
      </c>
      <c r="AA1085">
        <v>0.1</v>
      </c>
      <c r="AB1085">
        <v>49350.400000000001</v>
      </c>
    </row>
    <row r="1086" spans="1:28" x14ac:dyDescent="0.35">
      <c r="A1086" t="str">
        <f t="shared" si="96"/>
        <v>EMP1085</v>
      </c>
      <c r="B1086" t="str" cm="1">
        <f t="array" ref="B1086">_xlfn.IFS(
ROW()&lt;=421,"NA",
ROW()&lt;=781,"LATAM",
ROW()&lt;=1021,"EMEA",
TRUE,"APAC"
)</f>
        <v>APAC</v>
      </c>
      <c r="C1086" t="str">
        <f t="shared" si="97"/>
        <v>Singapore</v>
      </c>
      <c r="D1086" t="s">
        <v>35</v>
      </c>
      <c r="E1086" t="s">
        <v>380</v>
      </c>
      <c r="F1086" t="s">
        <v>618</v>
      </c>
      <c r="G1086" t="s">
        <v>28</v>
      </c>
      <c r="H1086" s="2">
        <v>42426</v>
      </c>
      <c r="I1086" t="s">
        <v>57</v>
      </c>
      <c r="J1086" t="s">
        <v>36</v>
      </c>
      <c r="K1086" t="str">
        <f t="shared" ca="1" si="100"/>
        <v>OK</v>
      </c>
      <c r="L1086" t="s">
        <v>1074</v>
      </c>
      <c r="M1086">
        <v>5</v>
      </c>
      <c r="N1086" s="2">
        <v>46077</v>
      </c>
      <c r="O1086" s="2">
        <v>44211</v>
      </c>
      <c r="P1086" s="4">
        <f t="shared" ca="1" si="98"/>
        <v>4</v>
      </c>
      <c r="Q1086" s="4" t="str">
        <f t="shared" ca="1" si="99"/>
        <v>3-5 Years</v>
      </c>
      <c r="R1086">
        <f t="shared" ca="1" si="101"/>
        <v>0</v>
      </c>
      <c r="S1086" t="s">
        <v>23</v>
      </c>
      <c r="T1086">
        <v>3</v>
      </c>
      <c r="U1086" t="s">
        <v>1394</v>
      </c>
      <c r="V1086" t="s">
        <v>1396</v>
      </c>
      <c r="W1086" t="s">
        <v>1394</v>
      </c>
      <c r="X1086" s="3">
        <v>3</v>
      </c>
      <c r="Y1086" t="s">
        <v>1398</v>
      </c>
      <c r="Z1086">
        <v>45991</v>
      </c>
      <c r="AA1086">
        <v>0.1</v>
      </c>
      <c r="AB1086">
        <v>50590.100000000006</v>
      </c>
    </row>
    <row r="1087" spans="1:28" x14ac:dyDescent="0.35">
      <c r="A1087" t="str">
        <f t="shared" si="96"/>
        <v>EMP1086</v>
      </c>
      <c r="B1087" t="str" cm="1">
        <f t="array" ref="B1087">_xlfn.IFS(
ROW()&lt;=421,"NA",
ROW()&lt;=781,"LATAM",
ROW()&lt;=1021,"EMEA",
TRUE,"APAC"
)</f>
        <v>APAC</v>
      </c>
      <c r="C1087" t="str">
        <f t="shared" si="97"/>
        <v>Singapore</v>
      </c>
      <c r="D1087" t="s">
        <v>35</v>
      </c>
      <c r="E1087" t="s">
        <v>380</v>
      </c>
      <c r="F1087" t="s">
        <v>502</v>
      </c>
      <c r="G1087" t="s">
        <v>28</v>
      </c>
      <c r="H1087" s="2">
        <v>42423</v>
      </c>
      <c r="I1087" t="s">
        <v>29</v>
      </c>
      <c r="J1087" t="s">
        <v>36</v>
      </c>
      <c r="K1087" t="str">
        <f t="shared" ca="1" si="100"/>
        <v>OK</v>
      </c>
      <c r="L1087" t="s">
        <v>977</v>
      </c>
      <c r="M1087">
        <v>5</v>
      </c>
      <c r="N1087" s="2">
        <v>46018</v>
      </c>
      <c r="O1087" s="2" t="s">
        <v>22</v>
      </c>
      <c r="P1087" s="4">
        <f t="shared" ca="1" si="98"/>
        <v>10</v>
      </c>
      <c r="Q1087" s="4" t="str">
        <f t="shared" ca="1" si="99"/>
        <v>6-10 Years</v>
      </c>
      <c r="R1087">
        <f t="shared" ca="1" si="101"/>
        <v>0</v>
      </c>
      <c r="S1087" t="s">
        <v>22</v>
      </c>
      <c r="T1087">
        <v>3</v>
      </c>
      <c r="U1087" t="s">
        <v>1396</v>
      </c>
      <c r="V1087" t="s">
        <v>1394</v>
      </c>
      <c r="W1087" t="s">
        <v>1394</v>
      </c>
      <c r="X1087" s="3">
        <v>1</v>
      </c>
      <c r="Y1087" t="s">
        <v>1397</v>
      </c>
      <c r="Z1087">
        <v>37452</v>
      </c>
      <c r="AA1087">
        <v>0.1</v>
      </c>
      <c r="AB1087">
        <v>41197.200000000004</v>
      </c>
    </row>
    <row r="1088" spans="1:28" x14ac:dyDescent="0.35">
      <c r="A1088" t="str">
        <f t="shared" si="96"/>
        <v>EMP1087</v>
      </c>
      <c r="B1088" t="str" cm="1">
        <f t="array" ref="B1088">_xlfn.IFS(
ROW()&lt;=421,"NA",
ROW()&lt;=781,"LATAM",
ROW()&lt;=1021,"EMEA",
TRUE,"APAC"
)</f>
        <v>APAC</v>
      </c>
      <c r="C1088" t="str">
        <f t="shared" si="97"/>
        <v>Singapore</v>
      </c>
      <c r="D1088" t="s">
        <v>32</v>
      </c>
      <c r="E1088" t="s">
        <v>380</v>
      </c>
      <c r="F1088" t="s">
        <v>484</v>
      </c>
      <c r="G1088" t="s">
        <v>28</v>
      </c>
      <c r="H1088" s="2">
        <v>42417</v>
      </c>
      <c r="I1088" t="s">
        <v>29</v>
      </c>
      <c r="J1088" t="s">
        <v>33</v>
      </c>
      <c r="K1088" t="str">
        <f t="shared" ca="1" si="100"/>
        <v>OK</v>
      </c>
      <c r="L1088" t="s">
        <v>1014</v>
      </c>
      <c r="M1088">
        <v>5</v>
      </c>
      <c r="N1088" s="2">
        <v>45993</v>
      </c>
      <c r="O1088" s="2" t="s">
        <v>22</v>
      </c>
      <c r="P1088" s="4">
        <f t="shared" ca="1" si="98"/>
        <v>10</v>
      </c>
      <c r="Q1088" s="4" t="str">
        <f t="shared" ca="1" si="99"/>
        <v>6-10 Years</v>
      </c>
      <c r="R1088">
        <f t="shared" ca="1" si="101"/>
        <v>0</v>
      </c>
      <c r="S1088" t="s">
        <v>22</v>
      </c>
      <c r="T1088">
        <v>4</v>
      </c>
      <c r="U1088" t="s">
        <v>1396</v>
      </c>
      <c r="V1088" t="s">
        <v>1394</v>
      </c>
      <c r="W1088" t="s">
        <v>1394</v>
      </c>
      <c r="X1088" s="3">
        <v>4</v>
      </c>
      <c r="Y1088" t="s">
        <v>1395</v>
      </c>
      <c r="Z1088">
        <v>24211</v>
      </c>
      <c r="AA1088">
        <v>0.1</v>
      </c>
      <c r="AB1088">
        <v>26632.100000000002</v>
      </c>
    </row>
    <row r="1089" spans="1:28" x14ac:dyDescent="0.35">
      <c r="A1089" t="str">
        <f t="shared" si="96"/>
        <v>EMP1088</v>
      </c>
      <c r="B1089" t="str" cm="1">
        <f t="array" ref="B1089">_xlfn.IFS(
ROW()&lt;=421,"NA",
ROW()&lt;=781,"LATAM",
ROW()&lt;=1021,"EMEA",
TRUE,"APAC"
)</f>
        <v>APAC</v>
      </c>
      <c r="C1089" t="str">
        <f t="shared" si="97"/>
        <v>Singapore</v>
      </c>
      <c r="D1089" t="s">
        <v>41</v>
      </c>
      <c r="E1089" t="s">
        <v>145</v>
      </c>
      <c r="F1089" t="s">
        <v>188</v>
      </c>
      <c r="G1089" t="s">
        <v>28</v>
      </c>
      <c r="H1089" s="2">
        <v>42413</v>
      </c>
      <c r="I1089" t="s">
        <v>29</v>
      </c>
      <c r="J1089" t="s">
        <v>42</v>
      </c>
      <c r="K1089" t="str">
        <f t="shared" ca="1" si="100"/>
        <v>OK</v>
      </c>
      <c r="L1089" t="s">
        <v>344</v>
      </c>
      <c r="M1089">
        <v>4</v>
      </c>
      <c r="N1089" s="2">
        <v>46061</v>
      </c>
      <c r="O1089" s="2" t="s">
        <v>22</v>
      </c>
      <c r="P1089" s="4">
        <f t="shared" ca="1" si="98"/>
        <v>10</v>
      </c>
      <c r="Q1089" s="4" t="str">
        <f t="shared" ca="1" si="99"/>
        <v>6-10 Years</v>
      </c>
      <c r="R1089">
        <f t="shared" ca="1" si="101"/>
        <v>0</v>
      </c>
      <c r="S1089" t="s">
        <v>22</v>
      </c>
      <c r="T1089">
        <v>4</v>
      </c>
      <c r="U1089" t="s">
        <v>1394</v>
      </c>
      <c r="V1089" t="s">
        <v>1394</v>
      </c>
      <c r="W1089" t="s">
        <v>1394</v>
      </c>
      <c r="X1089" s="3">
        <v>4</v>
      </c>
      <c r="Y1089" t="s">
        <v>1395</v>
      </c>
      <c r="Z1089">
        <v>54380</v>
      </c>
      <c r="AA1089">
        <v>0.15</v>
      </c>
      <c r="AB1089">
        <v>62536.999999999993</v>
      </c>
    </row>
    <row r="1090" spans="1:28" x14ac:dyDescent="0.35">
      <c r="A1090" t="str">
        <f t="shared" ref="A1090:A1153" si="102">"EMP"&amp;TEXT(ROW()-1,"0000")</f>
        <v>EMP1089</v>
      </c>
      <c r="B1090" t="str" cm="1">
        <f t="array" ref="B1090">_xlfn.IFS(
ROW()&lt;=421,"NA",
ROW()&lt;=781,"LATAM",
ROW()&lt;=1021,"EMEA",
TRUE,"APAC"
)</f>
        <v>APAC</v>
      </c>
      <c r="C1090" t="str">
        <f t="shared" ref="C1090:C1153" si="103">IF(B1090="NA","USA",
IF(B1090="LATAM","Mexico",
IF(B1090="EMEA","Germany","Singapore")))</f>
        <v>Singapore</v>
      </c>
      <c r="D1090" t="s">
        <v>44</v>
      </c>
      <c r="E1090" t="s">
        <v>145</v>
      </c>
      <c r="F1090" t="s">
        <v>154</v>
      </c>
      <c r="G1090" t="s">
        <v>28</v>
      </c>
      <c r="H1090" s="2">
        <v>42412</v>
      </c>
      <c r="I1090" t="s">
        <v>29</v>
      </c>
      <c r="J1090" t="s">
        <v>47</v>
      </c>
      <c r="K1090" t="str">
        <f t="shared" ca="1" si="100"/>
        <v>OK</v>
      </c>
      <c r="L1090" t="s">
        <v>184</v>
      </c>
      <c r="M1090">
        <v>4</v>
      </c>
      <c r="N1090" s="2">
        <v>46000</v>
      </c>
      <c r="O1090" s="2" t="s">
        <v>22</v>
      </c>
      <c r="P1090" s="4">
        <f t="shared" ref="P1090:P1153" ca="1" si="104">IF(H1090&gt;TODAY(),
"",
IF(I1090="Active",
DATEDIF(H1090,TODAY(),"Y"),
DATEDIF(H1090,O1090,"Y")
))</f>
        <v>10</v>
      </c>
      <c r="Q1090" s="4" t="str">
        <f t="shared" ref="Q1090:Q1153" ca="1" si="105">IF(P1090&lt;=2,"0-2 Years",
IF(P1090&lt;=5,"3-5 Years",
IF(P1090&lt;=10,"6-10 Years","10+ Years")))</f>
        <v>6-10 Years</v>
      </c>
      <c r="R1090">
        <f t="shared" ca="1" si="101"/>
        <v>0</v>
      </c>
      <c r="S1090" t="s">
        <v>22</v>
      </c>
      <c r="T1090">
        <v>4</v>
      </c>
      <c r="U1090" t="s">
        <v>1394</v>
      </c>
      <c r="V1090" t="s">
        <v>1394</v>
      </c>
      <c r="W1090" t="s">
        <v>1394</v>
      </c>
      <c r="X1090" s="3">
        <v>5</v>
      </c>
      <c r="Y1090" t="s">
        <v>1395</v>
      </c>
      <c r="Z1090">
        <v>58627</v>
      </c>
      <c r="AA1090">
        <v>0.15</v>
      </c>
      <c r="AB1090">
        <v>67421.049999999988</v>
      </c>
    </row>
    <row r="1091" spans="1:28" x14ac:dyDescent="0.35">
      <c r="A1091" t="str">
        <f t="shared" si="102"/>
        <v>EMP1090</v>
      </c>
      <c r="B1091" t="str" cm="1">
        <f t="array" ref="B1091">_xlfn.IFS(
ROW()&lt;=421,"NA",
ROW()&lt;=781,"LATAM",
ROW()&lt;=1021,"EMEA",
TRUE,"APAC"
)</f>
        <v>APAC</v>
      </c>
      <c r="C1091" t="str">
        <f t="shared" si="103"/>
        <v>Singapore</v>
      </c>
      <c r="D1091" t="s">
        <v>41</v>
      </c>
      <c r="E1091" t="s">
        <v>145</v>
      </c>
      <c r="F1091" t="s">
        <v>190</v>
      </c>
      <c r="G1091" t="s">
        <v>28</v>
      </c>
      <c r="H1091" s="2">
        <v>42409</v>
      </c>
      <c r="I1091" t="s">
        <v>29</v>
      </c>
      <c r="J1091" t="s">
        <v>42</v>
      </c>
      <c r="K1091" t="str">
        <f t="shared" ref="K1091:K1154" ca="1" si="106">IF(
OR(
H1091="",
I1091="",
AND(I1091="Inactive",O1091=""),
H1091&gt;TODAY(),
Z1091="",
F1091="",
D1091="",
X1091&lt;1
),
"⚠ Review",
"OK"
)</f>
        <v>OK</v>
      </c>
      <c r="L1091" t="s">
        <v>302</v>
      </c>
      <c r="M1091">
        <v>4</v>
      </c>
      <c r="N1091" s="2">
        <v>46074</v>
      </c>
      <c r="O1091" s="2" t="s">
        <v>22</v>
      </c>
      <c r="P1091" s="4">
        <f t="shared" ca="1" si="104"/>
        <v>10</v>
      </c>
      <c r="Q1091" s="4" t="str">
        <f t="shared" ca="1" si="105"/>
        <v>6-10 Years</v>
      </c>
      <c r="R1091">
        <f t="shared" ref="R1091:R1154" ca="1" si="107">IF(P1091&lt;=2,1,0)</f>
        <v>0</v>
      </c>
      <c r="S1091" t="s">
        <v>22</v>
      </c>
      <c r="T1091">
        <v>4</v>
      </c>
      <c r="U1091" t="s">
        <v>1394</v>
      </c>
      <c r="V1091" t="s">
        <v>1394</v>
      </c>
      <c r="W1091" t="s">
        <v>1394</v>
      </c>
      <c r="X1091" s="3">
        <v>5</v>
      </c>
      <c r="Y1091" t="s">
        <v>1395</v>
      </c>
      <c r="Z1091">
        <v>70683</v>
      </c>
      <c r="AA1091">
        <v>0.15</v>
      </c>
      <c r="AB1091">
        <v>81285.45</v>
      </c>
    </row>
    <row r="1092" spans="1:28" x14ac:dyDescent="0.35">
      <c r="A1092" t="str">
        <f t="shared" si="102"/>
        <v>EMP1091</v>
      </c>
      <c r="B1092" t="str" cm="1">
        <f t="array" ref="B1092">_xlfn.IFS(
ROW()&lt;=421,"NA",
ROW()&lt;=781,"LATAM",
ROW()&lt;=1021,"EMEA",
TRUE,"APAC"
)</f>
        <v>APAC</v>
      </c>
      <c r="C1092" t="str">
        <f t="shared" si="103"/>
        <v>Singapore</v>
      </c>
      <c r="D1092" t="s">
        <v>26</v>
      </c>
      <c r="E1092" t="s">
        <v>380</v>
      </c>
      <c r="F1092" t="s">
        <v>609</v>
      </c>
      <c r="G1092" t="s">
        <v>28</v>
      </c>
      <c r="H1092" s="2">
        <v>42406</v>
      </c>
      <c r="I1092" t="s">
        <v>29</v>
      </c>
      <c r="J1092" t="s">
        <v>30</v>
      </c>
      <c r="K1092" t="str">
        <f t="shared" ca="1" si="106"/>
        <v>OK</v>
      </c>
      <c r="L1092" t="s">
        <v>1100</v>
      </c>
      <c r="M1092">
        <v>5</v>
      </c>
      <c r="N1092" s="2">
        <v>45993</v>
      </c>
      <c r="O1092" s="2" t="s">
        <v>22</v>
      </c>
      <c r="P1092" s="4">
        <f t="shared" ca="1" si="104"/>
        <v>10</v>
      </c>
      <c r="Q1092" s="4" t="str">
        <f t="shared" ca="1" si="105"/>
        <v>6-10 Years</v>
      </c>
      <c r="R1092">
        <f t="shared" ca="1" si="107"/>
        <v>0</v>
      </c>
      <c r="S1092" t="s">
        <v>22</v>
      </c>
      <c r="T1092">
        <v>4</v>
      </c>
      <c r="U1092" t="s">
        <v>1394</v>
      </c>
      <c r="V1092" t="s">
        <v>1394</v>
      </c>
      <c r="W1092" t="s">
        <v>1394</v>
      </c>
      <c r="X1092" s="3">
        <v>3</v>
      </c>
      <c r="Y1092" t="s">
        <v>1398</v>
      </c>
      <c r="Z1092">
        <v>40618</v>
      </c>
      <c r="AA1092">
        <v>0.1</v>
      </c>
      <c r="AB1092">
        <v>44679.8</v>
      </c>
    </row>
    <row r="1093" spans="1:28" x14ac:dyDescent="0.35">
      <c r="A1093" t="str">
        <f t="shared" si="102"/>
        <v>EMP1092</v>
      </c>
      <c r="B1093" t="str" cm="1">
        <f t="array" ref="B1093">_xlfn.IFS(
ROW()&lt;=421,"NA",
ROW()&lt;=781,"LATAM",
ROW()&lt;=1021,"EMEA",
TRUE,"APAC"
)</f>
        <v>APAC</v>
      </c>
      <c r="C1093" t="str">
        <f t="shared" si="103"/>
        <v>Singapore</v>
      </c>
      <c r="D1093" t="s">
        <v>41</v>
      </c>
      <c r="E1093" t="s">
        <v>380</v>
      </c>
      <c r="F1093" t="s">
        <v>541</v>
      </c>
      <c r="G1093" t="s">
        <v>28</v>
      </c>
      <c r="H1093" s="2">
        <v>42405</v>
      </c>
      <c r="I1093" t="s">
        <v>29</v>
      </c>
      <c r="J1093" t="s">
        <v>42</v>
      </c>
      <c r="K1093" t="str">
        <f t="shared" ca="1" si="106"/>
        <v>OK</v>
      </c>
      <c r="L1093" t="s">
        <v>1142</v>
      </c>
      <c r="M1093">
        <v>5</v>
      </c>
      <c r="N1093" s="2">
        <v>45999</v>
      </c>
      <c r="O1093" s="2" t="s">
        <v>22</v>
      </c>
      <c r="P1093" s="4">
        <f t="shared" ca="1" si="104"/>
        <v>10</v>
      </c>
      <c r="Q1093" s="4" t="str">
        <f t="shared" ca="1" si="105"/>
        <v>6-10 Years</v>
      </c>
      <c r="R1093">
        <f t="shared" ca="1" si="107"/>
        <v>0</v>
      </c>
      <c r="S1093" t="s">
        <v>22</v>
      </c>
      <c r="T1093">
        <v>5</v>
      </c>
      <c r="U1093" t="s">
        <v>1394</v>
      </c>
      <c r="V1093" t="s">
        <v>1396</v>
      </c>
      <c r="W1093" t="s">
        <v>1394</v>
      </c>
      <c r="X1093" s="3">
        <v>2</v>
      </c>
      <c r="Y1093" t="s">
        <v>1397</v>
      </c>
      <c r="Z1093">
        <v>48283</v>
      </c>
      <c r="AA1093">
        <v>0.1</v>
      </c>
      <c r="AB1093">
        <v>53111.3</v>
      </c>
    </row>
    <row r="1094" spans="1:28" x14ac:dyDescent="0.35">
      <c r="A1094" t="str">
        <f t="shared" si="102"/>
        <v>EMP1093</v>
      </c>
      <c r="B1094" t="str" cm="1">
        <f t="array" ref="B1094">_xlfn.IFS(
ROW()&lt;=421,"NA",
ROW()&lt;=781,"LATAM",
ROW()&lt;=1021,"EMEA",
TRUE,"APAC"
)</f>
        <v>APAC</v>
      </c>
      <c r="C1094" t="str">
        <f t="shared" si="103"/>
        <v>Singapore</v>
      </c>
      <c r="D1094" t="s">
        <v>35</v>
      </c>
      <c r="E1094" t="s">
        <v>380</v>
      </c>
      <c r="F1094" t="s">
        <v>490</v>
      </c>
      <c r="G1094" t="s">
        <v>53</v>
      </c>
      <c r="H1094" s="2">
        <v>42404</v>
      </c>
      <c r="I1094" t="s">
        <v>29</v>
      </c>
      <c r="J1094" t="s">
        <v>36</v>
      </c>
      <c r="K1094" t="str">
        <f t="shared" ca="1" si="106"/>
        <v>OK</v>
      </c>
      <c r="L1094" t="s">
        <v>491</v>
      </c>
      <c r="M1094">
        <v>5</v>
      </c>
      <c r="N1094" s="2">
        <v>45993</v>
      </c>
      <c r="O1094" s="2" t="s">
        <v>22</v>
      </c>
      <c r="P1094" s="4">
        <f t="shared" ca="1" si="104"/>
        <v>10</v>
      </c>
      <c r="Q1094" s="4" t="str">
        <f t="shared" ca="1" si="105"/>
        <v>6-10 Years</v>
      </c>
      <c r="R1094">
        <f t="shared" ca="1" si="107"/>
        <v>0</v>
      </c>
      <c r="S1094" t="s">
        <v>22</v>
      </c>
      <c r="T1094">
        <v>3</v>
      </c>
      <c r="U1094" t="s">
        <v>1396</v>
      </c>
      <c r="V1094" t="s">
        <v>1394</v>
      </c>
      <c r="W1094" t="s">
        <v>1394</v>
      </c>
      <c r="X1094" s="3">
        <v>1</v>
      </c>
      <c r="Y1094" t="s">
        <v>1397</v>
      </c>
      <c r="Z1094">
        <v>41436</v>
      </c>
      <c r="AA1094">
        <v>0.1</v>
      </c>
      <c r="AB1094">
        <v>45579.600000000006</v>
      </c>
    </row>
    <row r="1095" spans="1:28" x14ac:dyDescent="0.35">
      <c r="A1095" t="str">
        <f t="shared" si="102"/>
        <v>EMP1094</v>
      </c>
      <c r="B1095" t="str" cm="1">
        <f t="array" ref="B1095">_xlfn.IFS(
ROW()&lt;=421,"NA",
ROW()&lt;=781,"LATAM",
ROW()&lt;=1021,"EMEA",
TRUE,"APAC"
)</f>
        <v>APAC</v>
      </c>
      <c r="C1095" t="str">
        <f t="shared" si="103"/>
        <v>Singapore</v>
      </c>
      <c r="D1095" t="s">
        <v>44</v>
      </c>
      <c r="E1095" t="s">
        <v>380</v>
      </c>
      <c r="F1095" t="s">
        <v>466</v>
      </c>
      <c r="G1095" t="s">
        <v>28</v>
      </c>
      <c r="H1095" s="2">
        <v>42404</v>
      </c>
      <c r="I1095" t="s">
        <v>29</v>
      </c>
      <c r="J1095" t="s">
        <v>47</v>
      </c>
      <c r="K1095" t="str">
        <f t="shared" ca="1" si="106"/>
        <v>OK</v>
      </c>
      <c r="L1095" t="s">
        <v>1099</v>
      </c>
      <c r="M1095">
        <v>5</v>
      </c>
      <c r="N1095" s="2">
        <v>46040</v>
      </c>
      <c r="O1095" s="2" t="s">
        <v>22</v>
      </c>
      <c r="P1095" s="4">
        <f t="shared" ca="1" si="104"/>
        <v>10</v>
      </c>
      <c r="Q1095" s="4" t="str">
        <f t="shared" ca="1" si="105"/>
        <v>6-10 Years</v>
      </c>
      <c r="R1095">
        <f t="shared" ca="1" si="107"/>
        <v>0</v>
      </c>
      <c r="S1095" t="s">
        <v>22</v>
      </c>
      <c r="T1095">
        <v>5</v>
      </c>
      <c r="U1095" t="s">
        <v>1394</v>
      </c>
      <c r="V1095" t="s">
        <v>1394</v>
      </c>
      <c r="W1095" t="s">
        <v>1394</v>
      </c>
      <c r="X1095" s="3">
        <v>1</v>
      </c>
      <c r="Y1095" t="s">
        <v>1397</v>
      </c>
      <c r="Z1095">
        <v>37717</v>
      </c>
      <c r="AA1095">
        <v>0.1</v>
      </c>
      <c r="AB1095">
        <v>41488.700000000004</v>
      </c>
    </row>
    <row r="1096" spans="1:28" x14ac:dyDescent="0.35">
      <c r="A1096" t="str">
        <f t="shared" si="102"/>
        <v>EMP1095</v>
      </c>
      <c r="B1096" t="str" cm="1">
        <f t="array" ref="B1096">_xlfn.IFS(
ROW()&lt;=421,"NA",
ROW()&lt;=781,"LATAM",
ROW()&lt;=1021,"EMEA",
TRUE,"APAC"
)</f>
        <v>APAC</v>
      </c>
      <c r="C1096" t="str">
        <f t="shared" si="103"/>
        <v>Singapore</v>
      </c>
      <c r="D1096" t="s">
        <v>41</v>
      </c>
      <c r="E1096" t="s">
        <v>380</v>
      </c>
      <c r="F1096" t="s">
        <v>579</v>
      </c>
      <c r="G1096" t="s">
        <v>28</v>
      </c>
      <c r="H1096" s="2">
        <v>42404</v>
      </c>
      <c r="I1096" t="s">
        <v>29</v>
      </c>
      <c r="J1096" t="s">
        <v>42</v>
      </c>
      <c r="K1096" t="str">
        <f t="shared" ca="1" si="106"/>
        <v>OK</v>
      </c>
      <c r="L1096" t="s">
        <v>1119</v>
      </c>
      <c r="M1096">
        <v>5</v>
      </c>
      <c r="N1096" s="2">
        <v>45992</v>
      </c>
      <c r="O1096" s="2" t="s">
        <v>22</v>
      </c>
      <c r="P1096" s="4">
        <f t="shared" ca="1" si="104"/>
        <v>10</v>
      </c>
      <c r="Q1096" s="4" t="str">
        <f t="shared" ca="1" si="105"/>
        <v>6-10 Years</v>
      </c>
      <c r="R1096">
        <f t="shared" ca="1" si="107"/>
        <v>0</v>
      </c>
      <c r="S1096" t="s">
        <v>22</v>
      </c>
      <c r="T1096">
        <v>4</v>
      </c>
      <c r="U1096" t="s">
        <v>1394</v>
      </c>
      <c r="V1096" t="s">
        <v>1394</v>
      </c>
      <c r="W1096" t="s">
        <v>1394</v>
      </c>
      <c r="X1096" s="3">
        <v>3</v>
      </c>
      <c r="Y1096" t="s">
        <v>1398</v>
      </c>
      <c r="Z1096">
        <v>25857</v>
      </c>
      <c r="AA1096">
        <v>0.1</v>
      </c>
      <c r="AB1096">
        <v>28442.7</v>
      </c>
    </row>
    <row r="1097" spans="1:28" x14ac:dyDescent="0.35">
      <c r="A1097" t="str">
        <f t="shared" si="102"/>
        <v>EMP1096</v>
      </c>
      <c r="B1097" t="str" cm="1">
        <f t="array" ref="B1097">_xlfn.IFS(
ROW()&lt;=421,"NA",
ROW()&lt;=781,"LATAM",
ROW()&lt;=1021,"EMEA",
TRUE,"APAC"
)</f>
        <v>APAC</v>
      </c>
      <c r="C1097" t="str">
        <f t="shared" si="103"/>
        <v>Singapore</v>
      </c>
      <c r="D1097" t="s">
        <v>35</v>
      </c>
      <c r="E1097" t="s">
        <v>145</v>
      </c>
      <c r="F1097" t="s">
        <v>154</v>
      </c>
      <c r="G1097" t="s">
        <v>28</v>
      </c>
      <c r="H1097" s="2">
        <v>42402</v>
      </c>
      <c r="I1097" t="s">
        <v>29</v>
      </c>
      <c r="J1097" t="s">
        <v>36</v>
      </c>
      <c r="K1097" t="str">
        <f t="shared" ca="1" si="106"/>
        <v>OK</v>
      </c>
      <c r="L1097" t="s">
        <v>330</v>
      </c>
      <c r="M1097">
        <v>4</v>
      </c>
      <c r="N1097" s="2">
        <v>46051</v>
      </c>
      <c r="O1097" s="2" t="s">
        <v>22</v>
      </c>
      <c r="P1097" s="4">
        <f t="shared" ca="1" si="104"/>
        <v>10</v>
      </c>
      <c r="Q1097" s="4" t="str">
        <f t="shared" ca="1" si="105"/>
        <v>6-10 Years</v>
      </c>
      <c r="R1097">
        <f t="shared" ca="1" si="107"/>
        <v>0</v>
      </c>
      <c r="S1097" t="s">
        <v>22</v>
      </c>
      <c r="T1097">
        <v>5</v>
      </c>
      <c r="U1097" t="s">
        <v>1394</v>
      </c>
      <c r="V1097" t="s">
        <v>1394</v>
      </c>
      <c r="W1097" t="s">
        <v>1394</v>
      </c>
      <c r="X1097" s="3">
        <v>1</v>
      </c>
      <c r="Y1097" t="s">
        <v>1397</v>
      </c>
      <c r="Z1097">
        <v>53048</v>
      </c>
      <c r="AA1097">
        <v>0.15</v>
      </c>
      <c r="AB1097">
        <v>61005.2</v>
      </c>
    </row>
    <row r="1098" spans="1:28" x14ac:dyDescent="0.35">
      <c r="A1098" t="str">
        <f t="shared" si="102"/>
        <v>EMP1097</v>
      </c>
      <c r="B1098" t="str" cm="1">
        <f t="array" ref="B1098">_xlfn.IFS(
ROW()&lt;=421,"NA",
ROW()&lt;=781,"LATAM",
ROW()&lt;=1021,"EMEA",
TRUE,"APAC"
)</f>
        <v>APAC</v>
      </c>
      <c r="C1098" t="str">
        <f t="shared" si="103"/>
        <v>Singapore</v>
      </c>
      <c r="D1098" t="s">
        <v>35</v>
      </c>
      <c r="E1098" t="s">
        <v>380</v>
      </c>
      <c r="F1098" t="s">
        <v>450</v>
      </c>
      <c r="G1098" t="s">
        <v>28</v>
      </c>
      <c r="H1098" s="2">
        <v>42396</v>
      </c>
      <c r="I1098" t="s">
        <v>29</v>
      </c>
      <c r="J1098" t="s">
        <v>36</v>
      </c>
      <c r="K1098" t="str">
        <f t="shared" ca="1" si="106"/>
        <v>OK</v>
      </c>
      <c r="L1098" t="s">
        <v>1246</v>
      </c>
      <c r="M1098">
        <v>5</v>
      </c>
      <c r="N1098" s="2">
        <v>46017</v>
      </c>
      <c r="O1098" s="2" t="s">
        <v>22</v>
      </c>
      <c r="P1098" s="4">
        <f t="shared" ca="1" si="104"/>
        <v>10</v>
      </c>
      <c r="Q1098" s="4" t="str">
        <f t="shared" ca="1" si="105"/>
        <v>6-10 Years</v>
      </c>
      <c r="R1098">
        <f t="shared" ca="1" si="107"/>
        <v>0</v>
      </c>
      <c r="S1098" t="s">
        <v>22</v>
      </c>
      <c r="T1098">
        <v>4</v>
      </c>
      <c r="U1098" t="s">
        <v>1394</v>
      </c>
      <c r="V1098" t="s">
        <v>1394</v>
      </c>
      <c r="W1098" t="s">
        <v>1394</v>
      </c>
      <c r="X1098" s="3">
        <v>5</v>
      </c>
      <c r="Y1098" t="s">
        <v>1395</v>
      </c>
      <c r="Z1098">
        <v>29378</v>
      </c>
      <c r="AA1098">
        <v>0.1</v>
      </c>
      <c r="AB1098">
        <v>32315.800000000003</v>
      </c>
    </row>
    <row r="1099" spans="1:28" x14ac:dyDescent="0.35">
      <c r="A1099" t="str">
        <f t="shared" si="102"/>
        <v>EMP1098</v>
      </c>
      <c r="B1099" t="str" cm="1">
        <f t="array" ref="B1099">_xlfn.IFS(
ROW()&lt;=421,"NA",
ROW()&lt;=781,"LATAM",
ROW()&lt;=1021,"EMEA",
TRUE,"APAC"
)</f>
        <v>APAC</v>
      </c>
      <c r="C1099" t="str">
        <f t="shared" si="103"/>
        <v>Singapore</v>
      </c>
      <c r="D1099" t="s">
        <v>35</v>
      </c>
      <c r="E1099" t="s">
        <v>380</v>
      </c>
      <c r="F1099" t="s">
        <v>786</v>
      </c>
      <c r="G1099" t="s">
        <v>28</v>
      </c>
      <c r="H1099" s="2">
        <v>42395</v>
      </c>
      <c r="I1099" t="s">
        <v>29</v>
      </c>
      <c r="J1099" t="s">
        <v>36</v>
      </c>
      <c r="K1099" t="str">
        <f t="shared" ca="1" si="106"/>
        <v>OK</v>
      </c>
      <c r="L1099" t="s">
        <v>1206</v>
      </c>
      <c r="M1099">
        <v>5</v>
      </c>
      <c r="N1099" s="2">
        <v>46042</v>
      </c>
      <c r="O1099" s="2" t="s">
        <v>22</v>
      </c>
      <c r="P1099" s="4">
        <f t="shared" ca="1" si="104"/>
        <v>10</v>
      </c>
      <c r="Q1099" s="4" t="str">
        <f t="shared" ca="1" si="105"/>
        <v>6-10 Years</v>
      </c>
      <c r="R1099">
        <f t="shared" ca="1" si="107"/>
        <v>0</v>
      </c>
      <c r="S1099" t="s">
        <v>22</v>
      </c>
      <c r="T1099">
        <v>2</v>
      </c>
      <c r="U1099" t="s">
        <v>1394</v>
      </c>
      <c r="V1099" t="s">
        <v>1394</v>
      </c>
      <c r="W1099" t="s">
        <v>1394</v>
      </c>
      <c r="X1099" s="3">
        <v>4</v>
      </c>
      <c r="Y1099" t="s">
        <v>1395</v>
      </c>
      <c r="Z1099">
        <v>43852</v>
      </c>
      <c r="AA1099">
        <v>0.1</v>
      </c>
      <c r="AB1099">
        <v>48237.200000000004</v>
      </c>
    </row>
    <row r="1100" spans="1:28" x14ac:dyDescent="0.35">
      <c r="A1100" t="str">
        <f t="shared" si="102"/>
        <v>EMP1099</v>
      </c>
      <c r="B1100" t="str" cm="1">
        <f t="array" ref="B1100">_xlfn.IFS(
ROW()&lt;=421,"NA",
ROW()&lt;=781,"LATAM",
ROW()&lt;=1021,"EMEA",
TRUE,"APAC"
)</f>
        <v>APAC</v>
      </c>
      <c r="C1100" t="str">
        <f t="shared" si="103"/>
        <v>Singapore</v>
      </c>
      <c r="D1100" t="s">
        <v>35</v>
      </c>
      <c r="E1100" t="s">
        <v>380</v>
      </c>
      <c r="F1100" t="s">
        <v>702</v>
      </c>
      <c r="G1100" t="s">
        <v>28</v>
      </c>
      <c r="H1100" s="2">
        <v>42389</v>
      </c>
      <c r="I1100" t="s">
        <v>29</v>
      </c>
      <c r="J1100" t="s">
        <v>36</v>
      </c>
      <c r="K1100" t="str">
        <f t="shared" ca="1" si="106"/>
        <v>OK</v>
      </c>
      <c r="L1100" t="s">
        <v>930</v>
      </c>
      <c r="M1100">
        <v>5</v>
      </c>
      <c r="N1100" s="2">
        <v>46032</v>
      </c>
      <c r="O1100" s="2" t="s">
        <v>22</v>
      </c>
      <c r="P1100" s="4">
        <f t="shared" ca="1" si="104"/>
        <v>10</v>
      </c>
      <c r="Q1100" s="4" t="str">
        <f t="shared" ca="1" si="105"/>
        <v>6-10 Years</v>
      </c>
      <c r="R1100">
        <f t="shared" ca="1" si="107"/>
        <v>0</v>
      </c>
      <c r="S1100" t="s">
        <v>22</v>
      </c>
      <c r="T1100">
        <v>3</v>
      </c>
      <c r="U1100" t="s">
        <v>1394</v>
      </c>
      <c r="V1100" t="s">
        <v>1394</v>
      </c>
      <c r="W1100" t="s">
        <v>1394</v>
      </c>
      <c r="X1100" s="3">
        <v>2</v>
      </c>
      <c r="Y1100" t="s">
        <v>1397</v>
      </c>
      <c r="Z1100">
        <v>24478</v>
      </c>
      <c r="AA1100">
        <v>0.1</v>
      </c>
      <c r="AB1100">
        <v>26925.800000000003</v>
      </c>
    </row>
    <row r="1101" spans="1:28" x14ac:dyDescent="0.35">
      <c r="A1101" t="str">
        <f t="shared" si="102"/>
        <v>EMP1100</v>
      </c>
      <c r="B1101" t="str" cm="1">
        <f t="array" ref="B1101">_xlfn.IFS(
ROW()&lt;=421,"NA",
ROW()&lt;=781,"LATAM",
ROW()&lt;=1021,"EMEA",
TRUE,"APAC"
)</f>
        <v>APAC</v>
      </c>
      <c r="C1101" t="str">
        <f t="shared" si="103"/>
        <v>Singapore</v>
      </c>
      <c r="D1101" t="s">
        <v>44</v>
      </c>
      <c r="E1101" t="s">
        <v>380</v>
      </c>
      <c r="F1101" t="s">
        <v>983</v>
      </c>
      <c r="G1101" t="s">
        <v>28</v>
      </c>
      <c r="H1101" s="2">
        <v>42382</v>
      </c>
      <c r="I1101" t="s">
        <v>29</v>
      </c>
      <c r="J1101" t="s">
        <v>47</v>
      </c>
      <c r="K1101" t="str">
        <f t="shared" ca="1" si="106"/>
        <v>OK</v>
      </c>
      <c r="L1101" t="s">
        <v>1094</v>
      </c>
      <c r="M1101">
        <v>5</v>
      </c>
      <c r="N1101" s="2">
        <v>46010</v>
      </c>
      <c r="O1101" s="2" t="s">
        <v>22</v>
      </c>
      <c r="P1101" s="4">
        <f t="shared" ca="1" si="104"/>
        <v>10</v>
      </c>
      <c r="Q1101" s="4" t="str">
        <f t="shared" ca="1" si="105"/>
        <v>6-10 Years</v>
      </c>
      <c r="R1101">
        <f t="shared" ca="1" si="107"/>
        <v>0</v>
      </c>
      <c r="S1101" t="s">
        <v>22</v>
      </c>
      <c r="T1101">
        <v>3</v>
      </c>
      <c r="U1101" t="s">
        <v>1396</v>
      </c>
      <c r="V1101" t="s">
        <v>1394</v>
      </c>
      <c r="W1101" t="s">
        <v>1394</v>
      </c>
      <c r="X1101" s="3">
        <v>5</v>
      </c>
      <c r="Y1101" t="s">
        <v>1395</v>
      </c>
      <c r="Z1101">
        <v>46331</v>
      </c>
      <c r="AA1101">
        <v>0.1</v>
      </c>
      <c r="AB1101">
        <v>50964.100000000006</v>
      </c>
    </row>
    <row r="1102" spans="1:28" x14ac:dyDescent="0.35">
      <c r="A1102" t="str">
        <f t="shared" si="102"/>
        <v>EMP1101</v>
      </c>
      <c r="B1102" t="str" cm="1">
        <f t="array" ref="B1102">_xlfn.IFS(
ROW()&lt;=421,"NA",
ROW()&lt;=781,"LATAM",
ROW()&lt;=1021,"EMEA",
TRUE,"APAC"
)</f>
        <v>APAC</v>
      </c>
      <c r="C1102" t="str">
        <f t="shared" si="103"/>
        <v>Singapore</v>
      </c>
      <c r="D1102" t="s">
        <v>32</v>
      </c>
      <c r="E1102" t="s">
        <v>380</v>
      </c>
      <c r="F1102" t="s">
        <v>613</v>
      </c>
      <c r="G1102" t="s">
        <v>28</v>
      </c>
      <c r="H1102" s="2">
        <v>42374</v>
      </c>
      <c r="I1102" t="s">
        <v>29</v>
      </c>
      <c r="J1102" t="s">
        <v>33</v>
      </c>
      <c r="K1102" t="str">
        <f t="shared" ca="1" si="106"/>
        <v>OK</v>
      </c>
      <c r="L1102" t="s">
        <v>1231</v>
      </c>
      <c r="M1102">
        <v>5</v>
      </c>
      <c r="N1102" s="2">
        <v>46061</v>
      </c>
      <c r="O1102" s="2" t="s">
        <v>22</v>
      </c>
      <c r="P1102" s="4">
        <f t="shared" ca="1" si="104"/>
        <v>10</v>
      </c>
      <c r="Q1102" s="4" t="str">
        <f t="shared" ca="1" si="105"/>
        <v>6-10 Years</v>
      </c>
      <c r="R1102">
        <f t="shared" ca="1" si="107"/>
        <v>0</v>
      </c>
      <c r="S1102" t="s">
        <v>22</v>
      </c>
      <c r="T1102">
        <v>2</v>
      </c>
      <c r="U1102" t="s">
        <v>1394</v>
      </c>
      <c r="V1102" t="s">
        <v>1394</v>
      </c>
      <c r="W1102" t="s">
        <v>1394</v>
      </c>
      <c r="X1102" s="3">
        <v>5</v>
      </c>
      <c r="Y1102" t="s">
        <v>1395</v>
      </c>
      <c r="Z1102">
        <v>39466</v>
      </c>
      <c r="AA1102">
        <v>0.1</v>
      </c>
      <c r="AB1102">
        <v>43412.600000000006</v>
      </c>
    </row>
    <row r="1103" spans="1:28" x14ac:dyDescent="0.35">
      <c r="A1103" t="str">
        <f t="shared" si="102"/>
        <v>EMP1102</v>
      </c>
      <c r="B1103" t="str" cm="1">
        <f t="array" ref="B1103">_xlfn.IFS(
ROW()&lt;=421,"NA",
ROW()&lt;=781,"LATAM",
ROW()&lt;=1021,"EMEA",
TRUE,"APAC"
)</f>
        <v>APAC</v>
      </c>
      <c r="C1103" t="str">
        <f t="shared" si="103"/>
        <v>Singapore</v>
      </c>
      <c r="D1103" t="s">
        <v>35</v>
      </c>
      <c r="E1103" t="s">
        <v>380</v>
      </c>
      <c r="F1103" t="s">
        <v>460</v>
      </c>
      <c r="G1103" t="s">
        <v>28</v>
      </c>
      <c r="H1103" s="2">
        <v>42366</v>
      </c>
      <c r="I1103" t="s">
        <v>29</v>
      </c>
      <c r="J1103" t="s">
        <v>36</v>
      </c>
      <c r="K1103" t="str">
        <f t="shared" ca="1" si="106"/>
        <v>OK</v>
      </c>
      <c r="L1103" t="s">
        <v>654</v>
      </c>
      <c r="M1103">
        <v>5</v>
      </c>
      <c r="N1103" s="2">
        <v>46024</v>
      </c>
      <c r="O1103" s="2" t="s">
        <v>22</v>
      </c>
      <c r="P1103" s="4">
        <f t="shared" ca="1" si="104"/>
        <v>10</v>
      </c>
      <c r="Q1103" s="4" t="str">
        <f t="shared" ca="1" si="105"/>
        <v>6-10 Years</v>
      </c>
      <c r="R1103">
        <f t="shared" ca="1" si="107"/>
        <v>0</v>
      </c>
      <c r="S1103" t="s">
        <v>22</v>
      </c>
      <c r="T1103">
        <v>3</v>
      </c>
      <c r="U1103" t="s">
        <v>1394</v>
      </c>
      <c r="V1103" t="s">
        <v>1396</v>
      </c>
      <c r="W1103" t="s">
        <v>1394</v>
      </c>
      <c r="X1103" s="3">
        <v>3</v>
      </c>
      <c r="Y1103" t="s">
        <v>1398</v>
      </c>
      <c r="Z1103">
        <v>29483</v>
      </c>
      <c r="AA1103">
        <v>0.1</v>
      </c>
      <c r="AB1103">
        <v>32431.300000000003</v>
      </c>
    </row>
    <row r="1104" spans="1:28" x14ac:dyDescent="0.35">
      <c r="A1104" t="str">
        <f t="shared" si="102"/>
        <v>EMP1103</v>
      </c>
      <c r="B1104" t="str" cm="1">
        <f t="array" ref="B1104">_xlfn.IFS(
ROW()&lt;=421,"NA",
ROW()&lt;=781,"LATAM",
ROW()&lt;=1021,"EMEA",
TRUE,"APAC"
)</f>
        <v>APAC</v>
      </c>
      <c r="C1104" t="str">
        <f t="shared" si="103"/>
        <v>Singapore</v>
      </c>
      <c r="D1104" t="s">
        <v>32</v>
      </c>
      <c r="E1104" t="s">
        <v>380</v>
      </c>
      <c r="F1104" t="s">
        <v>672</v>
      </c>
      <c r="G1104" t="s">
        <v>28</v>
      </c>
      <c r="H1104" s="2">
        <v>42364</v>
      </c>
      <c r="I1104" t="s">
        <v>29</v>
      </c>
      <c r="J1104" t="s">
        <v>33</v>
      </c>
      <c r="K1104" t="str">
        <f t="shared" ca="1" si="106"/>
        <v>OK</v>
      </c>
      <c r="L1104" t="s">
        <v>673</v>
      </c>
      <c r="M1104">
        <v>5</v>
      </c>
      <c r="N1104" s="2">
        <v>45996</v>
      </c>
      <c r="O1104" s="2" t="s">
        <v>22</v>
      </c>
      <c r="P1104" s="4">
        <f t="shared" ca="1" si="104"/>
        <v>10</v>
      </c>
      <c r="Q1104" s="4" t="str">
        <f t="shared" ca="1" si="105"/>
        <v>6-10 Years</v>
      </c>
      <c r="R1104">
        <f t="shared" ca="1" si="107"/>
        <v>0</v>
      </c>
      <c r="S1104" t="s">
        <v>22</v>
      </c>
      <c r="T1104">
        <v>4</v>
      </c>
      <c r="U1104" t="s">
        <v>1394</v>
      </c>
      <c r="V1104" t="s">
        <v>1394</v>
      </c>
      <c r="W1104" t="s">
        <v>1394</v>
      </c>
      <c r="X1104" s="3">
        <v>4</v>
      </c>
      <c r="Y1104" t="s">
        <v>1395</v>
      </c>
      <c r="Z1104">
        <v>39597</v>
      </c>
      <c r="AA1104">
        <v>0.1</v>
      </c>
      <c r="AB1104">
        <v>43556.700000000004</v>
      </c>
    </row>
    <row r="1105" spans="1:28" x14ac:dyDescent="0.35">
      <c r="A1105" t="str">
        <f t="shared" si="102"/>
        <v>EMP1104</v>
      </c>
      <c r="B1105" t="str" cm="1">
        <f t="array" ref="B1105">_xlfn.IFS(
ROW()&lt;=421,"NA",
ROW()&lt;=781,"LATAM",
ROW()&lt;=1021,"EMEA",
TRUE,"APAC"
)</f>
        <v>APAC</v>
      </c>
      <c r="C1105" t="str">
        <f t="shared" si="103"/>
        <v>Singapore</v>
      </c>
      <c r="D1105" t="s">
        <v>32</v>
      </c>
      <c r="E1105" t="s">
        <v>380</v>
      </c>
      <c r="F1105" t="s">
        <v>933</v>
      </c>
      <c r="G1105" t="s">
        <v>28</v>
      </c>
      <c r="H1105" s="2">
        <v>42363</v>
      </c>
      <c r="I1105" t="s">
        <v>57</v>
      </c>
      <c r="J1105" t="s">
        <v>33</v>
      </c>
      <c r="K1105" t="str">
        <f t="shared" ca="1" si="106"/>
        <v>OK</v>
      </c>
      <c r="L1105" t="s">
        <v>1220</v>
      </c>
      <c r="M1105">
        <v>5</v>
      </c>
      <c r="N1105" s="2">
        <v>46021</v>
      </c>
      <c r="O1105" s="2">
        <v>44798</v>
      </c>
      <c r="P1105" s="4">
        <f t="shared" ca="1" si="104"/>
        <v>6</v>
      </c>
      <c r="Q1105" s="4" t="str">
        <f t="shared" ca="1" si="105"/>
        <v>6-10 Years</v>
      </c>
      <c r="R1105">
        <f t="shared" ca="1" si="107"/>
        <v>0</v>
      </c>
      <c r="S1105" t="s">
        <v>23</v>
      </c>
      <c r="T1105">
        <v>1</v>
      </c>
      <c r="U1105" t="s">
        <v>1394</v>
      </c>
      <c r="V1105" t="s">
        <v>1394</v>
      </c>
      <c r="W1105" t="s">
        <v>1394</v>
      </c>
      <c r="X1105" s="3">
        <v>3</v>
      </c>
      <c r="Y1105" t="s">
        <v>1398</v>
      </c>
      <c r="Z1105">
        <v>44121</v>
      </c>
      <c r="AA1105">
        <v>0.1</v>
      </c>
      <c r="AB1105">
        <v>48533.100000000006</v>
      </c>
    </row>
    <row r="1106" spans="1:28" x14ac:dyDescent="0.35">
      <c r="A1106" t="str">
        <f t="shared" si="102"/>
        <v>EMP1105</v>
      </c>
      <c r="B1106" t="str" cm="1">
        <f t="array" ref="B1106">_xlfn.IFS(
ROW()&lt;=421,"NA",
ROW()&lt;=781,"LATAM",
ROW()&lt;=1021,"EMEA",
TRUE,"APAC"
)</f>
        <v>APAC</v>
      </c>
      <c r="C1106" t="str">
        <f t="shared" si="103"/>
        <v>Singapore</v>
      </c>
      <c r="D1106" t="s">
        <v>44</v>
      </c>
      <c r="E1106" t="s">
        <v>380</v>
      </c>
      <c r="F1106" t="s">
        <v>693</v>
      </c>
      <c r="G1106" t="s">
        <v>28</v>
      </c>
      <c r="H1106" s="2">
        <v>42357</v>
      </c>
      <c r="I1106" t="s">
        <v>29</v>
      </c>
      <c r="J1106" t="s">
        <v>47</v>
      </c>
      <c r="K1106" t="str">
        <f t="shared" ca="1" si="106"/>
        <v>OK</v>
      </c>
      <c r="L1106" t="s">
        <v>175</v>
      </c>
      <c r="M1106">
        <v>5</v>
      </c>
      <c r="N1106" s="2">
        <v>46066</v>
      </c>
      <c r="O1106" s="2" t="s">
        <v>22</v>
      </c>
      <c r="P1106" s="4">
        <f t="shared" ca="1" si="104"/>
        <v>10</v>
      </c>
      <c r="Q1106" s="4" t="str">
        <f t="shared" ca="1" si="105"/>
        <v>6-10 Years</v>
      </c>
      <c r="R1106">
        <f t="shared" ca="1" si="107"/>
        <v>0</v>
      </c>
      <c r="S1106" t="s">
        <v>22</v>
      </c>
      <c r="T1106">
        <v>4</v>
      </c>
      <c r="U1106" t="s">
        <v>1396</v>
      </c>
      <c r="V1106" t="s">
        <v>1394</v>
      </c>
      <c r="W1106" t="s">
        <v>1394</v>
      </c>
      <c r="X1106" s="3">
        <v>2</v>
      </c>
      <c r="Y1106" t="s">
        <v>1397</v>
      </c>
      <c r="Z1106">
        <v>25323</v>
      </c>
      <c r="AA1106">
        <v>0.1</v>
      </c>
      <c r="AB1106">
        <v>27855.300000000003</v>
      </c>
    </row>
    <row r="1107" spans="1:28" x14ac:dyDescent="0.35">
      <c r="A1107" t="str">
        <f t="shared" si="102"/>
        <v>EMP1106</v>
      </c>
      <c r="B1107" t="str" cm="1">
        <f t="array" ref="B1107">_xlfn.IFS(
ROW()&lt;=421,"NA",
ROW()&lt;=781,"LATAM",
ROW()&lt;=1021,"EMEA",
TRUE,"APAC"
)</f>
        <v>APAC</v>
      </c>
      <c r="C1107" t="str">
        <f t="shared" si="103"/>
        <v>Singapore</v>
      </c>
      <c r="D1107" t="s">
        <v>26</v>
      </c>
      <c r="E1107" t="s">
        <v>380</v>
      </c>
      <c r="F1107" t="s">
        <v>486</v>
      </c>
      <c r="G1107" t="s">
        <v>28</v>
      </c>
      <c r="H1107" s="2">
        <v>42355</v>
      </c>
      <c r="I1107" t="s">
        <v>29</v>
      </c>
      <c r="J1107" t="s">
        <v>30</v>
      </c>
      <c r="K1107" t="str">
        <f t="shared" ca="1" si="106"/>
        <v>OK</v>
      </c>
      <c r="L1107" t="s">
        <v>487</v>
      </c>
      <c r="M1107">
        <v>5</v>
      </c>
      <c r="N1107" s="2">
        <v>46016</v>
      </c>
      <c r="O1107" s="2" t="s">
        <v>22</v>
      </c>
      <c r="P1107" s="4">
        <f t="shared" ca="1" si="104"/>
        <v>10</v>
      </c>
      <c r="Q1107" s="4" t="str">
        <f t="shared" ca="1" si="105"/>
        <v>6-10 Years</v>
      </c>
      <c r="R1107">
        <f t="shared" ca="1" si="107"/>
        <v>0</v>
      </c>
      <c r="S1107" t="s">
        <v>22</v>
      </c>
      <c r="T1107">
        <v>3</v>
      </c>
      <c r="U1107" t="s">
        <v>1394</v>
      </c>
      <c r="V1107" t="s">
        <v>1394</v>
      </c>
      <c r="W1107" t="s">
        <v>1394</v>
      </c>
      <c r="X1107" s="3">
        <v>1</v>
      </c>
      <c r="Y1107" t="s">
        <v>1397</v>
      </c>
      <c r="Z1107">
        <v>24737</v>
      </c>
      <c r="AA1107">
        <v>0.1</v>
      </c>
      <c r="AB1107">
        <v>27210.7</v>
      </c>
    </row>
    <row r="1108" spans="1:28" x14ac:dyDescent="0.35">
      <c r="A1108" t="str">
        <f t="shared" si="102"/>
        <v>EMP1107</v>
      </c>
      <c r="B1108" t="str" cm="1">
        <f t="array" ref="B1108">_xlfn.IFS(
ROW()&lt;=421,"NA",
ROW()&lt;=781,"LATAM",
ROW()&lt;=1021,"EMEA",
TRUE,"APAC"
)</f>
        <v>APAC</v>
      </c>
      <c r="C1108" t="str">
        <f t="shared" si="103"/>
        <v>Singapore</v>
      </c>
      <c r="D1108" t="s">
        <v>41</v>
      </c>
      <c r="E1108" t="s">
        <v>380</v>
      </c>
      <c r="F1108" t="s">
        <v>719</v>
      </c>
      <c r="G1108" t="s">
        <v>28</v>
      </c>
      <c r="H1108" s="2">
        <v>42354</v>
      </c>
      <c r="I1108" t="s">
        <v>29</v>
      </c>
      <c r="J1108" t="s">
        <v>42</v>
      </c>
      <c r="K1108" t="str">
        <f t="shared" ca="1" si="106"/>
        <v>OK</v>
      </c>
      <c r="L1108" t="s">
        <v>1154</v>
      </c>
      <c r="M1108">
        <v>5</v>
      </c>
      <c r="N1108" s="2">
        <v>46012</v>
      </c>
      <c r="O1108" s="2" t="s">
        <v>22</v>
      </c>
      <c r="P1108" s="4">
        <f t="shared" ca="1" si="104"/>
        <v>10</v>
      </c>
      <c r="Q1108" s="4" t="str">
        <f t="shared" ca="1" si="105"/>
        <v>6-10 Years</v>
      </c>
      <c r="R1108">
        <f t="shared" ca="1" si="107"/>
        <v>0</v>
      </c>
      <c r="S1108" t="s">
        <v>22</v>
      </c>
      <c r="T1108">
        <v>2</v>
      </c>
      <c r="U1108" t="s">
        <v>1394</v>
      </c>
      <c r="V1108" t="s">
        <v>1394</v>
      </c>
      <c r="W1108" t="s">
        <v>1394</v>
      </c>
      <c r="X1108" s="3">
        <v>2</v>
      </c>
      <c r="Y1108" t="s">
        <v>1397</v>
      </c>
      <c r="Z1108">
        <v>42467</v>
      </c>
      <c r="AA1108">
        <v>0.1</v>
      </c>
      <c r="AB1108">
        <v>46713.700000000004</v>
      </c>
    </row>
    <row r="1109" spans="1:28" x14ac:dyDescent="0.35">
      <c r="A1109" t="str">
        <f t="shared" si="102"/>
        <v>EMP1108</v>
      </c>
      <c r="B1109" t="str" cm="1">
        <f t="array" ref="B1109">_xlfn.IFS(
ROW()&lt;=421,"NA",
ROW()&lt;=781,"LATAM",
ROW()&lt;=1021,"EMEA",
TRUE,"APAC"
)</f>
        <v>APAC</v>
      </c>
      <c r="C1109" t="str">
        <f t="shared" si="103"/>
        <v>Singapore</v>
      </c>
      <c r="D1109" t="s">
        <v>41</v>
      </c>
      <c r="E1109" t="s">
        <v>145</v>
      </c>
      <c r="F1109" t="s">
        <v>273</v>
      </c>
      <c r="G1109" t="s">
        <v>28</v>
      </c>
      <c r="H1109" s="2">
        <v>42353</v>
      </c>
      <c r="I1109" t="s">
        <v>29</v>
      </c>
      <c r="J1109" t="s">
        <v>42</v>
      </c>
      <c r="K1109" t="str">
        <f t="shared" ca="1" si="106"/>
        <v>OK</v>
      </c>
      <c r="L1109" t="s">
        <v>274</v>
      </c>
      <c r="M1109">
        <v>4</v>
      </c>
      <c r="N1109" s="2">
        <v>46057</v>
      </c>
      <c r="O1109" s="2" t="s">
        <v>22</v>
      </c>
      <c r="P1109" s="4">
        <f t="shared" ca="1" si="104"/>
        <v>10</v>
      </c>
      <c r="Q1109" s="4" t="str">
        <f t="shared" ca="1" si="105"/>
        <v>6-10 Years</v>
      </c>
      <c r="R1109">
        <f t="shared" ca="1" si="107"/>
        <v>0</v>
      </c>
      <c r="S1109" t="s">
        <v>22</v>
      </c>
      <c r="T1109">
        <v>4</v>
      </c>
      <c r="U1109" t="s">
        <v>1394</v>
      </c>
      <c r="V1109" t="s">
        <v>1394</v>
      </c>
      <c r="W1109" t="s">
        <v>1394</v>
      </c>
      <c r="X1109" s="3">
        <v>2</v>
      </c>
      <c r="Y1109" t="s">
        <v>1397</v>
      </c>
      <c r="Z1109">
        <v>65542</v>
      </c>
      <c r="AA1109">
        <v>0.15</v>
      </c>
      <c r="AB1109">
        <v>75373.299999999988</v>
      </c>
    </row>
    <row r="1110" spans="1:28" x14ac:dyDescent="0.35">
      <c r="A1110" t="str">
        <f t="shared" si="102"/>
        <v>EMP1109</v>
      </c>
      <c r="B1110" t="str" cm="1">
        <f t="array" ref="B1110">_xlfn.IFS(
ROW()&lt;=421,"NA",
ROW()&lt;=781,"LATAM",
ROW()&lt;=1021,"EMEA",
TRUE,"APAC"
)</f>
        <v>APAC</v>
      </c>
      <c r="C1110" t="str">
        <f t="shared" si="103"/>
        <v>Singapore</v>
      </c>
      <c r="D1110" t="s">
        <v>44</v>
      </c>
      <c r="E1110" t="s">
        <v>45</v>
      </c>
      <c r="F1110" t="s">
        <v>60</v>
      </c>
      <c r="G1110" t="s">
        <v>28</v>
      </c>
      <c r="H1110" s="2">
        <v>42352</v>
      </c>
      <c r="I1110" t="s">
        <v>29</v>
      </c>
      <c r="J1110" t="s">
        <v>47</v>
      </c>
      <c r="K1110" t="str">
        <f t="shared" ca="1" si="106"/>
        <v>OK</v>
      </c>
      <c r="L1110" t="s">
        <v>66</v>
      </c>
      <c r="M1110">
        <v>2</v>
      </c>
      <c r="N1110" s="2">
        <v>46068</v>
      </c>
      <c r="O1110" s="2" t="s">
        <v>22</v>
      </c>
      <c r="P1110" s="4">
        <f t="shared" ca="1" si="104"/>
        <v>10</v>
      </c>
      <c r="Q1110" s="4" t="str">
        <f t="shared" ca="1" si="105"/>
        <v>6-10 Years</v>
      </c>
      <c r="R1110">
        <f t="shared" ca="1" si="107"/>
        <v>0</v>
      </c>
      <c r="S1110" t="s">
        <v>22</v>
      </c>
      <c r="T1110">
        <v>3</v>
      </c>
      <c r="U1110" t="s">
        <v>1394</v>
      </c>
      <c r="V1110" t="s">
        <v>1394</v>
      </c>
      <c r="W1110" t="s">
        <v>1394</v>
      </c>
      <c r="X1110" s="3">
        <v>2</v>
      </c>
      <c r="Y1110" t="s">
        <v>1397</v>
      </c>
      <c r="Z1110">
        <v>156259</v>
      </c>
      <c r="AA1110">
        <v>0.25</v>
      </c>
      <c r="AB1110">
        <v>195323.75</v>
      </c>
    </row>
    <row r="1111" spans="1:28" x14ac:dyDescent="0.35">
      <c r="A1111" t="str">
        <f t="shared" si="102"/>
        <v>EMP1110</v>
      </c>
      <c r="B1111" t="str" cm="1">
        <f t="array" ref="B1111">_xlfn.IFS(
ROW()&lt;=421,"NA",
ROW()&lt;=781,"LATAM",
ROW()&lt;=1021,"EMEA",
TRUE,"APAC"
)</f>
        <v>APAC</v>
      </c>
      <c r="C1111" t="str">
        <f t="shared" si="103"/>
        <v>Singapore</v>
      </c>
      <c r="D1111" t="s">
        <v>38</v>
      </c>
      <c r="E1111" t="s">
        <v>380</v>
      </c>
      <c r="F1111" t="s">
        <v>675</v>
      </c>
      <c r="G1111" t="s">
        <v>28</v>
      </c>
      <c r="H1111" s="2">
        <v>42350</v>
      </c>
      <c r="I1111" t="s">
        <v>29</v>
      </c>
      <c r="J1111" t="s">
        <v>39</v>
      </c>
      <c r="K1111" t="str">
        <f t="shared" ca="1" si="106"/>
        <v>OK</v>
      </c>
      <c r="L1111" t="s">
        <v>1311</v>
      </c>
      <c r="M1111">
        <v>5</v>
      </c>
      <c r="N1111" s="2">
        <v>46014</v>
      </c>
      <c r="O1111" s="2" t="s">
        <v>22</v>
      </c>
      <c r="P1111" s="4">
        <f t="shared" ca="1" si="104"/>
        <v>10</v>
      </c>
      <c r="Q1111" s="4" t="str">
        <f t="shared" ca="1" si="105"/>
        <v>6-10 Years</v>
      </c>
      <c r="R1111">
        <f t="shared" ca="1" si="107"/>
        <v>0</v>
      </c>
      <c r="S1111" t="s">
        <v>22</v>
      </c>
      <c r="T1111">
        <v>5</v>
      </c>
      <c r="U1111" t="s">
        <v>1396</v>
      </c>
      <c r="V1111" t="s">
        <v>1394</v>
      </c>
      <c r="W1111" t="s">
        <v>1394</v>
      </c>
      <c r="X1111" s="3">
        <v>3</v>
      </c>
      <c r="Y1111" t="s">
        <v>1398</v>
      </c>
      <c r="Z1111">
        <v>30739</v>
      </c>
      <c r="AA1111">
        <v>0.1</v>
      </c>
      <c r="AB1111">
        <v>33812.9</v>
      </c>
    </row>
    <row r="1112" spans="1:28" x14ac:dyDescent="0.35">
      <c r="A1112" t="str">
        <f t="shared" si="102"/>
        <v>EMP1111</v>
      </c>
      <c r="B1112" t="str" cm="1">
        <f t="array" ref="B1112">_xlfn.IFS(
ROW()&lt;=421,"NA",
ROW()&lt;=781,"LATAM",
ROW()&lt;=1021,"EMEA",
TRUE,"APAC"
)</f>
        <v>APAC</v>
      </c>
      <c r="C1112" t="str">
        <f t="shared" si="103"/>
        <v>Singapore</v>
      </c>
      <c r="D1112" t="s">
        <v>26</v>
      </c>
      <c r="E1112" t="s">
        <v>380</v>
      </c>
      <c r="F1112" t="s">
        <v>675</v>
      </c>
      <c r="G1112" t="s">
        <v>28</v>
      </c>
      <c r="H1112" s="2">
        <v>42349</v>
      </c>
      <c r="I1112" t="s">
        <v>29</v>
      </c>
      <c r="J1112" t="s">
        <v>30</v>
      </c>
      <c r="K1112" t="str">
        <f t="shared" ca="1" si="106"/>
        <v>OK</v>
      </c>
      <c r="L1112" t="s">
        <v>789</v>
      </c>
      <c r="M1112">
        <v>5</v>
      </c>
      <c r="N1112" s="2">
        <v>46063</v>
      </c>
      <c r="O1112" s="2" t="s">
        <v>22</v>
      </c>
      <c r="P1112" s="4">
        <f t="shared" ca="1" si="104"/>
        <v>10</v>
      </c>
      <c r="Q1112" s="4" t="str">
        <f t="shared" ca="1" si="105"/>
        <v>6-10 Years</v>
      </c>
      <c r="R1112">
        <f t="shared" ca="1" si="107"/>
        <v>0</v>
      </c>
      <c r="S1112" t="s">
        <v>22</v>
      </c>
      <c r="T1112">
        <v>3</v>
      </c>
      <c r="U1112" t="s">
        <v>1394</v>
      </c>
      <c r="V1112" t="s">
        <v>1394</v>
      </c>
      <c r="W1112" t="s">
        <v>1394</v>
      </c>
      <c r="X1112" s="3">
        <v>2</v>
      </c>
      <c r="Y1112" t="s">
        <v>1397</v>
      </c>
      <c r="Z1112">
        <v>31321</v>
      </c>
      <c r="AA1112">
        <v>0.1</v>
      </c>
      <c r="AB1112">
        <v>34453.100000000006</v>
      </c>
    </row>
    <row r="1113" spans="1:28" x14ac:dyDescent="0.35">
      <c r="A1113" t="str">
        <f t="shared" si="102"/>
        <v>EMP1112</v>
      </c>
      <c r="B1113" t="str" cm="1">
        <f t="array" ref="B1113">_xlfn.IFS(
ROW()&lt;=421,"NA",
ROW()&lt;=781,"LATAM",
ROW()&lt;=1021,"EMEA",
TRUE,"APAC"
)</f>
        <v>APAC</v>
      </c>
      <c r="C1113" t="str">
        <f t="shared" si="103"/>
        <v>Singapore</v>
      </c>
      <c r="D1113" t="s">
        <v>41</v>
      </c>
      <c r="E1113" t="s">
        <v>145</v>
      </c>
      <c r="F1113" t="s">
        <v>182</v>
      </c>
      <c r="G1113" t="s">
        <v>28</v>
      </c>
      <c r="H1113" s="2">
        <v>42347</v>
      </c>
      <c r="I1113" t="s">
        <v>29</v>
      </c>
      <c r="J1113" t="s">
        <v>42</v>
      </c>
      <c r="K1113" t="str">
        <f t="shared" ca="1" si="106"/>
        <v>OK</v>
      </c>
      <c r="L1113" t="s">
        <v>311</v>
      </c>
      <c r="M1113">
        <v>4</v>
      </c>
      <c r="N1113" s="2">
        <v>45992</v>
      </c>
      <c r="O1113" s="2" t="s">
        <v>22</v>
      </c>
      <c r="P1113" s="4">
        <f t="shared" ca="1" si="104"/>
        <v>10</v>
      </c>
      <c r="Q1113" s="4" t="str">
        <f t="shared" ca="1" si="105"/>
        <v>6-10 Years</v>
      </c>
      <c r="R1113">
        <f t="shared" ca="1" si="107"/>
        <v>0</v>
      </c>
      <c r="S1113" t="s">
        <v>22</v>
      </c>
      <c r="T1113">
        <v>3</v>
      </c>
      <c r="U1113" t="s">
        <v>1394</v>
      </c>
      <c r="V1113" t="s">
        <v>1394</v>
      </c>
      <c r="W1113" t="s">
        <v>1394</v>
      </c>
      <c r="X1113" s="3">
        <v>1</v>
      </c>
      <c r="Y1113" t="s">
        <v>1397</v>
      </c>
      <c r="Z1113">
        <v>53678</v>
      </c>
      <c r="AA1113">
        <v>0.15</v>
      </c>
      <c r="AB1113">
        <v>61729.7</v>
      </c>
    </row>
    <row r="1114" spans="1:28" x14ac:dyDescent="0.35">
      <c r="A1114" t="str">
        <f t="shared" si="102"/>
        <v>EMP1113</v>
      </c>
      <c r="B1114" t="str" cm="1">
        <f t="array" ref="B1114">_xlfn.IFS(
ROW()&lt;=421,"NA",
ROW()&lt;=781,"LATAM",
ROW()&lt;=1021,"EMEA",
TRUE,"APAC"
)</f>
        <v>APAC</v>
      </c>
      <c r="C1114" t="str">
        <f t="shared" si="103"/>
        <v>Singapore</v>
      </c>
      <c r="D1114" t="s">
        <v>41</v>
      </c>
      <c r="E1114" t="s">
        <v>69</v>
      </c>
      <c r="F1114" t="s">
        <v>98</v>
      </c>
      <c r="G1114" t="s">
        <v>28</v>
      </c>
      <c r="H1114" s="2">
        <v>42340</v>
      </c>
      <c r="I1114" t="s">
        <v>29</v>
      </c>
      <c r="J1114" t="s">
        <v>42</v>
      </c>
      <c r="K1114" t="str">
        <f t="shared" ca="1" si="106"/>
        <v>OK</v>
      </c>
      <c r="L1114" t="s">
        <v>129</v>
      </c>
      <c r="M1114">
        <v>3</v>
      </c>
      <c r="N1114" s="2">
        <v>46032</v>
      </c>
      <c r="O1114" s="2" t="s">
        <v>22</v>
      </c>
      <c r="P1114" s="4">
        <f t="shared" ca="1" si="104"/>
        <v>10</v>
      </c>
      <c r="Q1114" s="4" t="str">
        <f t="shared" ca="1" si="105"/>
        <v>6-10 Years</v>
      </c>
      <c r="R1114">
        <f t="shared" ca="1" si="107"/>
        <v>0</v>
      </c>
      <c r="S1114" t="s">
        <v>22</v>
      </c>
      <c r="T1114">
        <v>4</v>
      </c>
      <c r="U1114" t="s">
        <v>1394</v>
      </c>
      <c r="V1114" t="s">
        <v>1394</v>
      </c>
      <c r="W1114" t="s">
        <v>1394</v>
      </c>
      <c r="X1114" s="3">
        <v>1</v>
      </c>
      <c r="Y1114" t="s">
        <v>1397</v>
      </c>
      <c r="Z1114">
        <v>100593</v>
      </c>
      <c r="AA1114">
        <v>0.2</v>
      </c>
      <c r="AB1114">
        <v>120711.59999999999</v>
      </c>
    </row>
    <row r="1115" spans="1:28" x14ac:dyDescent="0.35">
      <c r="A1115" t="str">
        <f t="shared" si="102"/>
        <v>EMP1114</v>
      </c>
      <c r="B1115" t="str" cm="1">
        <f t="array" ref="B1115">_xlfn.IFS(
ROW()&lt;=421,"NA",
ROW()&lt;=781,"LATAM",
ROW()&lt;=1021,"EMEA",
TRUE,"APAC"
)</f>
        <v>APAC</v>
      </c>
      <c r="C1115" t="str">
        <f t="shared" si="103"/>
        <v>Singapore</v>
      </c>
      <c r="D1115" t="s">
        <v>35</v>
      </c>
      <c r="E1115" t="s">
        <v>145</v>
      </c>
      <c r="F1115" t="s">
        <v>361</v>
      </c>
      <c r="G1115" t="s">
        <v>28</v>
      </c>
      <c r="H1115" s="2">
        <v>42328</v>
      </c>
      <c r="I1115" t="s">
        <v>29</v>
      </c>
      <c r="J1115" t="s">
        <v>36</v>
      </c>
      <c r="K1115" t="str">
        <f t="shared" ca="1" si="106"/>
        <v>OK</v>
      </c>
      <c r="L1115" t="s">
        <v>362</v>
      </c>
      <c r="M1115">
        <v>4</v>
      </c>
      <c r="N1115" s="2">
        <v>46021</v>
      </c>
      <c r="O1115" s="2" t="s">
        <v>22</v>
      </c>
      <c r="P1115" s="4">
        <f t="shared" ca="1" si="104"/>
        <v>10</v>
      </c>
      <c r="Q1115" s="4" t="str">
        <f t="shared" ca="1" si="105"/>
        <v>6-10 Years</v>
      </c>
      <c r="R1115">
        <f t="shared" ca="1" si="107"/>
        <v>0</v>
      </c>
      <c r="S1115" t="s">
        <v>22</v>
      </c>
      <c r="T1115">
        <v>4</v>
      </c>
      <c r="U1115" t="s">
        <v>1394</v>
      </c>
      <c r="V1115" t="s">
        <v>1396</v>
      </c>
      <c r="W1115" t="s">
        <v>1396</v>
      </c>
      <c r="X1115" s="3">
        <v>1</v>
      </c>
      <c r="Y1115" t="s">
        <v>1397</v>
      </c>
      <c r="Z1115">
        <v>69194</v>
      </c>
      <c r="AA1115">
        <v>0.15</v>
      </c>
      <c r="AB1115">
        <v>79573.099999999991</v>
      </c>
    </row>
    <row r="1116" spans="1:28" x14ac:dyDescent="0.35">
      <c r="A1116" t="str">
        <f t="shared" si="102"/>
        <v>EMP1115</v>
      </c>
      <c r="B1116" t="str" cm="1">
        <f t="array" ref="B1116">_xlfn.IFS(
ROW()&lt;=421,"NA",
ROW()&lt;=781,"LATAM",
ROW()&lt;=1021,"EMEA",
TRUE,"APAC"
)</f>
        <v>APAC</v>
      </c>
      <c r="C1116" t="str">
        <f t="shared" si="103"/>
        <v>Singapore</v>
      </c>
      <c r="D1116" t="s">
        <v>35</v>
      </c>
      <c r="E1116" t="s">
        <v>380</v>
      </c>
      <c r="F1116" t="s">
        <v>424</v>
      </c>
      <c r="G1116" t="s">
        <v>28</v>
      </c>
      <c r="H1116" s="2">
        <v>42324</v>
      </c>
      <c r="I1116" t="s">
        <v>29</v>
      </c>
      <c r="J1116" t="s">
        <v>36</v>
      </c>
      <c r="K1116" t="str">
        <f t="shared" ca="1" si="106"/>
        <v>OK</v>
      </c>
      <c r="L1116" t="s">
        <v>470</v>
      </c>
      <c r="M1116">
        <v>5</v>
      </c>
      <c r="N1116" s="2">
        <v>46036</v>
      </c>
      <c r="O1116" s="2" t="s">
        <v>22</v>
      </c>
      <c r="P1116" s="4">
        <f t="shared" ca="1" si="104"/>
        <v>10</v>
      </c>
      <c r="Q1116" s="4" t="str">
        <f t="shared" ca="1" si="105"/>
        <v>6-10 Years</v>
      </c>
      <c r="R1116">
        <f t="shared" ca="1" si="107"/>
        <v>0</v>
      </c>
      <c r="S1116" t="s">
        <v>22</v>
      </c>
      <c r="T1116">
        <v>3</v>
      </c>
      <c r="U1116" t="s">
        <v>1394</v>
      </c>
      <c r="V1116" t="s">
        <v>1394</v>
      </c>
      <c r="W1116" t="s">
        <v>1394</v>
      </c>
      <c r="X1116" s="3">
        <v>1</v>
      </c>
      <c r="Y1116" t="s">
        <v>1397</v>
      </c>
      <c r="Z1116">
        <v>25021</v>
      </c>
      <c r="AA1116">
        <v>0.1</v>
      </c>
      <c r="AB1116">
        <v>27523.100000000002</v>
      </c>
    </row>
    <row r="1117" spans="1:28" x14ac:dyDescent="0.35">
      <c r="A1117" t="str">
        <f t="shared" si="102"/>
        <v>EMP1116</v>
      </c>
      <c r="B1117" t="str" cm="1">
        <f t="array" ref="B1117">_xlfn.IFS(
ROW()&lt;=421,"NA",
ROW()&lt;=781,"LATAM",
ROW()&lt;=1021,"EMEA",
TRUE,"APAC"
)</f>
        <v>APAC</v>
      </c>
      <c r="C1117" t="str">
        <f t="shared" si="103"/>
        <v>Singapore</v>
      </c>
      <c r="D1117" t="s">
        <v>32</v>
      </c>
      <c r="E1117" t="s">
        <v>380</v>
      </c>
      <c r="F1117" t="s">
        <v>1106</v>
      </c>
      <c r="G1117" t="s">
        <v>28</v>
      </c>
      <c r="H1117" s="2">
        <v>42314</v>
      </c>
      <c r="I1117" t="s">
        <v>57</v>
      </c>
      <c r="J1117" t="s">
        <v>33</v>
      </c>
      <c r="K1117" t="str">
        <f t="shared" ca="1" si="106"/>
        <v>OK</v>
      </c>
      <c r="L1117" t="s">
        <v>34</v>
      </c>
      <c r="M1117">
        <v>5</v>
      </c>
      <c r="N1117" s="2">
        <v>46042</v>
      </c>
      <c r="O1117" s="2">
        <v>43788</v>
      </c>
      <c r="P1117" s="4">
        <f t="shared" ca="1" si="104"/>
        <v>4</v>
      </c>
      <c r="Q1117" s="4" t="str">
        <f t="shared" ca="1" si="105"/>
        <v>3-5 Years</v>
      </c>
      <c r="R1117">
        <f t="shared" ca="1" si="107"/>
        <v>0</v>
      </c>
      <c r="S1117" t="s">
        <v>23</v>
      </c>
      <c r="T1117">
        <v>3</v>
      </c>
      <c r="U1117" t="s">
        <v>1394</v>
      </c>
      <c r="V1117" t="s">
        <v>1394</v>
      </c>
      <c r="W1117" t="s">
        <v>1394</v>
      </c>
      <c r="X1117" s="3">
        <v>1</v>
      </c>
      <c r="Y1117" t="s">
        <v>1397</v>
      </c>
      <c r="Z1117">
        <v>28908</v>
      </c>
      <c r="AA1117">
        <v>0.1</v>
      </c>
      <c r="AB1117">
        <v>31798.800000000003</v>
      </c>
    </row>
    <row r="1118" spans="1:28" x14ac:dyDescent="0.35">
      <c r="A1118" t="str">
        <f t="shared" si="102"/>
        <v>EMP1117</v>
      </c>
      <c r="B1118" t="str" cm="1">
        <f t="array" ref="B1118">_xlfn.IFS(
ROW()&lt;=421,"NA",
ROW()&lt;=781,"LATAM",
ROW()&lt;=1021,"EMEA",
TRUE,"APAC"
)</f>
        <v>APAC</v>
      </c>
      <c r="C1118" t="str">
        <f t="shared" si="103"/>
        <v>Singapore</v>
      </c>
      <c r="D1118" t="s">
        <v>38</v>
      </c>
      <c r="E1118" t="s">
        <v>380</v>
      </c>
      <c r="F1118" t="s">
        <v>658</v>
      </c>
      <c r="G1118" t="s">
        <v>28</v>
      </c>
      <c r="H1118" s="2">
        <v>42312</v>
      </c>
      <c r="I1118" t="s">
        <v>29</v>
      </c>
      <c r="J1118" t="s">
        <v>39</v>
      </c>
      <c r="K1118" t="str">
        <f t="shared" ca="1" si="106"/>
        <v>OK</v>
      </c>
      <c r="L1118" t="s">
        <v>1063</v>
      </c>
      <c r="M1118">
        <v>5</v>
      </c>
      <c r="N1118" s="2">
        <v>45989</v>
      </c>
      <c r="O1118" s="2" t="s">
        <v>22</v>
      </c>
      <c r="P1118" s="4">
        <f t="shared" ca="1" si="104"/>
        <v>10</v>
      </c>
      <c r="Q1118" s="4" t="str">
        <f t="shared" ca="1" si="105"/>
        <v>6-10 Years</v>
      </c>
      <c r="R1118">
        <f t="shared" ca="1" si="107"/>
        <v>0</v>
      </c>
      <c r="S1118" t="s">
        <v>22</v>
      </c>
      <c r="T1118">
        <v>3</v>
      </c>
      <c r="U1118" t="s">
        <v>1394</v>
      </c>
      <c r="V1118" t="s">
        <v>1394</v>
      </c>
      <c r="W1118" t="s">
        <v>1394</v>
      </c>
      <c r="X1118" s="3">
        <v>4</v>
      </c>
      <c r="Y1118" t="s">
        <v>1395</v>
      </c>
      <c r="Z1118">
        <v>22551</v>
      </c>
      <c r="AA1118">
        <v>0.1</v>
      </c>
      <c r="AB1118">
        <v>24806.100000000002</v>
      </c>
    </row>
    <row r="1119" spans="1:28" x14ac:dyDescent="0.35">
      <c r="A1119" t="str">
        <f t="shared" si="102"/>
        <v>EMP1118</v>
      </c>
      <c r="B1119" t="str" cm="1">
        <f t="array" ref="B1119">_xlfn.IFS(
ROW()&lt;=421,"NA",
ROW()&lt;=781,"LATAM",
ROW()&lt;=1021,"EMEA",
TRUE,"APAC"
)</f>
        <v>APAC</v>
      </c>
      <c r="C1119" t="str">
        <f t="shared" si="103"/>
        <v>Singapore</v>
      </c>
      <c r="D1119" t="s">
        <v>38</v>
      </c>
      <c r="E1119" t="s">
        <v>69</v>
      </c>
      <c r="F1119" t="s">
        <v>79</v>
      </c>
      <c r="G1119" t="s">
        <v>28</v>
      </c>
      <c r="H1119" s="2">
        <v>42311</v>
      </c>
      <c r="I1119" t="s">
        <v>29</v>
      </c>
      <c r="J1119" t="s">
        <v>39</v>
      </c>
      <c r="K1119" t="str">
        <f t="shared" ca="1" si="106"/>
        <v>OK</v>
      </c>
      <c r="L1119" t="s">
        <v>93</v>
      </c>
      <c r="M1119">
        <v>3</v>
      </c>
      <c r="N1119" s="2">
        <v>46074</v>
      </c>
      <c r="O1119" s="2" t="s">
        <v>22</v>
      </c>
      <c r="P1119" s="4">
        <f t="shared" ca="1" si="104"/>
        <v>10</v>
      </c>
      <c r="Q1119" s="4" t="str">
        <f t="shared" ca="1" si="105"/>
        <v>6-10 Years</v>
      </c>
      <c r="R1119">
        <f t="shared" ca="1" si="107"/>
        <v>0</v>
      </c>
      <c r="S1119" t="s">
        <v>22</v>
      </c>
      <c r="T1119">
        <v>3</v>
      </c>
      <c r="U1119" t="s">
        <v>1394</v>
      </c>
      <c r="V1119" t="s">
        <v>1394</v>
      </c>
      <c r="W1119" t="s">
        <v>1394</v>
      </c>
      <c r="X1119" s="3">
        <v>2</v>
      </c>
      <c r="Y1119" t="s">
        <v>1397</v>
      </c>
      <c r="Z1119">
        <v>105634</v>
      </c>
      <c r="AA1119">
        <v>0.2</v>
      </c>
      <c r="AB1119">
        <v>126760.79999999999</v>
      </c>
    </row>
    <row r="1120" spans="1:28" x14ac:dyDescent="0.35">
      <c r="A1120" t="str">
        <f t="shared" si="102"/>
        <v>EMP1119</v>
      </c>
      <c r="B1120" t="str" cm="1">
        <f t="array" ref="B1120">_xlfn.IFS(
ROW()&lt;=421,"NA",
ROW()&lt;=781,"LATAM",
ROW()&lt;=1021,"EMEA",
TRUE,"APAC"
)</f>
        <v>APAC</v>
      </c>
      <c r="C1120" t="str">
        <f t="shared" si="103"/>
        <v>Singapore</v>
      </c>
      <c r="D1120" t="s">
        <v>32</v>
      </c>
      <c r="E1120" t="s">
        <v>380</v>
      </c>
      <c r="F1120" t="s">
        <v>698</v>
      </c>
      <c r="G1120" t="s">
        <v>28</v>
      </c>
      <c r="H1120" s="2">
        <v>42311</v>
      </c>
      <c r="I1120" t="s">
        <v>29</v>
      </c>
      <c r="J1120" t="s">
        <v>33</v>
      </c>
      <c r="K1120" t="str">
        <f t="shared" ca="1" si="106"/>
        <v>OK</v>
      </c>
      <c r="L1120" t="s">
        <v>818</v>
      </c>
      <c r="M1120">
        <v>5</v>
      </c>
      <c r="N1120" s="2">
        <v>46031</v>
      </c>
      <c r="O1120" s="2" t="s">
        <v>22</v>
      </c>
      <c r="P1120" s="4">
        <f t="shared" ca="1" si="104"/>
        <v>10</v>
      </c>
      <c r="Q1120" s="4" t="str">
        <f t="shared" ca="1" si="105"/>
        <v>6-10 Years</v>
      </c>
      <c r="R1120">
        <f t="shared" ca="1" si="107"/>
        <v>0</v>
      </c>
      <c r="S1120" t="s">
        <v>22</v>
      </c>
      <c r="T1120">
        <v>3</v>
      </c>
      <c r="U1120" t="s">
        <v>1394</v>
      </c>
      <c r="V1120" t="s">
        <v>1394</v>
      </c>
      <c r="W1120" t="s">
        <v>1394</v>
      </c>
      <c r="X1120" s="3">
        <v>4</v>
      </c>
      <c r="Y1120" t="s">
        <v>1395</v>
      </c>
      <c r="Z1120">
        <v>34730</v>
      </c>
      <c r="AA1120">
        <v>0.1</v>
      </c>
      <c r="AB1120">
        <v>38203</v>
      </c>
    </row>
    <row r="1121" spans="1:28" x14ac:dyDescent="0.35">
      <c r="A1121" t="str">
        <f t="shared" si="102"/>
        <v>EMP1120</v>
      </c>
      <c r="B1121" t="str" cm="1">
        <f t="array" ref="B1121">_xlfn.IFS(
ROW()&lt;=421,"NA",
ROW()&lt;=781,"LATAM",
ROW()&lt;=1021,"EMEA",
TRUE,"APAC"
)</f>
        <v>APAC</v>
      </c>
      <c r="C1121" t="str">
        <f t="shared" si="103"/>
        <v>Singapore</v>
      </c>
      <c r="D1121" t="s">
        <v>38</v>
      </c>
      <c r="E1121" t="s">
        <v>380</v>
      </c>
      <c r="F1121" t="s">
        <v>381</v>
      </c>
      <c r="G1121" t="s">
        <v>28</v>
      </c>
      <c r="H1121" s="2">
        <v>42298</v>
      </c>
      <c r="I1121" t="s">
        <v>29</v>
      </c>
      <c r="J1121" t="s">
        <v>39</v>
      </c>
      <c r="K1121" t="str">
        <f t="shared" ca="1" si="106"/>
        <v>OK</v>
      </c>
      <c r="L1121" t="s">
        <v>1237</v>
      </c>
      <c r="M1121">
        <v>5</v>
      </c>
      <c r="N1121" s="2">
        <v>46062</v>
      </c>
      <c r="O1121" s="2" t="s">
        <v>22</v>
      </c>
      <c r="P1121" s="4">
        <f t="shared" ca="1" si="104"/>
        <v>10</v>
      </c>
      <c r="Q1121" s="4" t="str">
        <f t="shared" ca="1" si="105"/>
        <v>6-10 Years</v>
      </c>
      <c r="R1121">
        <f t="shared" ca="1" si="107"/>
        <v>0</v>
      </c>
      <c r="S1121" t="s">
        <v>22</v>
      </c>
      <c r="T1121">
        <v>4</v>
      </c>
      <c r="U1121" t="s">
        <v>1394</v>
      </c>
      <c r="V1121" t="s">
        <v>1394</v>
      </c>
      <c r="W1121" t="s">
        <v>1394</v>
      </c>
      <c r="X1121" s="3">
        <v>2</v>
      </c>
      <c r="Y1121" t="s">
        <v>1397</v>
      </c>
      <c r="Z1121">
        <v>39300</v>
      </c>
      <c r="AA1121">
        <v>0.1</v>
      </c>
      <c r="AB1121">
        <v>43230</v>
      </c>
    </row>
    <row r="1122" spans="1:28" x14ac:dyDescent="0.35">
      <c r="A1122" t="str">
        <f t="shared" si="102"/>
        <v>EMP1121</v>
      </c>
      <c r="B1122" t="str" cm="1">
        <f t="array" ref="B1122">_xlfn.IFS(
ROW()&lt;=421,"NA",
ROW()&lt;=781,"LATAM",
ROW()&lt;=1021,"EMEA",
TRUE,"APAC"
)</f>
        <v>APAC</v>
      </c>
      <c r="C1122" t="str">
        <f t="shared" si="103"/>
        <v>Singapore</v>
      </c>
      <c r="D1122" t="s">
        <v>44</v>
      </c>
      <c r="E1122" t="s">
        <v>380</v>
      </c>
      <c r="F1122" t="s">
        <v>933</v>
      </c>
      <c r="G1122" t="s">
        <v>28</v>
      </c>
      <c r="H1122" s="2">
        <v>42284</v>
      </c>
      <c r="I1122" t="s">
        <v>29</v>
      </c>
      <c r="J1122" t="s">
        <v>47</v>
      </c>
      <c r="K1122" t="str">
        <f t="shared" ca="1" si="106"/>
        <v>OK</v>
      </c>
      <c r="L1122" t="s">
        <v>1003</v>
      </c>
      <c r="M1122">
        <v>5</v>
      </c>
      <c r="N1122" s="2">
        <v>46016</v>
      </c>
      <c r="O1122" s="2" t="s">
        <v>22</v>
      </c>
      <c r="P1122" s="4">
        <f t="shared" ca="1" si="104"/>
        <v>10</v>
      </c>
      <c r="Q1122" s="4" t="str">
        <f t="shared" ca="1" si="105"/>
        <v>6-10 Years</v>
      </c>
      <c r="R1122">
        <f t="shared" ca="1" si="107"/>
        <v>0</v>
      </c>
      <c r="S1122" t="s">
        <v>22</v>
      </c>
      <c r="T1122">
        <v>3</v>
      </c>
      <c r="U1122" t="s">
        <v>1394</v>
      </c>
      <c r="V1122" t="s">
        <v>1394</v>
      </c>
      <c r="W1122" t="s">
        <v>1394</v>
      </c>
      <c r="X1122" s="3">
        <v>2</v>
      </c>
      <c r="Y1122" t="s">
        <v>1397</v>
      </c>
      <c r="Z1122">
        <v>35222</v>
      </c>
      <c r="AA1122">
        <v>0.1</v>
      </c>
      <c r="AB1122">
        <v>38744.200000000004</v>
      </c>
    </row>
    <row r="1123" spans="1:28" x14ac:dyDescent="0.35">
      <c r="A1123" t="str">
        <f t="shared" si="102"/>
        <v>EMP1122</v>
      </c>
      <c r="B1123" t="str" cm="1">
        <f t="array" ref="B1123">_xlfn.IFS(
ROW()&lt;=421,"NA",
ROW()&lt;=781,"LATAM",
ROW()&lt;=1021,"EMEA",
TRUE,"APAC"
)</f>
        <v>APAC</v>
      </c>
      <c r="C1123" t="str">
        <f t="shared" si="103"/>
        <v>Singapore</v>
      </c>
      <c r="D1123" t="s">
        <v>44</v>
      </c>
      <c r="E1123" t="s">
        <v>145</v>
      </c>
      <c r="F1123" t="s">
        <v>150</v>
      </c>
      <c r="G1123" t="s">
        <v>28</v>
      </c>
      <c r="H1123" s="2">
        <v>42282</v>
      </c>
      <c r="I1123" t="s">
        <v>29</v>
      </c>
      <c r="J1123" t="s">
        <v>47</v>
      </c>
      <c r="K1123" t="str">
        <f t="shared" ca="1" si="106"/>
        <v>OK</v>
      </c>
      <c r="L1123" t="s">
        <v>214</v>
      </c>
      <c r="M1123">
        <v>4</v>
      </c>
      <c r="N1123" s="2">
        <v>45990</v>
      </c>
      <c r="O1123" s="2" t="s">
        <v>22</v>
      </c>
      <c r="P1123" s="4">
        <f t="shared" ca="1" si="104"/>
        <v>10</v>
      </c>
      <c r="Q1123" s="4" t="str">
        <f t="shared" ca="1" si="105"/>
        <v>6-10 Years</v>
      </c>
      <c r="R1123">
        <f t="shared" ca="1" si="107"/>
        <v>0</v>
      </c>
      <c r="S1123" t="s">
        <v>22</v>
      </c>
      <c r="T1123">
        <v>2</v>
      </c>
      <c r="U1123" t="s">
        <v>1394</v>
      </c>
      <c r="V1123" t="s">
        <v>1394</v>
      </c>
      <c r="W1123" t="s">
        <v>1394</v>
      </c>
      <c r="X1123" s="3">
        <v>3</v>
      </c>
      <c r="Y1123" t="s">
        <v>1398</v>
      </c>
      <c r="Z1123">
        <v>69620</v>
      </c>
      <c r="AA1123">
        <v>0.15</v>
      </c>
      <c r="AB1123">
        <v>80063</v>
      </c>
    </row>
    <row r="1124" spans="1:28" x14ac:dyDescent="0.35">
      <c r="A1124" t="str">
        <f t="shared" si="102"/>
        <v>EMP1123</v>
      </c>
      <c r="B1124" t="str" cm="1">
        <f t="array" ref="B1124">_xlfn.IFS(
ROW()&lt;=421,"NA",
ROW()&lt;=781,"LATAM",
ROW()&lt;=1021,"EMEA",
TRUE,"APAC"
)</f>
        <v>APAC</v>
      </c>
      <c r="C1124" t="str">
        <f t="shared" si="103"/>
        <v>Singapore</v>
      </c>
      <c r="D1124" t="s">
        <v>32</v>
      </c>
      <c r="E1124" t="s">
        <v>380</v>
      </c>
      <c r="F1124" t="s">
        <v>521</v>
      </c>
      <c r="G1124" t="s">
        <v>28</v>
      </c>
      <c r="H1124" s="2">
        <v>42281</v>
      </c>
      <c r="I1124" t="s">
        <v>29</v>
      </c>
      <c r="J1124" t="s">
        <v>33</v>
      </c>
      <c r="K1124" t="str">
        <f t="shared" ca="1" si="106"/>
        <v>OK</v>
      </c>
      <c r="L1124" t="s">
        <v>1362</v>
      </c>
      <c r="M1124">
        <v>5</v>
      </c>
      <c r="N1124" s="2">
        <v>46014</v>
      </c>
      <c r="O1124" s="2" t="s">
        <v>22</v>
      </c>
      <c r="P1124" s="4">
        <f t="shared" ca="1" si="104"/>
        <v>10</v>
      </c>
      <c r="Q1124" s="4" t="str">
        <f t="shared" ca="1" si="105"/>
        <v>6-10 Years</v>
      </c>
      <c r="R1124">
        <f t="shared" ca="1" si="107"/>
        <v>0</v>
      </c>
      <c r="S1124" t="s">
        <v>22</v>
      </c>
      <c r="T1124">
        <v>4</v>
      </c>
      <c r="U1124" t="s">
        <v>1394</v>
      </c>
      <c r="V1124" t="s">
        <v>1394</v>
      </c>
      <c r="W1124" t="s">
        <v>1394</v>
      </c>
      <c r="X1124" s="3">
        <v>2</v>
      </c>
      <c r="Y1124" t="s">
        <v>1397</v>
      </c>
      <c r="Z1124">
        <v>40990</v>
      </c>
      <c r="AA1124">
        <v>0.1</v>
      </c>
      <c r="AB1124">
        <v>45089.000000000007</v>
      </c>
    </row>
    <row r="1125" spans="1:28" x14ac:dyDescent="0.35">
      <c r="A1125" t="str">
        <f t="shared" si="102"/>
        <v>EMP1124</v>
      </c>
      <c r="B1125" t="str" cm="1">
        <f t="array" ref="B1125">_xlfn.IFS(
ROW()&lt;=421,"NA",
ROW()&lt;=781,"LATAM",
ROW()&lt;=1021,"EMEA",
TRUE,"APAC"
)</f>
        <v>APAC</v>
      </c>
      <c r="C1125" t="str">
        <f t="shared" si="103"/>
        <v>Singapore</v>
      </c>
      <c r="D1125" t="s">
        <v>44</v>
      </c>
      <c r="E1125" t="s">
        <v>380</v>
      </c>
      <c r="F1125" t="s">
        <v>736</v>
      </c>
      <c r="G1125" t="s">
        <v>28</v>
      </c>
      <c r="H1125" s="2">
        <v>42279</v>
      </c>
      <c r="I1125" t="s">
        <v>29</v>
      </c>
      <c r="J1125" t="s">
        <v>47</v>
      </c>
      <c r="K1125" t="str">
        <f t="shared" ca="1" si="106"/>
        <v>OK</v>
      </c>
      <c r="L1125" t="s">
        <v>737</v>
      </c>
      <c r="M1125">
        <v>5</v>
      </c>
      <c r="N1125" s="2">
        <v>46025</v>
      </c>
      <c r="O1125" s="2" t="s">
        <v>22</v>
      </c>
      <c r="P1125" s="4">
        <f t="shared" ca="1" si="104"/>
        <v>10</v>
      </c>
      <c r="Q1125" s="4" t="str">
        <f t="shared" ca="1" si="105"/>
        <v>6-10 Years</v>
      </c>
      <c r="R1125">
        <f t="shared" ca="1" si="107"/>
        <v>0</v>
      </c>
      <c r="S1125" t="s">
        <v>22</v>
      </c>
      <c r="T1125">
        <v>4</v>
      </c>
      <c r="U1125" t="s">
        <v>1394</v>
      </c>
      <c r="V1125" t="s">
        <v>1394</v>
      </c>
      <c r="W1125" t="s">
        <v>1394</v>
      </c>
      <c r="X1125" s="3">
        <v>2</v>
      </c>
      <c r="Y1125" t="s">
        <v>1397</v>
      </c>
      <c r="Z1125">
        <v>31371</v>
      </c>
      <c r="AA1125">
        <v>0.1</v>
      </c>
      <c r="AB1125">
        <v>34508.100000000006</v>
      </c>
    </row>
    <row r="1126" spans="1:28" x14ac:dyDescent="0.35">
      <c r="A1126" t="str">
        <f t="shared" si="102"/>
        <v>EMP1125</v>
      </c>
      <c r="B1126" t="str" cm="1">
        <f t="array" ref="B1126">_xlfn.IFS(
ROW()&lt;=421,"NA",
ROW()&lt;=781,"LATAM",
ROW()&lt;=1021,"EMEA",
TRUE,"APAC"
)</f>
        <v>APAC</v>
      </c>
      <c r="C1126" t="str">
        <f t="shared" si="103"/>
        <v>Singapore</v>
      </c>
      <c r="D1126" t="s">
        <v>35</v>
      </c>
      <c r="E1126" t="s">
        <v>145</v>
      </c>
      <c r="F1126" t="s">
        <v>271</v>
      </c>
      <c r="G1126" t="s">
        <v>53</v>
      </c>
      <c r="H1126" s="2">
        <v>42273</v>
      </c>
      <c r="I1126" t="s">
        <v>29</v>
      </c>
      <c r="J1126" t="s">
        <v>36</v>
      </c>
      <c r="K1126" t="str">
        <f t="shared" ca="1" si="106"/>
        <v>OK</v>
      </c>
      <c r="L1126" t="s">
        <v>323</v>
      </c>
      <c r="M1126">
        <v>4</v>
      </c>
      <c r="N1126" s="2">
        <v>46013</v>
      </c>
      <c r="O1126" s="2" t="s">
        <v>22</v>
      </c>
      <c r="P1126" s="4">
        <f t="shared" ca="1" si="104"/>
        <v>10</v>
      </c>
      <c r="Q1126" s="4" t="str">
        <f t="shared" ca="1" si="105"/>
        <v>6-10 Years</v>
      </c>
      <c r="R1126">
        <f t="shared" ca="1" si="107"/>
        <v>0</v>
      </c>
      <c r="S1126" t="s">
        <v>22</v>
      </c>
      <c r="T1126">
        <v>2</v>
      </c>
      <c r="U1126" t="s">
        <v>1394</v>
      </c>
      <c r="V1126" t="s">
        <v>1396</v>
      </c>
      <c r="W1126" t="s">
        <v>1394</v>
      </c>
      <c r="X1126" s="3">
        <v>1</v>
      </c>
      <c r="Y1126" t="s">
        <v>1397</v>
      </c>
      <c r="Z1126">
        <v>76305</v>
      </c>
      <c r="AA1126">
        <v>0.15</v>
      </c>
      <c r="AB1126">
        <v>87750.75</v>
      </c>
    </row>
    <row r="1127" spans="1:28" x14ac:dyDescent="0.35">
      <c r="A1127" t="str">
        <f t="shared" si="102"/>
        <v>EMP1126</v>
      </c>
      <c r="B1127" t="str" cm="1">
        <f t="array" ref="B1127">_xlfn.IFS(
ROW()&lt;=421,"NA",
ROW()&lt;=781,"LATAM",
ROW()&lt;=1021,"EMEA",
TRUE,"APAC"
)</f>
        <v>APAC</v>
      </c>
      <c r="C1127" t="str">
        <f t="shared" si="103"/>
        <v>Singapore</v>
      </c>
      <c r="D1127" t="s">
        <v>32</v>
      </c>
      <c r="E1127" t="s">
        <v>380</v>
      </c>
      <c r="F1127" t="s">
        <v>823</v>
      </c>
      <c r="G1127" t="s">
        <v>28</v>
      </c>
      <c r="H1127" s="2">
        <v>42272</v>
      </c>
      <c r="I1127" t="s">
        <v>29</v>
      </c>
      <c r="J1127" t="s">
        <v>33</v>
      </c>
      <c r="K1127" t="str">
        <f t="shared" ca="1" si="106"/>
        <v>OK</v>
      </c>
      <c r="L1127" t="s">
        <v>673</v>
      </c>
      <c r="M1127">
        <v>5</v>
      </c>
      <c r="N1127" s="2">
        <v>46001</v>
      </c>
      <c r="O1127" s="2" t="s">
        <v>22</v>
      </c>
      <c r="P1127" s="4">
        <f t="shared" ca="1" si="104"/>
        <v>10</v>
      </c>
      <c r="Q1127" s="4" t="str">
        <f t="shared" ca="1" si="105"/>
        <v>6-10 Years</v>
      </c>
      <c r="R1127">
        <f t="shared" ca="1" si="107"/>
        <v>0</v>
      </c>
      <c r="S1127" t="s">
        <v>22</v>
      </c>
      <c r="T1127">
        <v>3</v>
      </c>
      <c r="U1127" t="s">
        <v>1394</v>
      </c>
      <c r="V1127" t="s">
        <v>1394</v>
      </c>
      <c r="W1127" t="s">
        <v>1394</v>
      </c>
      <c r="X1127" s="3">
        <v>3</v>
      </c>
      <c r="Y1127" t="s">
        <v>1398</v>
      </c>
      <c r="Z1127">
        <v>26531</v>
      </c>
      <c r="AA1127">
        <v>0.1</v>
      </c>
      <c r="AB1127">
        <v>29184.100000000002</v>
      </c>
    </row>
    <row r="1128" spans="1:28" x14ac:dyDescent="0.35">
      <c r="A1128" t="str">
        <f t="shared" si="102"/>
        <v>EMP1127</v>
      </c>
      <c r="B1128" t="str" cm="1">
        <f t="array" ref="B1128">_xlfn.IFS(
ROW()&lt;=421,"NA",
ROW()&lt;=781,"LATAM",
ROW()&lt;=1021,"EMEA",
TRUE,"APAC"
)</f>
        <v>APAC</v>
      </c>
      <c r="C1128" t="str">
        <f t="shared" si="103"/>
        <v>Singapore</v>
      </c>
      <c r="D1128" t="s">
        <v>41</v>
      </c>
      <c r="E1128" t="s">
        <v>380</v>
      </c>
      <c r="F1128" t="s">
        <v>492</v>
      </c>
      <c r="G1128" t="s">
        <v>28</v>
      </c>
      <c r="H1128" s="2">
        <v>42270</v>
      </c>
      <c r="I1128" t="s">
        <v>29</v>
      </c>
      <c r="J1128" t="s">
        <v>42</v>
      </c>
      <c r="K1128" t="str">
        <f t="shared" ca="1" si="106"/>
        <v>OK</v>
      </c>
      <c r="L1128" t="s">
        <v>1164</v>
      </c>
      <c r="M1128">
        <v>5</v>
      </c>
      <c r="N1128" s="2">
        <v>45992</v>
      </c>
      <c r="O1128" s="2" t="s">
        <v>22</v>
      </c>
      <c r="P1128" s="4">
        <f t="shared" ca="1" si="104"/>
        <v>10</v>
      </c>
      <c r="Q1128" s="4" t="str">
        <f t="shared" ca="1" si="105"/>
        <v>6-10 Years</v>
      </c>
      <c r="R1128">
        <f t="shared" ca="1" si="107"/>
        <v>0</v>
      </c>
      <c r="S1128" t="s">
        <v>22</v>
      </c>
      <c r="T1128">
        <v>5</v>
      </c>
      <c r="U1128" t="s">
        <v>1394</v>
      </c>
      <c r="V1128" t="s">
        <v>1394</v>
      </c>
      <c r="W1128" t="s">
        <v>1394</v>
      </c>
      <c r="X1128" s="3">
        <v>3</v>
      </c>
      <c r="Y1128" t="s">
        <v>1398</v>
      </c>
      <c r="Z1128">
        <v>48537</v>
      </c>
      <c r="AA1128">
        <v>0.1</v>
      </c>
      <c r="AB1128">
        <v>53390.700000000004</v>
      </c>
    </row>
    <row r="1129" spans="1:28" x14ac:dyDescent="0.35">
      <c r="A1129" t="str">
        <f t="shared" si="102"/>
        <v>EMP1128</v>
      </c>
      <c r="B1129" t="str" cm="1">
        <f t="array" ref="B1129">_xlfn.IFS(
ROW()&lt;=421,"NA",
ROW()&lt;=781,"LATAM",
ROW()&lt;=1021,"EMEA",
TRUE,"APAC"
)</f>
        <v>APAC</v>
      </c>
      <c r="C1129" t="str">
        <f t="shared" si="103"/>
        <v>Singapore</v>
      </c>
      <c r="D1129" t="s">
        <v>44</v>
      </c>
      <c r="E1129" t="s">
        <v>380</v>
      </c>
      <c r="F1129" t="s">
        <v>579</v>
      </c>
      <c r="G1129" t="s">
        <v>28</v>
      </c>
      <c r="H1129" s="2">
        <v>42268</v>
      </c>
      <c r="I1129" t="s">
        <v>29</v>
      </c>
      <c r="J1129" t="s">
        <v>47</v>
      </c>
      <c r="K1129" t="str">
        <f t="shared" ca="1" si="106"/>
        <v>OK</v>
      </c>
      <c r="L1129" t="s">
        <v>615</v>
      </c>
      <c r="M1129">
        <v>5</v>
      </c>
      <c r="N1129" s="2">
        <v>45988</v>
      </c>
      <c r="O1129" s="2" t="s">
        <v>22</v>
      </c>
      <c r="P1129" s="4">
        <f t="shared" ca="1" si="104"/>
        <v>10</v>
      </c>
      <c r="Q1129" s="4" t="str">
        <f t="shared" ca="1" si="105"/>
        <v>6-10 Years</v>
      </c>
      <c r="R1129">
        <f t="shared" ca="1" si="107"/>
        <v>0</v>
      </c>
      <c r="S1129" t="s">
        <v>22</v>
      </c>
      <c r="T1129">
        <v>2</v>
      </c>
      <c r="U1129" t="s">
        <v>1394</v>
      </c>
      <c r="V1129" t="s">
        <v>1394</v>
      </c>
      <c r="W1129" t="s">
        <v>1394</v>
      </c>
      <c r="X1129" s="3">
        <v>1</v>
      </c>
      <c r="Y1129" t="s">
        <v>1397</v>
      </c>
      <c r="Z1129">
        <v>34650</v>
      </c>
      <c r="AA1129">
        <v>0.1</v>
      </c>
      <c r="AB1129">
        <v>38115</v>
      </c>
    </row>
    <row r="1130" spans="1:28" x14ac:dyDescent="0.35">
      <c r="A1130" t="str">
        <f t="shared" si="102"/>
        <v>EMP1129</v>
      </c>
      <c r="B1130" t="str" cm="1">
        <f t="array" ref="B1130">_xlfn.IFS(
ROW()&lt;=421,"NA",
ROW()&lt;=781,"LATAM",
ROW()&lt;=1021,"EMEA",
TRUE,"APAC"
)</f>
        <v>APAC</v>
      </c>
      <c r="C1130" t="str">
        <f t="shared" si="103"/>
        <v>Singapore</v>
      </c>
      <c r="D1130" t="s">
        <v>41</v>
      </c>
      <c r="E1130" t="s">
        <v>380</v>
      </c>
      <c r="F1130" t="s">
        <v>695</v>
      </c>
      <c r="G1130" t="s">
        <v>28</v>
      </c>
      <c r="H1130" s="2">
        <v>42267</v>
      </c>
      <c r="I1130" t="s">
        <v>29</v>
      </c>
      <c r="J1130" t="s">
        <v>42</v>
      </c>
      <c r="K1130" t="str">
        <f t="shared" ca="1" si="106"/>
        <v>OK</v>
      </c>
      <c r="L1130" t="s">
        <v>1190</v>
      </c>
      <c r="M1130">
        <v>5</v>
      </c>
      <c r="N1130" s="2">
        <v>46008</v>
      </c>
      <c r="O1130" s="2" t="s">
        <v>22</v>
      </c>
      <c r="P1130" s="4">
        <f t="shared" ca="1" si="104"/>
        <v>10</v>
      </c>
      <c r="Q1130" s="4" t="str">
        <f t="shared" ca="1" si="105"/>
        <v>6-10 Years</v>
      </c>
      <c r="R1130">
        <f t="shared" ca="1" si="107"/>
        <v>0</v>
      </c>
      <c r="S1130" t="s">
        <v>22</v>
      </c>
      <c r="T1130">
        <v>3</v>
      </c>
      <c r="U1130" t="s">
        <v>1394</v>
      </c>
      <c r="V1130" t="s">
        <v>1394</v>
      </c>
      <c r="W1130" t="s">
        <v>1394</v>
      </c>
      <c r="X1130" s="3">
        <v>1</v>
      </c>
      <c r="Y1130" t="s">
        <v>1397</v>
      </c>
      <c r="Z1130">
        <v>45521</v>
      </c>
      <c r="AA1130">
        <v>0.1</v>
      </c>
      <c r="AB1130">
        <v>50073.100000000006</v>
      </c>
    </row>
    <row r="1131" spans="1:28" x14ac:dyDescent="0.35">
      <c r="A1131" t="str">
        <f t="shared" si="102"/>
        <v>EMP1130</v>
      </c>
      <c r="B1131" t="str" cm="1">
        <f t="array" ref="B1131">_xlfn.IFS(
ROW()&lt;=421,"NA",
ROW()&lt;=781,"LATAM",
ROW()&lt;=1021,"EMEA",
TRUE,"APAC"
)</f>
        <v>APAC</v>
      </c>
      <c r="C1131" t="str">
        <f t="shared" si="103"/>
        <v>Singapore</v>
      </c>
      <c r="D1131" t="s">
        <v>35</v>
      </c>
      <c r="E1131" t="s">
        <v>380</v>
      </c>
      <c r="F1131" t="s">
        <v>518</v>
      </c>
      <c r="G1131" t="s">
        <v>28</v>
      </c>
      <c r="H1131" s="2">
        <v>42266</v>
      </c>
      <c r="I1131" t="s">
        <v>29</v>
      </c>
      <c r="J1131" t="s">
        <v>36</v>
      </c>
      <c r="K1131" t="str">
        <f t="shared" ca="1" si="106"/>
        <v>OK</v>
      </c>
      <c r="L1131" t="s">
        <v>586</v>
      </c>
      <c r="M1131">
        <v>5</v>
      </c>
      <c r="N1131" s="2">
        <v>46076</v>
      </c>
      <c r="O1131" s="2" t="s">
        <v>22</v>
      </c>
      <c r="P1131" s="4">
        <f t="shared" ca="1" si="104"/>
        <v>10</v>
      </c>
      <c r="Q1131" s="4" t="str">
        <f t="shared" ca="1" si="105"/>
        <v>6-10 Years</v>
      </c>
      <c r="R1131">
        <f t="shared" ca="1" si="107"/>
        <v>0</v>
      </c>
      <c r="S1131" t="s">
        <v>22</v>
      </c>
      <c r="T1131">
        <v>2</v>
      </c>
      <c r="U1131" t="s">
        <v>1394</v>
      </c>
      <c r="V1131" t="s">
        <v>1394</v>
      </c>
      <c r="W1131" t="s">
        <v>1394</v>
      </c>
      <c r="X1131" s="3">
        <v>5</v>
      </c>
      <c r="Y1131" t="s">
        <v>1395</v>
      </c>
      <c r="Z1131">
        <v>34545</v>
      </c>
      <c r="AA1131">
        <v>0.1</v>
      </c>
      <c r="AB1131">
        <v>37999.5</v>
      </c>
    </row>
    <row r="1132" spans="1:28" x14ac:dyDescent="0.35">
      <c r="A1132" t="str">
        <f t="shared" si="102"/>
        <v>EMP1131</v>
      </c>
      <c r="B1132" t="str" cm="1">
        <f t="array" ref="B1132">_xlfn.IFS(
ROW()&lt;=421,"NA",
ROW()&lt;=781,"LATAM",
ROW()&lt;=1021,"EMEA",
TRUE,"APAC"
)</f>
        <v>APAC</v>
      </c>
      <c r="C1132" t="str">
        <f t="shared" si="103"/>
        <v>Singapore</v>
      </c>
      <c r="D1132" t="s">
        <v>32</v>
      </c>
      <c r="E1132" t="s">
        <v>380</v>
      </c>
      <c r="F1132" t="s">
        <v>749</v>
      </c>
      <c r="G1132" t="s">
        <v>28</v>
      </c>
      <c r="H1132" s="2">
        <v>42265</v>
      </c>
      <c r="I1132" t="s">
        <v>29</v>
      </c>
      <c r="J1132" t="s">
        <v>33</v>
      </c>
      <c r="K1132" t="str">
        <f t="shared" ca="1" si="106"/>
        <v>OK</v>
      </c>
      <c r="L1132" t="s">
        <v>1151</v>
      </c>
      <c r="M1132">
        <v>5</v>
      </c>
      <c r="N1132" s="2">
        <v>46038</v>
      </c>
      <c r="O1132" s="2" t="s">
        <v>22</v>
      </c>
      <c r="P1132" s="4">
        <f t="shared" ca="1" si="104"/>
        <v>10</v>
      </c>
      <c r="Q1132" s="4" t="str">
        <f t="shared" ca="1" si="105"/>
        <v>6-10 Years</v>
      </c>
      <c r="R1132">
        <f t="shared" ca="1" si="107"/>
        <v>0</v>
      </c>
      <c r="S1132" t="s">
        <v>22</v>
      </c>
      <c r="T1132">
        <v>5</v>
      </c>
      <c r="U1132" t="s">
        <v>1394</v>
      </c>
      <c r="V1132" t="s">
        <v>1394</v>
      </c>
      <c r="W1132" t="s">
        <v>1394</v>
      </c>
      <c r="X1132" s="3">
        <v>2</v>
      </c>
      <c r="Y1132" t="s">
        <v>1397</v>
      </c>
      <c r="Z1132">
        <v>40413</v>
      </c>
      <c r="AA1132">
        <v>0.1</v>
      </c>
      <c r="AB1132">
        <v>44454.3</v>
      </c>
    </row>
    <row r="1133" spans="1:28" x14ac:dyDescent="0.35">
      <c r="A1133" t="str">
        <f t="shared" si="102"/>
        <v>EMP1132</v>
      </c>
      <c r="B1133" t="str" cm="1">
        <f t="array" ref="B1133">_xlfn.IFS(
ROW()&lt;=421,"NA",
ROW()&lt;=781,"LATAM",
ROW()&lt;=1021,"EMEA",
TRUE,"APAC"
)</f>
        <v>APAC</v>
      </c>
      <c r="C1133" t="str">
        <f t="shared" si="103"/>
        <v>Singapore</v>
      </c>
      <c r="D1133" t="s">
        <v>38</v>
      </c>
      <c r="E1133" t="s">
        <v>380</v>
      </c>
      <c r="F1133" t="s">
        <v>440</v>
      </c>
      <c r="G1133" t="s">
        <v>28</v>
      </c>
      <c r="H1133" s="2">
        <v>42263</v>
      </c>
      <c r="I1133" t="s">
        <v>29</v>
      </c>
      <c r="J1133" t="s">
        <v>39</v>
      </c>
      <c r="K1133" t="str">
        <f t="shared" ca="1" si="106"/>
        <v>OK</v>
      </c>
      <c r="L1133" t="s">
        <v>441</v>
      </c>
      <c r="M1133">
        <v>5</v>
      </c>
      <c r="N1133" s="2">
        <v>46051</v>
      </c>
      <c r="O1133" s="2" t="s">
        <v>22</v>
      </c>
      <c r="P1133" s="4">
        <f t="shared" ca="1" si="104"/>
        <v>10</v>
      </c>
      <c r="Q1133" s="4" t="str">
        <f t="shared" ca="1" si="105"/>
        <v>6-10 Years</v>
      </c>
      <c r="R1133">
        <f t="shared" ca="1" si="107"/>
        <v>0</v>
      </c>
      <c r="S1133" t="s">
        <v>22</v>
      </c>
      <c r="T1133">
        <v>5</v>
      </c>
      <c r="U1133" t="s">
        <v>1394</v>
      </c>
      <c r="V1133" t="s">
        <v>1394</v>
      </c>
      <c r="W1133" t="s">
        <v>1394</v>
      </c>
      <c r="X1133" s="3">
        <v>5</v>
      </c>
      <c r="Y1133" t="s">
        <v>1395</v>
      </c>
      <c r="Z1133">
        <v>40125</v>
      </c>
      <c r="AA1133">
        <v>0.1</v>
      </c>
      <c r="AB1133">
        <v>44137.5</v>
      </c>
    </row>
    <row r="1134" spans="1:28" x14ac:dyDescent="0.35">
      <c r="A1134" t="str">
        <f t="shared" si="102"/>
        <v>EMP1133</v>
      </c>
      <c r="B1134" t="str" cm="1">
        <f t="array" ref="B1134">_xlfn.IFS(
ROW()&lt;=421,"NA",
ROW()&lt;=781,"LATAM",
ROW()&lt;=1021,"EMEA",
TRUE,"APAC"
)</f>
        <v>APAC</v>
      </c>
      <c r="C1134" t="str">
        <f t="shared" si="103"/>
        <v>Singapore</v>
      </c>
      <c r="D1134" t="s">
        <v>32</v>
      </c>
      <c r="E1134" t="s">
        <v>380</v>
      </c>
      <c r="F1134" t="s">
        <v>631</v>
      </c>
      <c r="G1134" t="s">
        <v>28</v>
      </c>
      <c r="H1134" s="2">
        <v>42263</v>
      </c>
      <c r="I1134" t="s">
        <v>29</v>
      </c>
      <c r="J1134" t="s">
        <v>33</v>
      </c>
      <c r="K1134" t="str">
        <f t="shared" ca="1" si="106"/>
        <v>OK</v>
      </c>
      <c r="L1134" t="s">
        <v>1284</v>
      </c>
      <c r="M1134">
        <v>5</v>
      </c>
      <c r="N1134" s="2">
        <v>46000</v>
      </c>
      <c r="O1134" s="2" t="s">
        <v>22</v>
      </c>
      <c r="P1134" s="4">
        <f t="shared" ca="1" si="104"/>
        <v>10</v>
      </c>
      <c r="Q1134" s="4" t="str">
        <f t="shared" ca="1" si="105"/>
        <v>6-10 Years</v>
      </c>
      <c r="R1134">
        <f t="shared" ca="1" si="107"/>
        <v>0</v>
      </c>
      <c r="S1134" t="s">
        <v>22</v>
      </c>
      <c r="T1134">
        <v>4</v>
      </c>
      <c r="U1134" t="s">
        <v>1394</v>
      </c>
      <c r="V1134" t="s">
        <v>1394</v>
      </c>
      <c r="W1134" t="s">
        <v>1394</v>
      </c>
      <c r="X1134" s="3">
        <v>1</v>
      </c>
      <c r="Y1134" t="s">
        <v>1397</v>
      </c>
      <c r="Z1134">
        <v>45916</v>
      </c>
      <c r="AA1134">
        <v>0.1</v>
      </c>
      <c r="AB1134">
        <v>50507.600000000006</v>
      </c>
    </row>
    <row r="1135" spans="1:28" x14ac:dyDescent="0.35">
      <c r="A1135" t="str">
        <f t="shared" si="102"/>
        <v>EMP1134</v>
      </c>
      <c r="B1135" t="str" cm="1">
        <f t="array" ref="B1135">_xlfn.IFS(
ROW()&lt;=421,"NA",
ROW()&lt;=781,"LATAM",
ROW()&lt;=1021,"EMEA",
TRUE,"APAC"
)</f>
        <v>APAC</v>
      </c>
      <c r="C1135" t="str">
        <f t="shared" si="103"/>
        <v>Singapore</v>
      </c>
      <c r="D1135" t="s">
        <v>32</v>
      </c>
      <c r="E1135" t="s">
        <v>380</v>
      </c>
      <c r="F1135" t="s">
        <v>680</v>
      </c>
      <c r="G1135" t="s">
        <v>28</v>
      </c>
      <c r="H1135" s="2">
        <v>42262</v>
      </c>
      <c r="I1135" t="s">
        <v>29</v>
      </c>
      <c r="J1135" t="s">
        <v>33</v>
      </c>
      <c r="K1135" t="str">
        <f t="shared" ca="1" si="106"/>
        <v>OK</v>
      </c>
      <c r="L1135" t="s">
        <v>681</v>
      </c>
      <c r="M1135">
        <v>5</v>
      </c>
      <c r="N1135" s="2">
        <v>45994</v>
      </c>
      <c r="O1135" s="2" t="s">
        <v>22</v>
      </c>
      <c r="P1135" s="4">
        <f t="shared" ca="1" si="104"/>
        <v>10</v>
      </c>
      <c r="Q1135" s="4" t="str">
        <f t="shared" ca="1" si="105"/>
        <v>6-10 Years</v>
      </c>
      <c r="R1135">
        <f t="shared" ca="1" si="107"/>
        <v>0</v>
      </c>
      <c r="S1135" t="s">
        <v>22</v>
      </c>
      <c r="T1135">
        <v>2</v>
      </c>
      <c r="U1135" t="s">
        <v>1396</v>
      </c>
      <c r="V1135" t="s">
        <v>1394</v>
      </c>
      <c r="W1135" t="s">
        <v>1394</v>
      </c>
      <c r="X1135" s="3">
        <v>4</v>
      </c>
      <c r="Y1135" t="s">
        <v>1395</v>
      </c>
      <c r="Z1135">
        <v>48745</v>
      </c>
      <c r="AA1135">
        <v>0.1</v>
      </c>
      <c r="AB1135">
        <v>53619.500000000007</v>
      </c>
    </row>
    <row r="1136" spans="1:28" x14ac:dyDescent="0.35">
      <c r="A1136" t="str">
        <f t="shared" si="102"/>
        <v>EMP1135</v>
      </c>
      <c r="B1136" t="str" cm="1">
        <f t="array" ref="B1136">_xlfn.IFS(
ROW()&lt;=421,"NA",
ROW()&lt;=781,"LATAM",
ROW()&lt;=1021,"EMEA",
TRUE,"APAC"
)</f>
        <v>APAC</v>
      </c>
      <c r="C1136" t="str">
        <f t="shared" si="103"/>
        <v>Singapore</v>
      </c>
      <c r="D1136" t="s">
        <v>44</v>
      </c>
      <c r="E1136" t="s">
        <v>380</v>
      </c>
      <c r="F1136" t="s">
        <v>505</v>
      </c>
      <c r="G1136" t="s">
        <v>28</v>
      </c>
      <c r="H1136" s="2">
        <v>42260</v>
      </c>
      <c r="I1136" t="s">
        <v>29</v>
      </c>
      <c r="J1136" t="s">
        <v>47</v>
      </c>
      <c r="K1136" t="str">
        <f t="shared" ca="1" si="106"/>
        <v>OK</v>
      </c>
      <c r="L1136" t="s">
        <v>130</v>
      </c>
      <c r="M1136">
        <v>5</v>
      </c>
      <c r="N1136" s="2">
        <v>46067</v>
      </c>
      <c r="O1136" s="2" t="s">
        <v>22</v>
      </c>
      <c r="P1136" s="4">
        <f t="shared" ca="1" si="104"/>
        <v>10</v>
      </c>
      <c r="Q1136" s="4" t="str">
        <f t="shared" ca="1" si="105"/>
        <v>6-10 Years</v>
      </c>
      <c r="R1136">
        <f t="shared" ca="1" si="107"/>
        <v>0</v>
      </c>
      <c r="S1136" t="s">
        <v>22</v>
      </c>
      <c r="T1136">
        <v>4</v>
      </c>
      <c r="U1136" t="s">
        <v>1394</v>
      </c>
      <c r="V1136" t="s">
        <v>1396</v>
      </c>
      <c r="W1136" t="s">
        <v>1394</v>
      </c>
      <c r="X1136" s="3">
        <v>2</v>
      </c>
      <c r="Y1136" t="s">
        <v>1397</v>
      </c>
      <c r="Z1136">
        <v>28927</v>
      </c>
      <c r="AA1136">
        <v>0.1</v>
      </c>
      <c r="AB1136">
        <v>31819.700000000004</v>
      </c>
    </row>
    <row r="1137" spans="1:28" x14ac:dyDescent="0.35">
      <c r="A1137" t="str">
        <f t="shared" si="102"/>
        <v>EMP1136</v>
      </c>
      <c r="B1137" t="str" cm="1">
        <f t="array" ref="B1137">_xlfn.IFS(
ROW()&lt;=421,"NA",
ROW()&lt;=781,"LATAM",
ROW()&lt;=1021,"EMEA",
TRUE,"APAC"
)</f>
        <v>APAC</v>
      </c>
      <c r="C1137" t="str">
        <f t="shared" si="103"/>
        <v>Singapore</v>
      </c>
      <c r="D1137" t="s">
        <v>35</v>
      </c>
      <c r="E1137" t="s">
        <v>145</v>
      </c>
      <c r="F1137" t="s">
        <v>162</v>
      </c>
      <c r="G1137" t="s">
        <v>28</v>
      </c>
      <c r="H1137" s="2">
        <v>42255</v>
      </c>
      <c r="I1137" t="s">
        <v>29</v>
      </c>
      <c r="J1137" t="s">
        <v>36</v>
      </c>
      <c r="K1137" t="str">
        <f t="shared" ca="1" si="106"/>
        <v>OK</v>
      </c>
      <c r="L1137" t="s">
        <v>180</v>
      </c>
      <c r="M1137">
        <v>4</v>
      </c>
      <c r="N1137" s="2">
        <v>45997</v>
      </c>
      <c r="O1137" s="2" t="s">
        <v>22</v>
      </c>
      <c r="P1137" s="4">
        <f t="shared" ca="1" si="104"/>
        <v>10</v>
      </c>
      <c r="Q1137" s="4" t="str">
        <f t="shared" ca="1" si="105"/>
        <v>6-10 Years</v>
      </c>
      <c r="R1137">
        <f t="shared" ca="1" si="107"/>
        <v>0</v>
      </c>
      <c r="S1137" t="s">
        <v>22</v>
      </c>
      <c r="T1137">
        <v>3</v>
      </c>
      <c r="U1137" t="s">
        <v>1394</v>
      </c>
      <c r="V1137" t="s">
        <v>1394</v>
      </c>
      <c r="W1137" t="s">
        <v>1394</v>
      </c>
      <c r="X1137" s="3">
        <v>3</v>
      </c>
      <c r="Y1137" t="s">
        <v>1398</v>
      </c>
      <c r="Z1137">
        <v>78355</v>
      </c>
      <c r="AA1137">
        <v>0.15</v>
      </c>
      <c r="AB1137">
        <v>90108.25</v>
      </c>
    </row>
    <row r="1138" spans="1:28" x14ac:dyDescent="0.35">
      <c r="A1138" t="str">
        <f t="shared" si="102"/>
        <v>EMP1137</v>
      </c>
      <c r="B1138" t="str" cm="1">
        <f t="array" ref="B1138">_xlfn.IFS(
ROW()&lt;=421,"NA",
ROW()&lt;=781,"LATAM",
ROW()&lt;=1021,"EMEA",
TRUE,"APAC"
)</f>
        <v>APAC</v>
      </c>
      <c r="C1138" t="str">
        <f t="shared" si="103"/>
        <v>Singapore</v>
      </c>
      <c r="D1138" t="s">
        <v>38</v>
      </c>
      <c r="E1138" t="s">
        <v>380</v>
      </c>
      <c r="F1138" t="s">
        <v>820</v>
      </c>
      <c r="G1138" t="s">
        <v>28</v>
      </c>
      <c r="H1138" s="2">
        <v>42253</v>
      </c>
      <c r="I1138" t="s">
        <v>29</v>
      </c>
      <c r="J1138" t="s">
        <v>39</v>
      </c>
      <c r="K1138" t="str">
        <f t="shared" ca="1" si="106"/>
        <v>⚠ Review</v>
      </c>
      <c r="L1138" t="s">
        <v>1267</v>
      </c>
      <c r="M1138">
        <v>5</v>
      </c>
      <c r="N1138" s="2">
        <v>46010</v>
      </c>
      <c r="O1138" s="2" t="s">
        <v>22</v>
      </c>
      <c r="P1138" s="4">
        <f t="shared" ca="1" si="104"/>
        <v>10</v>
      </c>
      <c r="Q1138" s="4" t="str">
        <f t="shared" ca="1" si="105"/>
        <v>6-10 Years</v>
      </c>
      <c r="R1138">
        <f t="shared" ca="1" si="107"/>
        <v>0</v>
      </c>
      <c r="S1138" t="s">
        <v>22</v>
      </c>
      <c r="T1138">
        <v>3</v>
      </c>
      <c r="U1138" t="s">
        <v>1394</v>
      </c>
      <c r="V1138" t="s">
        <v>1394</v>
      </c>
      <c r="W1138" t="s">
        <v>1394</v>
      </c>
      <c r="X1138" s="3">
        <v>0</v>
      </c>
      <c r="Y1138" t="s">
        <v>1397</v>
      </c>
      <c r="Z1138">
        <v>34249</v>
      </c>
      <c r="AA1138">
        <v>0.1</v>
      </c>
      <c r="AB1138">
        <v>37673.9</v>
      </c>
    </row>
    <row r="1139" spans="1:28" x14ac:dyDescent="0.35">
      <c r="A1139" t="str">
        <f t="shared" si="102"/>
        <v>EMP1138</v>
      </c>
      <c r="B1139" t="str" cm="1">
        <f t="array" ref="B1139">_xlfn.IFS(
ROW()&lt;=421,"NA",
ROW()&lt;=781,"LATAM",
ROW()&lt;=1021,"EMEA",
TRUE,"APAC"
)</f>
        <v>APAC</v>
      </c>
      <c r="C1139" t="str">
        <f t="shared" si="103"/>
        <v>Singapore</v>
      </c>
      <c r="D1139" t="s">
        <v>32</v>
      </c>
      <c r="E1139" t="s">
        <v>380</v>
      </c>
      <c r="F1139" t="s">
        <v>613</v>
      </c>
      <c r="G1139" t="s">
        <v>28</v>
      </c>
      <c r="H1139" s="2">
        <v>42252</v>
      </c>
      <c r="I1139" t="s">
        <v>29</v>
      </c>
      <c r="J1139" t="s">
        <v>33</v>
      </c>
      <c r="K1139" t="str">
        <f t="shared" ca="1" si="106"/>
        <v>OK</v>
      </c>
      <c r="L1139" t="s">
        <v>745</v>
      </c>
      <c r="M1139">
        <v>5</v>
      </c>
      <c r="N1139" s="2">
        <v>46035</v>
      </c>
      <c r="O1139" s="2" t="s">
        <v>22</v>
      </c>
      <c r="P1139" s="4">
        <f t="shared" ca="1" si="104"/>
        <v>10</v>
      </c>
      <c r="Q1139" s="4" t="str">
        <f t="shared" ca="1" si="105"/>
        <v>6-10 Years</v>
      </c>
      <c r="R1139">
        <f t="shared" ca="1" si="107"/>
        <v>0</v>
      </c>
      <c r="S1139" t="s">
        <v>22</v>
      </c>
      <c r="T1139">
        <v>3</v>
      </c>
      <c r="U1139" t="s">
        <v>1394</v>
      </c>
      <c r="V1139" t="s">
        <v>1394</v>
      </c>
      <c r="W1139" t="s">
        <v>1394</v>
      </c>
      <c r="X1139" s="3">
        <v>2</v>
      </c>
      <c r="Y1139" t="s">
        <v>1397</v>
      </c>
      <c r="Z1139">
        <v>42863</v>
      </c>
      <c r="AA1139">
        <v>0.1</v>
      </c>
      <c r="AB1139">
        <v>47149.3</v>
      </c>
    </row>
    <row r="1140" spans="1:28" x14ac:dyDescent="0.35">
      <c r="A1140" t="str">
        <f t="shared" si="102"/>
        <v>EMP1139</v>
      </c>
      <c r="B1140" t="str" cm="1">
        <f t="array" ref="B1140">_xlfn.IFS(
ROW()&lt;=421,"NA",
ROW()&lt;=781,"LATAM",
ROW()&lt;=1021,"EMEA",
TRUE,"APAC"
)</f>
        <v>APAC</v>
      </c>
      <c r="C1140" t="str">
        <f t="shared" si="103"/>
        <v>Singapore</v>
      </c>
      <c r="D1140" t="s">
        <v>38</v>
      </c>
      <c r="E1140" t="s">
        <v>380</v>
      </c>
      <c r="F1140" t="s">
        <v>740</v>
      </c>
      <c r="G1140" t="s">
        <v>53</v>
      </c>
      <c r="H1140" s="2">
        <v>42249</v>
      </c>
      <c r="I1140" t="s">
        <v>29</v>
      </c>
      <c r="J1140" t="s">
        <v>39</v>
      </c>
      <c r="K1140" t="str">
        <f t="shared" ca="1" si="106"/>
        <v>OK</v>
      </c>
      <c r="L1140" t="s">
        <v>1179</v>
      </c>
      <c r="M1140">
        <v>5</v>
      </c>
      <c r="N1140" s="2">
        <v>46029</v>
      </c>
      <c r="O1140" s="2" t="s">
        <v>22</v>
      </c>
      <c r="P1140" s="4">
        <f t="shared" ca="1" si="104"/>
        <v>10</v>
      </c>
      <c r="Q1140" s="4" t="str">
        <f t="shared" ca="1" si="105"/>
        <v>6-10 Years</v>
      </c>
      <c r="R1140">
        <f t="shared" ca="1" si="107"/>
        <v>0</v>
      </c>
      <c r="S1140" t="s">
        <v>22</v>
      </c>
      <c r="T1140">
        <v>3</v>
      </c>
      <c r="U1140" t="s">
        <v>1394</v>
      </c>
      <c r="V1140" t="s">
        <v>1394</v>
      </c>
      <c r="W1140" t="s">
        <v>1394</v>
      </c>
      <c r="X1140" s="3">
        <v>4</v>
      </c>
      <c r="Y1140" t="s">
        <v>1395</v>
      </c>
      <c r="Z1140">
        <v>23910</v>
      </c>
      <c r="AA1140">
        <v>0.1</v>
      </c>
      <c r="AB1140">
        <v>26301.000000000004</v>
      </c>
    </row>
    <row r="1141" spans="1:28" x14ac:dyDescent="0.35">
      <c r="A1141" t="str">
        <f t="shared" si="102"/>
        <v>EMP1140</v>
      </c>
      <c r="B1141" t="str" cm="1">
        <f t="array" ref="B1141">_xlfn.IFS(
ROW()&lt;=421,"NA",
ROW()&lt;=781,"LATAM",
ROW()&lt;=1021,"EMEA",
TRUE,"APAC"
)</f>
        <v>APAC</v>
      </c>
      <c r="C1141" t="str">
        <f t="shared" si="103"/>
        <v>Singapore</v>
      </c>
      <c r="D1141" t="s">
        <v>26</v>
      </c>
      <c r="E1141" t="s">
        <v>380</v>
      </c>
      <c r="F1141" t="s">
        <v>524</v>
      </c>
      <c r="G1141" t="s">
        <v>28</v>
      </c>
      <c r="H1141" s="2">
        <v>42243</v>
      </c>
      <c r="I1141" t="s">
        <v>29</v>
      </c>
      <c r="J1141" t="s">
        <v>30</v>
      </c>
      <c r="K1141" t="str">
        <f t="shared" ca="1" si="106"/>
        <v>OK</v>
      </c>
      <c r="L1141" t="s">
        <v>1351</v>
      </c>
      <c r="M1141">
        <v>5</v>
      </c>
      <c r="N1141" s="2">
        <v>46001</v>
      </c>
      <c r="O1141" s="2" t="s">
        <v>22</v>
      </c>
      <c r="P1141" s="4">
        <f t="shared" ca="1" si="104"/>
        <v>10</v>
      </c>
      <c r="Q1141" s="4" t="str">
        <f t="shared" ca="1" si="105"/>
        <v>6-10 Years</v>
      </c>
      <c r="R1141">
        <f t="shared" ca="1" si="107"/>
        <v>0</v>
      </c>
      <c r="S1141" t="s">
        <v>22</v>
      </c>
      <c r="T1141">
        <v>3</v>
      </c>
      <c r="U1141" t="s">
        <v>1396</v>
      </c>
      <c r="V1141" t="s">
        <v>1394</v>
      </c>
      <c r="W1141" t="s">
        <v>1394</v>
      </c>
      <c r="X1141" s="3">
        <v>5</v>
      </c>
      <c r="Y1141" t="s">
        <v>1395</v>
      </c>
      <c r="Z1141">
        <v>26335</v>
      </c>
      <c r="AA1141">
        <v>0.1</v>
      </c>
      <c r="AB1141">
        <v>28968.500000000004</v>
      </c>
    </row>
    <row r="1142" spans="1:28" x14ac:dyDescent="0.35">
      <c r="A1142" t="str">
        <f t="shared" si="102"/>
        <v>EMP1141</v>
      </c>
      <c r="B1142" t="str" cm="1">
        <f t="array" ref="B1142">_xlfn.IFS(
ROW()&lt;=421,"NA",
ROW()&lt;=781,"LATAM",
ROW()&lt;=1021,"EMEA",
TRUE,"APAC"
)</f>
        <v>APAC</v>
      </c>
      <c r="C1142" t="str">
        <f t="shared" si="103"/>
        <v>Singapore</v>
      </c>
      <c r="D1142" t="s">
        <v>26</v>
      </c>
      <c r="E1142" t="s">
        <v>380</v>
      </c>
      <c r="F1142" t="s">
        <v>522</v>
      </c>
      <c r="G1142" t="s">
        <v>28</v>
      </c>
      <c r="H1142" s="2">
        <v>42233</v>
      </c>
      <c r="I1142" t="s">
        <v>29</v>
      </c>
      <c r="J1142" t="s">
        <v>30</v>
      </c>
      <c r="K1142" t="str">
        <f t="shared" ca="1" si="106"/>
        <v>OK</v>
      </c>
      <c r="L1142" t="s">
        <v>955</v>
      </c>
      <c r="M1142">
        <v>5</v>
      </c>
      <c r="N1142" s="2">
        <v>46021</v>
      </c>
      <c r="O1142" s="2" t="s">
        <v>22</v>
      </c>
      <c r="P1142" s="4">
        <f t="shared" ca="1" si="104"/>
        <v>10</v>
      </c>
      <c r="Q1142" s="4" t="str">
        <f t="shared" ca="1" si="105"/>
        <v>6-10 Years</v>
      </c>
      <c r="R1142">
        <f t="shared" ca="1" si="107"/>
        <v>0</v>
      </c>
      <c r="S1142" t="s">
        <v>22</v>
      </c>
      <c r="T1142">
        <v>4</v>
      </c>
      <c r="U1142" t="s">
        <v>1394</v>
      </c>
      <c r="V1142" t="s">
        <v>1394</v>
      </c>
      <c r="W1142" t="s">
        <v>1394</v>
      </c>
      <c r="X1142" s="3">
        <v>4</v>
      </c>
      <c r="Y1142" t="s">
        <v>1395</v>
      </c>
      <c r="Z1142">
        <v>30880</v>
      </c>
      <c r="AA1142">
        <v>0.1</v>
      </c>
      <c r="AB1142">
        <v>33968</v>
      </c>
    </row>
    <row r="1143" spans="1:28" x14ac:dyDescent="0.35">
      <c r="A1143" t="str">
        <f t="shared" si="102"/>
        <v>EMP1142</v>
      </c>
      <c r="B1143" t="str" cm="1">
        <f t="array" ref="B1143">_xlfn.IFS(
ROW()&lt;=421,"NA",
ROW()&lt;=781,"LATAM",
ROW()&lt;=1021,"EMEA",
TRUE,"APAC"
)</f>
        <v>APAC</v>
      </c>
      <c r="C1143" t="str">
        <f t="shared" si="103"/>
        <v>Singapore</v>
      </c>
      <c r="D1143" t="s">
        <v>32</v>
      </c>
      <c r="E1143" t="s">
        <v>380</v>
      </c>
      <c r="F1143" t="s">
        <v>595</v>
      </c>
      <c r="G1143" t="s">
        <v>28</v>
      </c>
      <c r="H1143" s="2">
        <v>42232</v>
      </c>
      <c r="I1143" t="s">
        <v>29</v>
      </c>
      <c r="J1143" t="s">
        <v>33</v>
      </c>
      <c r="K1143" t="str">
        <f t="shared" ca="1" si="106"/>
        <v>OK</v>
      </c>
      <c r="L1143" t="s">
        <v>1019</v>
      </c>
      <c r="M1143">
        <v>5</v>
      </c>
      <c r="N1143" s="2">
        <v>45995</v>
      </c>
      <c r="O1143" s="2" t="s">
        <v>22</v>
      </c>
      <c r="P1143" s="4">
        <f t="shared" ca="1" si="104"/>
        <v>10</v>
      </c>
      <c r="Q1143" s="4" t="str">
        <f t="shared" ca="1" si="105"/>
        <v>6-10 Years</v>
      </c>
      <c r="R1143">
        <f t="shared" ca="1" si="107"/>
        <v>0</v>
      </c>
      <c r="S1143" t="s">
        <v>22</v>
      </c>
      <c r="T1143">
        <v>4</v>
      </c>
      <c r="U1143" t="s">
        <v>1396</v>
      </c>
      <c r="V1143" t="s">
        <v>1394</v>
      </c>
      <c r="W1143" t="s">
        <v>1394</v>
      </c>
      <c r="X1143" s="3">
        <v>2</v>
      </c>
      <c r="Y1143" t="s">
        <v>1397</v>
      </c>
      <c r="Z1143">
        <v>40878</v>
      </c>
      <c r="AA1143">
        <v>0.1</v>
      </c>
      <c r="AB1143">
        <v>44965.8</v>
      </c>
    </row>
    <row r="1144" spans="1:28" x14ac:dyDescent="0.35">
      <c r="A1144" t="str">
        <f t="shared" si="102"/>
        <v>EMP1143</v>
      </c>
      <c r="B1144" t="str" cm="1">
        <f t="array" ref="B1144">_xlfn.IFS(
ROW()&lt;=421,"NA",
ROW()&lt;=781,"LATAM",
ROW()&lt;=1021,"EMEA",
TRUE,"APAC"
)</f>
        <v>APAC</v>
      </c>
      <c r="C1144" t="str">
        <f t="shared" si="103"/>
        <v>Singapore</v>
      </c>
      <c r="D1144" t="s">
        <v>26</v>
      </c>
      <c r="E1144" t="s">
        <v>380</v>
      </c>
      <c r="F1144" t="s">
        <v>510</v>
      </c>
      <c r="G1144" t="s">
        <v>28</v>
      </c>
      <c r="H1144" s="2">
        <v>42230</v>
      </c>
      <c r="I1144" t="s">
        <v>29</v>
      </c>
      <c r="J1144" t="s">
        <v>30</v>
      </c>
      <c r="K1144" t="str">
        <f t="shared" ca="1" si="106"/>
        <v>OK</v>
      </c>
      <c r="L1144" t="s">
        <v>1304</v>
      </c>
      <c r="M1144">
        <v>5</v>
      </c>
      <c r="N1144" s="2">
        <v>45992</v>
      </c>
      <c r="O1144" s="2" t="s">
        <v>22</v>
      </c>
      <c r="P1144" s="4">
        <f t="shared" ca="1" si="104"/>
        <v>10</v>
      </c>
      <c r="Q1144" s="4" t="str">
        <f t="shared" ca="1" si="105"/>
        <v>6-10 Years</v>
      </c>
      <c r="R1144">
        <f t="shared" ca="1" si="107"/>
        <v>0</v>
      </c>
      <c r="S1144" t="s">
        <v>22</v>
      </c>
      <c r="T1144">
        <v>3</v>
      </c>
      <c r="U1144" t="s">
        <v>1394</v>
      </c>
      <c r="V1144" t="s">
        <v>1394</v>
      </c>
      <c r="W1144" t="s">
        <v>1394</v>
      </c>
      <c r="X1144" s="3">
        <v>2</v>
      </c>
      <c r="Y1144" t="s">
        <v>1397</v>
      </c>
      <c r="Z1144">
        <v>36163</v>
      </c>
      <c r="AA1144">
        <v>0.1</v>
      </c>
      <c r="AB1144">
        <v>39779.300000000003</v>
      </c>
    </row>
    <row r="1145" spans="1:28" x14ac:dyDescent="0.35">
      <c r="A1145" t="str">
        <f t="shared" si="102"/>
        <v>EMP1144</v>
      </c>
      <c r="B1145" t="str" cm="1">
        <f t="array" ref="B1145">_xlfn.IFS(
ROW()&lt;=421,"NA",
ROW()&lt;=781,"LATAM",
ROW()&lt;=1021,"EMEA",
TRUE,"APAC"
)</f>
        <v>APAC</v>
      </c>
      <c r="C1145" t="str">
        <f t="shared" si="103"/>
        <v>Singapore</v>
      </c>
      <c r="D1145" t="s">
        <v>44</v>
      </c>
      <c r="E1145" t="s">
        <v>380</v>
      </c>
      <c r="F1145" t="s">
        <v>393</v>
      </c>
      <c r="G1145" t="s">
        <v>53</v>
      </c>
      <c r="H1145" s="2">
        <v>42227</v>
      </c>
      <c r="I1145" t="s">
        <v>29</v>
      </c>
      <c r="J1145" t="s">
        <v>47</v>
      </c>
      <c r="K1145" t="str">
        <f t="shared" ca="1" si="106"/>
        <v>OK</v>
      </c>
      <c r="L1145" t="s">
        <v>837</v>
      </c>
      <c r="M1145">
        <v>5</v>
      </c>
      <c r="N1145" s="2">
        <v>46077</v>
      </c>
      <c r="O1145" s="2" t="s">
        <v>22</v>
      </c>
      <c r="P1145" s="4">
        <f t="shared" ca="1" si="104"/>
        <v>10</v>
      </c>
      <c r="Q1145" s="4" t="str">
        <f t="shared" ca="1" si="105"/>
        <v>6-10 Years</v>
      </c>
      <c r="R1145">
        <f t="shared" ca="1" si="107"/>
        <v>0</v>
      </c>
      <c r="S1145" t="s">
        <v>22</v>
      </c>
      <c r="T1145">
        <v>3</v>
      </c>
      <c r="U1145" t="s">
        <v>1396</v>
      </c>
      <c r="V1145" t="s">
        <v>1394</v>
      </c>
      <c r="W1145" t="s">
        <v>1394</v>
      </c>
      <c r="X1145" s="3">
        <v>2</v>
      </c>
      <c r="Y1145" t="s">
        <v>1397</v>
      </c>
      <c r="Z1145">
        <v>28532</v>
      </c>
      <c r="AA1145">
        <v>0.1</v>
      </c>
      <c r="AB1145">
        <v>31385.200000000001</v>
      </c>
    </row>
    <row r="1146" spans="1:28" x14ac:dyDescent="0.35">
      <c r="A1146" t="str">
        <f t="shared" si="102"/>
        <v>EMP1145</v>
      </c>
      <c r="B1146" t="str" cm="1">
        <f t="array" ref="B1146">_xlfn.IFS(
ROW()&lt;=421,"NA",
ROW()&lt;=781,"LATAM",
ROW()&lt;=1021,"EMEA",
TRUE,"APAC"
)</f>
        <v>APAC</v>
      </c>
      <c r="C1146" t="str">
        <f t="shared" si="103"/>
        <v>Singapore</v>
      </c>
      <c r="D1146" t="s">
        <v>35</v>
      </c>
      <c r="E1146" t="s">
        <v>45</v>
      </c>
      <c r="F1146" t="s">
        <v>52</v>
      </c>
      <c r="G1146" t="s">
        <v>53</v>
      </c>
      <c r="H1146" s="2">
        <v>42224</v>
      </c>
      <c r="I1146" t="s">
        <v>29</v>
      </c>
      <c r="J1146" t="s">
        <v>36</v>
      </c>
      <c r="K1146" t="str">
        <f t="shared" ca="1" si="106"/>
        <v>OK</v>
      </c>
      <c r="L1146" t="s">
        <v>54</v>
      </c>
      <c r="M1146">
        <v>2</v>
      </c>
      <c r="N1146" s="2">
        <v>45998</v>
      </c>
      <c r="O1146" s="2" t="s">
        <v>22</v>
      </c>
      <c r="P1146" s="4">
        <f t="shared" ca="1" si="104"/>
        <v>10</v>
      </c>
      <c r="Q1146" s="4" t="str">
        <f t="shared" ca="1" si="105"/>
        <v>6-10 Years</v>
      </c>
      <c r="R1146">
        <f t="shared" ca="1" si="107"/>
        <v>0</v>
      </c>
      <c r="S1146" t="s">
        <v>22</v>
      </c>
      <c r="T1146">
        <v>3</v>
      </c>
      <c r="U1146" t="s">
        <v>1394</v>
      </c>
      <c r="V1146" t="s">
        <v>1394</v>
      </c>
      <c r="W1146" t="s">
        <v>1394</v>
      </c>
      <c r="X1146" s="3">
        <v>1</v>
      </c>
      <c r="Y1146" t="s">
        <v>1397</v>
      </c>
      <c r="Z1146">
        <v>196813</v>
      </c>
      <c r="AA1146">
        <v>0.25</v>
      </c>
      <c r="AB1146">
        <v>246016.25</v>
      </c>
    </row>
    <row r="1147" spans="1:28" x14ac:dyDescent="0.35">
      <c r="A1147" t="str">
        <f t="shared" si="102"/>
        <v>EMP1146</v>
      </c>
      <c r="B1147" t="str" cm="1">
        <f t="array" ref="B1147">_xlfn.IFS(
ROW()&lt;=421,"NA",
ROW()&lt;=781,"LATAM",
ROW()&lt;=1021,"EMEA",
TRUE,"APAC"
)</f>
        <v>APAC</v>
      </c>
      <c r="C1147" t="str">
        <f t="shared" si="103"/>
        <v>Singapore</v>
      </c>
      <c r="D1147" t="s">
        <v>35</v>
      </c>
      <c r="E1147" t="s">
        <v>380</v>
      </c>
      <c r="F1147" t="s">
        <v>917</v>
      </c>
      <c r="G1147" t="s">
        <v>28</v>
      </c>
      <c r="H1147" s="2">
        <v>42223</v>
      </c>
      <c r="I1147" t="s">
        <v>57</v>
      </c>
      <c r="J1147" t="s">
        <v>36</v>
      </c>
      <c r="K1147" t="str">
        <f t="shared" ca="1" si="106"/>
        <v>OK</v>
      </c>
      <c r="L1147" t="s">
        <v>1221</v>
      </c>
      <c r="M1147">
        <v>5</v>
      </c>
      <c r="N1147" s="2">
        <v>46015</v>
      </c>
      <c r="O1147" s="2">
        <v>42885</v>
      </c>
      <c r="P1147" s="4">
        <f t="shared" ca="1" si="104"/>
        <v>1</v>
      </c>
      <c r="Q1147" s="4" t="str">
        <f t="shared" ca="1" si="105"/>
        <v>0-2 Years</v>
      </c>
      <c r="R1147">
        <f t="shared" ca="1" si="107"/>
        <v>1</v>
      </c>
      <c r="S1147" t="s">
        <v>23</v>
      </c>
      <c r="T1147">
        <v>3</v>
      </c>
      <c r="U1147" t="s">
        <v>1394</v>
      </c>
      <c r="V1147" t="s">
        <v>1394</v>
      </c>
      <c r="W1147" t="s">
        <v>1394</v>
      </c>
      <c r="X1147" s="3">
        <v>4</v>
      </c>
      <c r="Y1147" t="s">
        <v>1395</v>
      </c>
      <c r="Z1147">
        <v>47254</v>
      </c>
      <c r="AA1147">
        <v>0.1</v>
      </c>
      <c r="AB1147">
        <v>51979.4</v>
      </c>
    </row>
    <row r="1148" spans="1:28" x14ac:dyDescent="0.35">
      <c r="A1148" t="str">
        <f t="shared" si="102"/>
        <v>EMP1147</v>
      </c>
      <c r="B1148" t="str" cm="1">
        <f t="array" ref="B1148">_xlfn.IFS(
ROW()&lt;=421,"NA",
ROW()&lt;=781,"LATAM",
ROW()&lt;=1021,"EMEA",
TRUE,"APAC"
)</f>
        <v>APAC</v>
      </c>
      <c r="C1148" t="str">
        <f t="shared" si="103"/>
        <v>Singapore</v>
      </c>
      <c r="D1148" t="s">
        <v>38</v>
      </c>
      <c r="E1148" t="s">
        <v>145</v>
      </c>
      <c r="F1148" t="s">
        <v>312</v>
      </c>
      <c r="G1148" t="s">
        <v>28</v>
      </c>
      <c r="H1148" s="2">
        <v>42221</v>
      </c>
      <c r="I1148" t="s">
        <v>57</v>
      </c>
      <c r="J1148" t="s">
        <v>39</v>
      </c>
      <c r="K1148" t="str">
        <f t="shared" ca="1" si="106"/>
        <v>OK</v>
      </c>
      <c r="L1148" t="s">
        <v>331</v>
      </c>
      <c r="M1148">
        <v>4</v>
      </c>
      <c r="N1148" s="2">
        <v>46078</v>
      </c>
      <c r="O1148" s="2">
        <v>44719</v>
      </c>
      <c r="P1148" s="4">
        <f t="shared" ca="1" si="104"/>
        <v>6</v>
      </c>
      <c r="Q1148" s="4" t="str">
        <f t="shared" ca="1" si="105"/>
        <v>6-10 Years</v>
      </c>
      <c r="R1148">
        <f t="shared" ca="1" si="107"/>
        <v>0</v>
      </c>
      <c r="S1148" t="s">
        <v>23</v>
      </c>
      <c r="T1148">
        <v>3</v>
      </c>
      <c r="U1148" t="s">
        <v>1394</v>
      </c>
      <c r="V1148" t="s">
        <v>1394</v>
      </c>
      <c r="W1148" t="s">
        <v>1394</v>
      </c>
      <c r="X1148" s="3">
        <v>1</v>
      </c>
      <c r="Y1148" t="s">
        <v>1397</v>
      </c>
      <c r="Z1148">
        <v>84210</v>
      </c>
      <c r="AA1148">
        <v>0.15</v>
      </c>
      <c r="AB1148">
        <v>96841.499999999985</v>
      </c>
    </row>
    <row r="1149" spans="1:28" x14ac:dyDescent="0.35">
      <c r="A1149" t="str">
        <f t="shared" si="102"/>
        <v>EMP1148</v>
      </c>
      <c r="B1149" t="str" cm="1">
        <f t="array" ref="B1149">_xlfn.IFS(
ROW()&lt;=421,"NA",
ROW()&lt;=781,"LATAM",
ROW()&lt;=1021,"EMEA",
TRUE,"APAC"
)</f>
        <v>APAC</v>
      </c>
      <c r="C1149" t="str">
        <f t="shared" si="103"/>
        <v>Singapore</v>
      </c>
      <c r="D1149" t="s">
        <v>32</v>
      </c>
      <c r="E1149" t="s">
        <v>380</v>
      </c>
      <c r="F1149" t="s">
        <v>387</v>
      </c>
      <c r="G1149" t="s">
        <v>28</v>
      </c>
      <c r="H1149" s="2">
        <v>42199</v>
      </c>
      <c r="I1149" t="s">
        <v>29</v>
      </c>
      <c r="J1149" t="s">
        <v>33</v>
      </c>
      <c r="K1149" t="str">
        <f t="shared" ca="1" si="106"/>
        <v>OK</v>
      </c>
      <c r="L1149" t="s">
        <v>653</v>
      </c>
      <c r="M1149">
        <v>5</v>
      </c>
      <c r="N1149" s="2">
        <v>46029</v>
      </c>
      <c r="O1149" s="2" t="s">
        <v>22</v>
      </c>
      <c r="P1149" s="4">
        <f t="shared" ca="1" si="104"/>
        <v>10</v>
      </c>
      <c r="Q1149" s="4" t="str">
        <f t="shared" ca="1" si="105"/>
        <v>6-10 Years</v>
      </c>
      <c r="R1149">
        <f t="shared" ca="1" si="107"/>
        <v>0</v>
      </c>
      <c r="S1149" t="s">
        <v>22</v>
      </c>
      <c r="T1149">
        <v>3</v>
      </c>
      <c r="U1149" t="s">
        <v>1394</v>
      </c>
      <c r="V1149" t="s">
        <v>1394</v>
      </c>
      <c r="W1149" t="s">
        <v>1394</v>
      </c>
      <c r="X1149" s="3">
        <v>2</v>
      </c>
      <c r="Y1149" t="s">
        <v>1397</v>
      </c>
      <c r="Z1149">
        <v>38895</v>
      </c>
      <c r="AA1149">
        <v>0.1</v>
      </c>
      <c r="AB1149">
        <v>42784.5</v>
      </c>
    </row>
    <row r="1150" spans="1:28" x14ac:dyDescent="0.35">
      <c r="A1150" t="str">
        <f t="shared" si="102"/>
        <v>EMP1149</v>
      </c>
      <c r="B1150" t="str" cm="1">
        <f t="array" ref="B1150">_xlfn.IFS(
ROW()&lt;=421,"NA",
ROW()&lt;=781,"LATAM",
ROW()&lt;=1021,"EMEA",
TRUE,"APAC"
)</f>
        <v>APAC</v>
      </c>
      <c r="C1150" t="str">
        <f t="shared" si="103"/>
        <v>Singapore</v>
      </c>
      <c r="D1150" t="s">
        <v>44</v>
      </c>
      <c r="E1150" t="s">
        <v>380</v>
      </c>
      <c r="F1150" t="s">
        <v>514</v>
      </c>
      <c r="G1150" t="s">
        <v>28</v>
      </c>
      <c r="H1150" s="2">
        <v>42197</v>
      </c>
      <c r="I1150" t="s">
        <v>29</v>
      </c>
      <c r="J1150" t="s">
        <v>47</v>
      </c>
      <c r="K1150" t="str">
        <f t="shared" ca="1" si="106"/>
        <v>OK</v>
      </c>
      <c r="L1150" t="s">
        <v>515</v>
      </c>
      <c r="M1150">
        <v>5</v>
      </c>
      <c r="N1150" s="2">
        <v>46033</v>
      </c>
      <c r="O1150" s="2" t="s">
        <v>22</v>
      </c>
      <c r="P1150" s="4">
        <f t="shared" ca="1" si="104"/>
        <v>10</v>
      </c>
      <c r="Q1150" s="4" t="str">
        <f t="shared" ca="1" si="105"/>
        <v>6-10 Years</v>
      </c>
      <c r="R1150">
        <f t="shared" ca="1" si="107"/>
        <v>0</v>
      </c>
      <c r="S1150" t="s">
        <v>22</v>
      </c>
      <c r="T1150">
        <v>3</v>
      </c>
      <c r="U1150" t="s">
        <v>1394</v>
      </c>
      <c r="V1150" t="s">
        <v>1396</v>
      </c>
      <c r="W1150" t="s">
        <v>1394</v>
      </c>
      <c r="X1150" s="3">
        <v>5</v>
      </c>
      <c r="Y1150" t="s">
        <v>1395</v>
      </c>
      <c r="Z1150">
        <v>27619</v>
      </c>
      <c r="AA1150">
        <v>0.1</v>
      </c>
      <c r="AB1150">
        <v>30380.9</v>
      </c>
    </row>
    <row r="1151" spans="1:28" x14ac:dyDescent="0.35">
      <c r="A1151" t="str">
        <f t="shared" si="102"/>
        <v>EMP1150</v>
      </c>
      <c r="B1151" t="str" cm="1">
        <f t="array" ref="B1151">_xlfn.IFS(
ROW()&lt;=421,"NA",
ROW()&lt;=781,"LATAM",
ROW()&lt;=1021,"EMEA",
TRUE,"APAC"
)</f>
        <v>APAC</v>
      </c>
      <c r="C1151" t="str">
        <f t="shared" si="103"/>
        <v>Singapore</v>
      </c>
      <c r="D1151" t="s">
        <v>44</v>
      </c>
      <c r="E1151" t="s">
        <v>380</v>
      </c>
      <c r="F1151" t="s">
        <v>524</v>
      </c>
      <c r="G1151" t="s">
        <v>53</v>
      </c>
      <c r="H1151" s="2">
        <v>42197</v>
      </c>
      <c r="I1151" t="s">
        <v>29</v>
      </c>
      <c r="J1151" t="s">
        <v>47</v>
      </c>
      <c r="K1151" t="str">
        <f t="shared" ca="1" si="106"/>
        <v>OK</v>
      </c>
      <c r="L1151" t="s">
        <v>1017</v>
      </c>
      <c r="M1151">
        <v>5</v>
      </c>
      <c r="N1151" s="2">
        <v>46054</v>
      </c>
      <c r="O1151" s="2" t="s">
        <v>22</v>
      </c>
      <c r="P1151" s="4">
        <f t="shared" ca="1" si="104"/>
        <v>10</v>
      </c>
      <c r="Q1151" s="4" t="str">
        <f t="shared" ca="1" si="105"/>
        <v>6-10 Years</v>
      </c>
      <c r="R1151">
        <f t="shared" ca="1" si="107"/>
        <v>0</v>
      </c>
      <c r="S1151" t="s">
        <v>22</v>
      </c>
      <c r="T1151">
        <v>3</v>
      </c>
      <c r="U1151" t="s">
        <v>1394</v>
      </c>
      <c r="V1151" t="s">
        <v>1394</v>
      </c>
      <c r="W1151" t="s">
        <v>1394</v>
      </c>
      <c r="X1151" s="3">
        <v>5</v>
      </c>
      <c r="Y1151" t="s">
        <v>1395</v>
      </c>
      <c r="Z1151">
        <v>27802</v>
      </c>
      <c r="AA1151">
        <v>0.1</v>
      </c>
      <c r="AB1151">
        <v>30582.2</v>
      </c>
    </row>
    <row r="1152" spans="1:28" x14ac:dyDescent="0.35">
      <c r="A1152" t="str">
        <f t="shared" si="102"/>
        <v>EMP1151</v>
      </c>
      <c r="B1152" t="str" cm="1">
        <f t="array" ref="B1152">_xlfn.IFS(
ROW()&lt;=421,"NA",
ROW()&lt;=781,"LATAM",
ROW()&lt;=1021,"EMEA",
TRUE,"APAC"
)</f>
        <v>APAC</v>
      </c>
      <c r="C1152" t="str">
        <f t="shared" si="103"/>
        <v>Singapore</v>
      </c>
      <c r="D1152" t="s">
        <v>26</v>
      </c>
      <c r="E1152" t="s">
        <v>380</v>
      </c>
      <c r="F1152" t="s">
        <v>625</v>
      </c>
      <c r="G1152" t="s">
        <v>28</v>
      </c>
      <c r="H1152" s="2">
        <v>42197</v>
      </c>
      <c r="I1152" t="s">
        <v>29</v>
      </c>
      <c r="J1152" t="s">
        <v>30</v>
      </c>
      <c r="K1152" t="str">
        <f t="shared" ca="1" si="106"/>
        <v>OK</v>
      </c>
      <c r="L1152" t="s">
        <v>1322</v>
      </c>
      <c r="M1152">
        <v>5</v>
      </c>
      <c r="N1152" s="2">
        <v>46057</v>
      </c>
      <c r="O1152" s="2" t="s">
        <v>22</v>
      </c>
      <c r="P1152" s="4">
        <f t="shared" ca="1" si="104"/>
        <v>10</v>
      </c>
      <c r="Q1152" s="4" t="str">
        <f t="shared" ca="1" si="105"/>
        <v>6-10 Years</v>
      </c>
      <c r="R1152">
        <f t="shared" ca="1" si="107"/>
        <v>0</v>
      </c>
      <c r="S1152" t="s">
        <v>22</v>
      </c>
      <c r="T1152">
        <v>3</v>
      </c>
      <c r="U1152" t="s">
        <v>1396</v>
      </c>
      <c r="V1152" t="s">
        <v>1394</v>
      </c>
      <c r="W1152" t="s">
        <v>1394</v>
      </c>
      <c r="X1152" s="3">
        <v>4</v>
      </c>
      <c r="Y1152" t="s">
        <v>1395</v>
      </c>
      <c r="Z1152">
        <v>44537</v>
      </c>
      <c r="AA1152">
        <v>0.1</v>
      </c>
      <c r="AB1152">
        <v>48990.700000000004</v>
      </c>
    </row>
    <row r="1153" spans="1:28" x14ac:dyDescent="0.35">
      <c r="A1153" t="str">
        <f t="shared" si="102"/>
        <v>EMP1152</v>
      </c>
      <c r="B1153" t="str" cm="1">
        <f t="array" ref="B1153">_xlfn.IFS(
ROW()&lt;=421,"NA",
ROW()&lt;=781,"LATAM",
ROW()&lt;=1021,"EMEA",
TRUE,"APAC"
)</f>
        <v>APAC</v>
      </c>
      <c r="C1153" t="str">
        <f t="shared" si="103"/>
        <v>Singapore</v>
      </c>
      <c r="D1153" t="s">
        <v>32</v>
      </c>
      <c r="E1153" t="s">
        <v>380</v>
      </c>
      <c r="F1153" t="s">
        <v>904</v>
      </c>
      <c r="G1153" t="s">
        <v>28</v>
      </c>
      <c r="H1153" s="2">
        <v>42190</v>
      </c>
      <c r="I1153" t="s">
        <v>29</v>
      </c>
      <c r="J1153" t="s">
        <v>33</v>
      </c>
      <c r="K1153" t="str">
        <f t="shared" ca="1" si="106"/>
        <v>OK</v>
      </c>
      <c r="L1153" t="s">
        <v>905</v>
      </c>
      <c r="M1153">
        <v>5</v>
      </c>
      <c r="N1153" s="2">
        <v>46054</v>
      </c>
      <c r="O1153" s="2" t="s">
        <v>22</v>
      </c>
      <c r="P1153" s="4">
        <f t="shared" ca="1" si="104"/>
        <v>10</v>
      </c>
      <c r="Q1153" s="4" t="str">
        <f t="shared" ca="1" si="105"/>
        <v>6-10 Years</v>
      </c>
      <c r="R1153">
        <f t="shared" ca="1" si="107"/>
        <v>0</v>
      </c>
      <c r="S1153" t="s">
        <v>22</v>
      </c>
      <c r="T1153">
        <v>4</v>
      </c>
      <c r="U1153" t="s">
        <v>1394</v>
      </c>
      <c r="V1153" t="s">
        <v>1396</v>
      </c>
      <c r="W1153" t="s">
        <v>1396</v>
      </c>
      <c r="X1153" s="3">
        <v>4</v>
      </c>
      <c r="Y1153" t="s">
        <v>1395</v>
      </c>
      <c r="Z1153">
        <v>20553</v>
      </c>
      <c r="AA1153">
        <v>0.1</v>
      </c>
      <c r="AB1153">
        <v>22608.300000000003</v>
      </c>
    </row>
    <row r="1154" spans="1:28" x14ac:dyDescent="0.35">
      <c r="A1154" t="str">
        <f t="shared" ref="A1154:A1201" si="108">"EMP"&amp;TEXT(ROW()-1,"0000")</f>
        <v>EMP1153</v>
      </c>
      <c r="B1154" t="str" cm="1">
        <f t="array" ref="B1154">_xlfn.IFS(
ROW()&lt;=421,"NA",
ROW()&lt;=781,"LATAM",
ROW()&lt;=1021,"EMEA",
TRUE,"APAC"
)</f>
        <v>APAC</v>
      </c>
      <c r="C1154" t="str">
        <f t="shared" ref="C1154:C1201" si="109">IF(B1154="NA","USA",
IF(B1154="LATAM","Mexico",
IF(B1154="EMEA","Germany","Singapore")))</f>
        <v>Singapore</v>
      </c>
      <c r="D1154" t="s">
        <v>44</v>
      </c>
      <c r="E1154" t="s">
        <v>380</v>
      </c>
      <c r="F1154" t="s">
        <v>474</v>
      </c>
      <c r="G1154" t="s">
        <v>28</v>
      </c>
      <c r="H1154" s="2">
        <v>42188</v>
      </c>
      <c r="I1154" t="s">
        <v>29</v>
      </c>
      <c r="J1154" t="s">
        <v>47</v>
      </c>
      <c r="K1154" t="str">
        <f t="shared" ca="1" si="106"/>
        <v>OK</v>
      </c>
      <c r="L1154" t="s">
        <v>831</v>
      </c>
      <c r="M1154">
        <v>5</v>
      </c>
      <c r="N1154" s="2">
        <v>46056</v>
      </c>
      <c r="O1154" s="2" t="s">
        <v>22</v>
      </c>
      <c r="P1154" s="4">
        <f t="shared" ref="P1154:P1201" ca="1" si="110">IF(H1154&gt;TODAY(),
"",
IF(I1154="Active",
DATEDIF(H1154,TODAY(),"Y"),
DATEDIF(H1154,O1154,"Y")
))</f>
        <v>10</v>
      </c>
      <c r="Q1154" s="4" t="str">
        <f t="shared" ref="Q1154:Q1201" ca="1" si="111">IF(P1154&lt;=2,"0-2 Years",
IF(P1154&lt;=5,"3-5 Years",
IF(P1154&lt;=10,"6-10 Years","10+ Years")))</f>
        <v>6-10 Years</v>
      </c>
      <c r="R1154">
        <f t="shared" ca="1" si="107"/>
        <v>0</v>
      </c>
      <c r="S1154" t="s">
        <v>22</v>
      </c>
      <c r="T1154">
        <v>3</v>
      </c>
      <c r="U1154" t="s">
        <v>1394</v>
      </c>
      <c r="V1154" t="s">
        <v>1394</v>
      </c>
      <c r="W1154" t="s">
        <v>1394</v>
      </c>
      <c r="X1154" s="3">
        <v>5</v>
      </c>
      <c r="Y1154" t="s">
        <v>1395</v>
      </c>
      <c r="Z1154">
        <v>34762</v>
      </c>
      <c r="AA1154">
        <v>0.1</v>
      </c>
      <c r="AB1154">
        <v>38238.200000000004</v>
      </c>
    </row>
    <row r="1155" spans="1:28" x14ac:dyDescent="0.35">
      <c r="A1155" t="str">
        <f t="shared" si="108"/>
        <v>EMP1154</v>
      </c>
      <c r="B1155" t="str" cm="1">
        <f t="array" ref="B1155">_xlfn.IFS(
ROW()&lt;=421,"NA",
ROW()&lt;=781,"LATAM",
ROW()&lt;=1021,"EMEA",
TRUE,"APAC"
)</f>
        <v>APAC</v>
      </c>
      <c r="C1155" t="str">
        <f t="shared" si="109"/>
        <v>Singapore</v>
      </c>
      <c r="D1155" t="s">
        <v>41</v>
      </c>
      <c r="E1155" t="s">
        <v>380</v>
      </c>
      <c r="F1155" t="s">
        <v>577</v>
      </c>
      <c r="G1155" t="s">
        <v>28</v>
      </c>
      <c r="H1155" s="2">
        <v>42186</v>
      </c>
      <c r="I1155" t="s">
        <v>29</v>
      </c>
      <c r="J1155" t="s">
        <v>42</v>
      </c>
      <c r="K1155" t="str">
        <f t="shared" ref="K1155:K1201" ca="1" si="112">IF(
OR(
H1155="",
I1155="",
AND(I1155="Inactive",O1155=""),
H1155&gt;TODAY(),
Z1155="",
F1155="",
D1155="",
X1155&lt;1
),
"⚠ Review",
"OK"
)</f>
        <v>OK</v>
      </c>
      <c r="L1155" t="s">
        <v>836</v>
      </c>
      <c r="M1155">
        <v>5</v>
      </c>
      <c r="N1155" s="2">
        <v>46023</v>
      </c>
      <c r="O1155" s="2" t="s">
        <v>22</v>
      </c>
      <c r="P1155" s="4">
        <f t="shared" ca="1" si="110"/>
        <v>10</v>
      </c>
      <c r="Q1155" s="4" t="str">
        <f t="shared" ca="1" si="111"/>
        <v>6-10 Years</v>
      </c>
      <c r="R1155">
        <f t="shared" ref="R1155:R1201" ca="1" si="113">IF(P1155&lt;=2,1,0)</f>
        <v>0</v>
      </c>
      <c r="S1155" t="s">
        <v>22</v>
      </c>
      <c r="T1155">
        <v>4</v>
      </c>
      <c r="U1155" t="s">
        <v>1394</v>
      </c>
      <c r="V1155" t="s">
        <v>1396</v>
      </c>
      <c r="W1155" t="s">
        <v>1394</v>
      </c>
      <c r="X1155" s="3">
        <v>1</v>
      </c>
      <c r="Y1155" t="s">
        <v>1397</v>
      </c>
      <c r="Z1155">
        <v>39673</v>
      </c>
      <c r="AA1155">
        <v>0.1</v>
      </c>
      <c r="AB1155">
        <v>43640.3</v>
      </c>
    </row>
    <row r="1156" spans="1:28" x14ac:dyDescent="0.35">
      <c r="A1156" t="str">
        <f t="shared" si="108"/>
        <v>EMP1155</v>
      </c>
      <c r="B1156" t="str" cm="1">
        <f t="array" ref="B1156">_xlfn.IFS(
ROW()&lt;=421,"NA",
ROW()&lt;=781,"LATAM",
ROW()&lt;=1021,"EMEA",
TRUE,"APAC"
)</f>
        <v>APAC</v>
      </c>
      <c r="C1156" t="str">
        <f t="shared" si="109"/>
        <v>Singapore</v>
      </c>
      <c r="D1156" t="s">
        <v>44</v>
      </c>
      <c r="E1156" t="s">
        <v>380</v>
      </c>
      <c r="F1156" t="s">
        <v>458</v>
      </c>
      <c r="G1156" t="s">
        <v>28</v>
      </c>
      <c r="H1156" s="2">
        <v>42186</v>
      </c>
      <c r="I1156" t="s">
        <v>29</v>
      </c>
      <c r="J1156" t="s">
        <v>47</v>
      </c>
      <c r="K1156" t="str">
        <f t="shared" ca="1" si="112"/>
        <v>OK</v>
      </c>
      <c r="L1156" t="s">
        <v>773</v>
      </c>
      <c r="M1156">
        <v>5</v>
      </c>
      <c r="N1156" s="2">
        <v>46035</v>
      </c>
      <c r="O1156" s="2" t="s">
        <v>22</v>
      </c>
      <c r="P1156" s="4">
        <f t="shared" ca="1" si="110"/>
        <v>10</v>
      </c>
      <c r="Q1156" s="4" t="str">
        <f t="shared" ca="1" si="111"/>
        <v>6-10 Years</v>
      </c>
      <c r="R1156">
        <f t="shared" ca="1" si="113"/>
        <v>0</v>
      </c>
      <c r="S1156" t="s">
        <v>22</v>
      </c>
      <c r="T1156">
        <v>4</v>
      </c>
      <c r="U1156" t="s">
        <v>1394</v>
      </c>
      <c r="V1156" t="s">
        <v>1396</v>
      </c>
      <c r="W1156" t="s">
        <v>1396</v>
      </c>
      <c r="X1156" s="3">
        <v>1</v>
      </c>
      <c r="Y1156" t="s">
        <v>1397</v>
      </c>
      <c r="Z1156">
        <v>21655</v>
      </c>
      <c r="AA1156">
        <v>0.1</v>
      </c>
      <c r="AB1156">
        <v>23820.500000000004</v>
      </c>
    </row>
    <row r="1157" spans="1:28" x14ac:dyDescent="0.35">
      <c r="A1157" t="str">
        <f t="shared" si="108"/>
        <v>EMP1156</v>
      </c>
      <c r="B1157" t="str" cm="1">
        <f t="array" ref="B1157">_xlfn.IFS(
ROW()&lt;=421,"NA",
ROW()&lt;=781,"LATAM",
ROW()&lt;=1021,"EMEA",
TRUE,"APAC"
)</f>
        <v>APAC</v>
      </c>
      <c r="C1157" t="str">
        <f t="shared" si="109"/>
        <v>Singapore</v>
      </c>
      <c r="D1157" t="s">
        <v>44</v>
      </c>
      <c r="E1157" t="s">
        <v>380</v>
      </c>
      <c r="F1157" t="s">
        <v>422</v>
      </c>
      <c r="G1157" t="s">
        <v>28</v>
      </c>
      <c r="H1157" s="2">
        <v>42180</v>
      </c>
      <c r="I1157" t="s">
        <v>29</v>
      </c>
      <c r="J1157" t="s">
        <v>47</v>
      </c>
      <c r="K1157" t="str">
        <f t="shared" ca="1" si="112"/>
        <v>OK</v>
      </c>
      <c r="L1157" t="s">
        <v>1130</v>
      </c>
      <c r="M1157">
        <v>5</v>
      </c>
      <c r="N1157" s="2">
        <v>46072</v>
      </c>
      <c r="O1157" s="2" t="s">
        <v>22</v>
      </c>
      <c r="P1157" s="4">
        <f t="shared" ca="1" si="110"/>
        <v>10</v>
      </c>
      <c r="Q1157" s="4" t="str">
        <f t="shared" ca="1" si="111"/>
        <v>6-10 Years</v>
      </c>
      <c r="R1157">
        <f t="shared" ca="1" si="113"/>
        <v>0</v>
      </c>
      <c r="S1157" t="s">
        <v>22</v>
      </c>
      <c r="T1157">
        <v>3</v>
      </c>
      <c r="U1157" t="s">
        <v>1394</v>
      </c>
      <c r="V1157" t="s">
        <v>1396</v>
      </c>
      <c r="W1157" t="s">
        <v>1394</v>
      </c>
      <c r="X1157" s="3">
        <v>4</v>
      </c>
      <c r="Y1157" t="s">
        <v>1395</v>
      </c>
      <c r="Z1157">
        <v>25002</v>
      </c>
      <c r="AA1157">
        <v>0.1</v>
      </c>
      <c r="AB1157">
        <v>27502.2</v>
      </c>
    </row>
    <row r="1158" spans="1:28" x14ac:dyDescent="0.35">
      <c r="A1158" t="str">
        <f t="shared" si="108"/>
        <v>EMP1157</v>
      </c>
      <c r="B1158" t="str" cm="1">
        <f t="array" ref="B1158">_xlfn.IFS(
ROW()&lt;=421,"NA",
ROW()&lt;=781,"LATAM",
ROW()&lt;=1021,"EMEA",
TRUE,"APAC"
)</f>
        <v>APAC</v>
      </c>
      <c r="C1158" t="str">
        <f t="shared" si="109"/>
        <v>Singapore</v>
      </c>
      <c r="D1158" t="s">
        <v>32</v>
      </c>
      <c r="E1158" t="s">
        <v>380</v>
      </c>
      <c r="F1158" t="s">
        <v>505</v>
      </c>
      <c r="G1158" t="s">
        <v>28</v>
      </c>
      <c r="H1158" s="2">
        <v>42175</v>
      </c>
      <c r="I1158" t="s">
        <v>29</v>
      </c>
      <c r="J1158" t="s">
        <v>33</v>
      </c>
      <c r="K1158" t="str">
        <f t="shared" ca="1" si="112"/>
        <v>OK</v>
      </c>
      <c r="L1158" t="s">
        <v>929</v>
      </c>
      <c r="M1158">
        <v>5</v>
      </c>
      <c r="N1158" s="2">
        <v>46051</v>
      </c>
      <c r="O1158" s="2" t="s">
        <v>22</v>
      </c>
      <c r="P1158" s="4">
        <f t="shared" ca="1" si="110"/>
        <v>10</v>
      </c>
      <c r="Q1158" s="4" t="str">
        <f t="shared" ca="1" si="111"/>
        <v>6-10 Years</v>
      </c>
      <c r="R1158">
        <f t="shared" ca="1" si="113"/>
        <v>0</v>
      </c>
      <c r="S1158" t="s">
        <v>22</v>
      </c>
      <c r="T1158">
        <v>5</v>
      </c>
      <c r="U1158" t="s">
        <v>1394</v>
      </c>
      <c r="V1158" t="s">
        <v>1394</v>
      </c>
      <c r="W1158" t="s">
        <v>1394</v>
      </c>
      <c r="X1158" s="3">
        <v>3</v>
      </c>
      <c r="Y1158" t="s">
        <v>1398</v>
      </c>
      <c r="Z1158">
        <v>31594</v>
      </c>
      <c r="AA1158">
        <v>0.1</v>
      </c>
      <c r="AB1158">
        <v>34753.4</v>
      </c>
    </row>
    <row r="1159" spans="1:28" x14ac:dyDescent="0.35">
      <c r="A1159" t="str">
        <f t="shared" si="108"/>
        <v>EMP1158</v>
      </c>
      <c r="B1159" t="str" cm="1">
        <f t="array" ref="B1159">_xlfn.IFS(
ROW()&lt;=421,"NA",
ROW()&lt;=781,"LATAM",
ROW()&lt;=1021,"EMEA",
TRUE,"APAC"
)</f>
        <v>APAC</v>
      </c>
      <c r="C1159" t="str">
        <f t="shared" si="109"/>
        <v>Singapore</v>
      </c>
      <c r="D1159" t="s">
        <v>35</v>
      </c>
      <c r="E1159" t="s">
        <v>380</v>
      </c>
      <c r="F1159" t="s">
        <v>917</v>
      </c>
      <c r="G1159" t="s">
        <v>28</v>
      </c>
      <c r="H1159" s="2">
        <v>42171</v>
      </c>
      <c r="I1159" t="s">
        <v>29</v>
      </c>
      <c r="J1159" t="s">
        <v>36</v>
      </c>
      <c r="K1159" t="str">
        <f t="shared" ca="1" si="112"/>
        <v>OK</v>
      </c>
      <c r="L1159" t="s">
        <v>1038</v>
      </c>
      <c r="M1159">
        <v>5</v>
      </c>
      <c r="N1159" s="2">
        <v>46020</v>
      </c>
      <c r="O1159" s="2" t="s">
        <v>22</v>
      </c>
      <c r="P1159" s="4">
        <f t="shared" ca="1" si="110"/>
        <v>10</v>
      </c>
      <c r="Q1159" s="4" t="str">
        <f t="shared" ca="1" si="111"/>
        <v>6-10 Years</v>
      </c>
      <c r="R1159">
        <f t="shared" ca="1" si="113"/>
        <v>0</v>
      </c>
      <c r="S1159" t="s">
        <v>22</v>
      </c>
      <c r="T1159">
        <v>4</v>
      </c>
      <c r="U1159" t="s">
        <v>1394</v>
      </c>
      <c r="V1159" t="s">
        <v>1394</v>
      </c>
      <c r="W1159" t="s">
        <v>1394</v>
      </c>
      <c r="X1159" s="3">
        <v>4</v>
      </c>
      <c r="Y1159" t="s">
        <v>1395</v>
      </c>
      <c r="Z1159">
        <v>29606</v>
      </c>
      <c r="AA1159">
        <v>0.1</v>
      </c>
      <c r="AB1159">
        <v>32566.600000000002</v>
      </c>
    </row>
    <row r="1160" spans="1:28" x14ac:dyDescent="0.35">
      <c r="A1160" t="str">
        <f t="shared" si="108"/>
        <v>EMP1159</v>
      </c>
      <c r="B1160" t="str" cm="1">
        <f t="array" ref="B1160">_xlfn.IFS(
ROW()&lt;=421,"NA",
ROW()&lt;=781,"LATAM",
ROW()&lt;=1021,"EMEA",
TRUE,"APAC"
)</f>
        <v>APAC</v>
      </c>
      <c r="C1160" t="str">
        <f t="shared" si="109"/>
        <v>Singapore</v>
      </c>
      <c r="D1160" t="s">
        <v>35</v>
      </c>
      <c r="E1160" t="s">
        <v>380</v>
      </c>
      <c r="F1160" t="s">
        <v>904</v>
      </c>
      <c r="G1160" t="s">
        <v>28</v>
      </c>
      <c r="H1160" s="2">
        <v>42167</v>
      </c>
      <c r="I1160" t="s">
        <v>57</v>
      </c>
      <c r="J1160" t="s">
        <v>36</v>
      </c>
      <c r="K1160" t="str">
        <f t="shared" ca="1" si="112"/>
        <v>OK</v>
      </c>
      <c r="L1160" t="s">
        <v>200</v>
      </c>
      <c r="M1160">
        <v>5</v>
      </c>
      <c r="N1160" s="2">
        <v>46001</v>
      </c>
      <c r="O1160" s="2">
        <v>44227</v>
      </c>
      <c r="P1160" s="4">
        <f t="shared" ca="1" si="110"/>
        <v>5</v>
      </c>
      <c r="Q1160" s="4" t="str">
        <f t="shared" ca="1" si="111"/>
        <v>3-5 Years</v>
      </c>
      <c r="R1160">
        <f t="shared" ca="1" si="113"/>
        <v>0</v>
      </c>
      <c r="S1160" t="s">
        <v>24</v>
      </c>
      <c r="T1160">
        <v>5</v>
      </c>
      <c r="U1160" t="s">
        <v>1394</v>
      </c>
      <c r="V1160" t="s">
        <v>1394</v>
      </c>
      <c r="W1160" t="s">
        <v>1394</v>
      </c>
      <c r="X1160" s="3">
        <v>3</v>
      </c>
      <c r="Y1160" t="s">
        <v>1398</v>
      </c>
      <c r="Z1160">
        <v>28967</v>
      </c>
      <c r="AA1160">
        <v>0.1</v>
      </c>
      <c r="AB1160">
        <v>31863.700000000004</v>
      </c>
    </row>
    <row r="1161" spans="1:28" x14ac:dyDescent="0.35">
      <c r="A1161" t="str">
        <f t="shared" si="108"/>
        <v>EMP1160</v>
      </c>
      <c r="B1161" t="str" cm="1">
        <f t="array" ref="B1161">_xlfn.IFS(
ROW()&lt;=421,"NA",
ROW()&lt;=781,"LATAM",
ROW()&lt;=1021,"EMEA",
TRUE,"APAC"
)</f>
        <v>APAC</v>
      </c>
      <c r="C1161" t="str">
        <f t="shared" si="109"/>
        <v>Singapore</v>
      </c>
      <c r="D1161" t="s">
        <v>32</v>
      </c>
      <c r="E1161" t="s">
        <v>380</v>
      </c>
      <c r="G1161" t="s">
        <v>28</v>
      </c>
      <c r="H1161" s="2">
        <v>42166</v>
      </c>
      <c r="I1161" t="s">
        <v>57</v>
      </c>
      <c r="J1161" t="s">
        <v>33</v>
      </c>
      <c r="K1161" t="str">
        <f t="shared" ca="1" si="112"/>
        <v>⚠ Review</v>
      </c>
      <c r="L1161" t="s">
        <v>846</v>
      </c>
      <c r="M1161">
        <v>5</v>
      </c>
      <c r="N1161" s="2">
        <v>46003</v>
      </c>
      <c r="O1161" s="2">
        <v>43251</v>
      </c>
      <c r="P1161" s="4">
        <f t="shared" ca="1" si="110"/>
        <v>2</v>
      </c>
      <c r="Q1161" s="4" t="str">
        <f t="shared" ca="1" si="111"/>
        <v>0-2 Years</v>
      </c>
      <c r="R1161">
        <f t="shared" ca="1" si="113"/>
        <v>1</v>
      </c>
      <c r="S1161" t="s">
        <v>24</v>
      </c>
      <c r="T1161">
        <v>4</v>
      </c>
      <c r="U1161" t="s">
        <v>1394</v>
      </c>
      <c r="V1161" t="s">
        <v>1396</v>
      </c>
      <c r="W1161" t="s">
        <v>1394</v>
      </c>
      <c r="X1161" s="3">
        <v>4</v>
      </c>
      <c r="Y1161" t="s">
        <v>1395</v>
      </c>
      <c r="Z1161">
        <v>30964</v>
      </c>
      <c r="AA1161">
        <v>0.1</v>
      </c>
      <c r="AB1161">
        <v>34060.400000000001</v>
      </c>
    </row>
    <row r="1162" spans="1:28" x14ac:dyDescent="0.35">
      <c r="A1162" t="str">
        <f t="shared" si="108"/>
        <v>EMP1161</v>
      </c>
      <c r="B1162" t="str" cm="1">
        <f t="array" ref="B1162">_xlfn.IFS(
ROW()&lt;=421,"NA",
ROW()&lt;=781,"LATAM",
ROW()&lt;=1021,"EMEA",
TRUE,"APAC"
)</f>
        <v>APAC</v>
      </c>
      <c r="C1162" t="str">
        <f t="shared" si="109"/>
        <v>Singapore</v>
      </c>
      <c r="D1162" t="s">
        <v>35</v>
      </c>
      <c r="E1162" t="s">
        <v>380</v>
      </c>
      <c r="F1162" t="s">
        <v>584</v>
      </c>
      <c r="G1162" t="s">
        <v>28</v>
      </c>
      <c r="H1162" s="2">
        <v>42162</v>
      </c>
      <c r="I1162" t="s">
        <v>57</v>
      </c>
      <c r="J1162" t="s">
        <v>36</v>
      </c>
      <c r="K1162" t="str">
        <f t="shared" ca="1" si="112"/>
        <v>OK</v>
      </c>
      <c r="L1162" t="s">
        <v>1276</v>
      </c>
      <c r="M1162">
        <v>5</v>
      </c>
      <c r="N1162" s="2">
        <v>46062</v>
      </c>
      <c r="O1162" s="2">
        <v>42936</v>
      </c>
      <c r="P1162" s="4">
        <f t="shared" ca="1" si="110"/>
        <v>2</v>
      </c>
      <c r="Q1162" s="4" t="str">
        <f t="shared" ca="1" si="111"/>
        <v>0-2 Years</v>
      </c>
      <c r="R1162">
        <f t="shared" ca="1" si="113"/>
        <v>1</v>
      </c>
      <c r="S1162" t="s">
        <v>23</v>
      </c>
      <c r="T1162">
        <v>3</v>
      </c>
      <c r="U1162" t="s">
        <v>1394</v>
      </c>
      <c r="V1162" t="s">
        <v>1394</v>
      </c>
      <c r="W1162" t="s">
        <v>1394</v>
      </c>
      <c r="X1162" s="3">
        <v>4</v>
      </c>
      <c r="Y1162" t="s">
        <v>1395</v>
      </c>
      <c r="Z1162">
        <v>20549</v>
      </c>
      <c r="AA1162">
        <v>0.1</v>
      </c>
      <c r="AB1162">
        <v>22603.9</v>
      </c>
    </row>
    <row r="1163" spans="1:28" x14ac:dyDescent="0.35">
      <c r="A1163" t="str">
        <f t="shared" si="108"/>
        <v>EMP1162</v>
      </c>
      <c r="B1163" t="str" cm="1">
        <f t="array" ref="B1163">_xlfn.IFS(
ROW()&lt;=421,"NA",
ROW()&lt;=781,"LATAM",
ROW()&lt;=1021,"EMEA",
TRUE,"APAC"
)</f>
        <v>APAC</v>
      </c>
      <c r="C1163" t="str">
        <f t="shared" si="109"/>
        <v>Singapore</v>
      </c>
      <c r="D1163" t="s">
        <v>44</v>
      </c>
      <c r="E1163" t="s">
        <v>380</v>
      </c>
      <c r="F1163" t="s">
        <v>899</v>
      </c>
      <c r="G1163" t="s">
        <v>28</v>
      </c>
      <c r="H1163" s="2">
        <v>42160</v>
      </c>
      <c r="I1163" t="s">
        <v>29</v>
      </c>
      <c r="J1163" t="s">
        <v>47</v>
      </c>
      <c r="K1163" t="str">
        <f t="shared" ca="1" si="112"/>
        <v>OK</v>
      </c>
      <c r="L1163" t="s">
        <v>1273</v>
      </c>
      <c r="M1163">
        <v>5</v>
      </c>
      <c r="N1163" s="2">
        <v>46051</v>
      </c>
      <c r="O1163" s="2" t="s">
        <v>22</v>
      </c>
      <c r="P1163" s="4">
        <f t="shared" ca="1" si="110"/>
        <v>10</v>
      </c>
      <c r="Q1163" s="4" t="str">
        <f t="shared" ca="1" si="111"/>
        <v>6-10 Years</v>
      </c>
      <c r="R1163">
        <f t="shared" ca="1" si="113"/>
        <v>0</v>
      </c>
      <c r="S1163" t="s">
        <v>22</v>
      </c>
      <c r="T1163">
        <v>4</v>
      </c>
      <c r="U1163" t="s">
        <v>1394</v>
      </c>
      <c r="V1163" t="s">
        <v>1394</v>
      </c>
      <c r="W1163" t="s">
        <v>1394</v>
      </c>
      <c r="X1163" s="3">
        <v>1</v>
      </c>
      <c r="Y1163" t="s">
        <v>1397</v>
      </c>
      <c r="Z1163">
        <v>25750</v>
      </c>
      <c r="AA1163">
        <v>0.1</v>
      </c>
      <c r="AB1163">
        <v>28325.000000000004</v>
      </c>
    </row>
    <row r="1164" spans="1:28" x14ac:dyDescent="0.35">
      <c r="A1164" t="str">
        <f t="shared" si="108"/>
        <v>EMP1163</v>
      </c>
      <c r="B1164" t="str" cm="1">
        <f t="array" ref="B1164">_xlfn.IFS(
ROW()&lt;=421,"NA",
ROW()&lt;=781,"LATAM",
ROW()&lt;=1021,"EMEA",
TRUE,"APAC"
)</f>
        <v>APAC</v>
      </c>
      <c r="C1164" t="str">
        <f t="shared" si="109"/>
        <v>Singapore</v>
      </c>
      <c r="D1164" t="s">
        <v>32</v>
      </c>
      <c r="E1164" t="s">
        <v>145</v>
      </c>
      <c r="F1164" t="s">
        <v>232</v>
      </c>
      <c r="G1164" t="s">
        <v>28</v>
      </c>
      <c r="H1164" s="2">
        <v>42158</v>
      </c>
      <c r="I1164" t="s">
        <v>29</v>
      </c>
      <c r="J1164" t="s">
        <v>33</v>
      </c>
      <c r="K1164" t="str">
        <f t="shared" ca="1" si="112"/>
        <v>OK</v>
      </c>
      <c r="L1164" t="s">
        <v>292</v>
      </c>
      <c r="M1164">
        <v>4</v>
      </c>
      <c r="N1164" s="2">
        <v>46071</v>
      </c>
      <c r="O1164" s="2" t="s">
        <v>22</v>
      </c>
      <c r="P1164" s="4">
        <f t="shared" ca="1" si="110"/>
        <v>10</v>
      </c>
      <c r="Q1164" s="4" t="str">
        <f t="shared" ca="1" si="111"/>
        <v>6-10 Years</v>
      </c>
      <c r="R1164">
        <f t="shared" ca="1" si="113"/>
        <v>0</v>
      </c>
      <c r="S1164" t="s">
        <v>22</v>
      </c>
      <c r="T1164">
        <v>4</v>
      </c>
      <c r="U1164" t="s">
        <v>1394</v>
      </c>
      <c r="V1164" t="s">
        <v>1394</v>
      </c>
      <c r="W1164" t="s">
        <v>1394</v>
      </c>
      <c r="X1164" s="3">
        <v>4</v>
      </c>
      <c r="Y1164" t="s">
        <v>1395</v>
      </c>
      <c r="Z1164">
        <v>55770</v>
      </c>
      <c r="AA1164">
        <v>0.15</v>
      </c>
      <c r="AB1164">
        <v>64135.499999999993</v>
      </c>
    </row>
    <row r="1165" spans="1:28" x14ac:dyDescent="0.35">
      <c r="A1165" t="str">
        <f t="shared" si="108"/>
        <v>EMP1164</v>
      </c>
      <c r="B1165" t="str" cm="1">
        <f t="array" ref="B1165">_xlfn.IFS(
ROW()&lt;=421,"NA",
ROW()&lt;=781,"LATAM",
ROW()&lt;=1021,"EMEA",
TRUE,"APAC"
)</f>
        <v>APAC</v>
      </c>
      <c r="C1165" t="str">
        <f t="shared" si="109"/>
        <v>Singapore</v>
      </c>
      <c r="D1165" t="s">
        <v>26</v>
      </c>
      <c r="E1165" t="s">
        <v>380</v>
      </c>
      <c r="F1165" t="s">
        <v>917</v>
      </c>
      <c r="G1165" t="s">
        <v>28</v>
      </c>
      <c r="H1165" s="2">
        <v>42152</v>
      </c>
      <c r="I1165" t="s">
        <v>29</v>
      </c>
      <c r="J1165" t="s">
        <v>30</v>
      </c>
      <c r="K1165" t="str">
        <f t="shared" ca="1" si="112"/>
        <v>OK</v>
      </c>
      <c r="L1165" t="s">
        <v>717</v>
      </c>
      <c r="M1165">
        <v>5</v>
      </c>
      <c r="N1165" s="2">
        <v>46053</v>
      </c>
      <c r="O1165" s="2" t="s">
        <v>22</v>
      </c>
      <c r="P1165" s="4">
        <f t="shared" ca="1" si="110"/>
        <v>10</v>
      </c>
      <c r="Q1165" s="4" t="str">
        <f t="shared" ca="1" si="111"/>
        <v>6-10 Years</v>
      </c>
      <c r="R1165">
        <f t="shared" ca="1" si="113"/>
        <v>0</v>
      </c>
      <c r="S1165" t="s">
        <v>22</v>
      </c>
      <c r="T1165">
        <v>3</v>
      </c>
      <c r="U1165" t="s">
        <v>1394</v>
      </c>
      <c r="V1165" t="s">
        <v>1394</v>
      </c>
      <c r="W1165" t="s">
        <v>1394</v>
      </c>
      <c r="X1165" s="3">
        <v>1</v>
      </c>
      <c r="Y1165" t="s">
        <v>1397</v>
      </c>
      <c r="Z1165">
        <v>26388</v>
      </c>
      <c r="AA1165">
        <v>0.1</v>
      </c>
      <c r="AB1165">
        <v>29026.800000000003</v>
      </c>
    </row>
    <row r="1166" spans="1:28" x14ac:dyDescent="0.35">
      <c r="A1166" t="str">
        <f t="shared" si="108"/>
        <v>EMP1165</v>
      </c>
      <c r="B1166" t="str" cm="1">
        <f t="array" ref="B1166">_xlfn.IFS(
ROW()&lt;=421,"NA",
ROW()&lt;=781,"LATAM",
ROW()&lt;=1021,"EMEA",
TRUE,"APAC"
)</f>
        <v>APAC</v>
      </c>
      <c r="C1166" t="str">
        <f t="shared" si="109"/>
        <v>Singapore</v>
      </c>
      <c r="D1166" t="s">
        <v>32</v>
      </c>
      <c r="E1166" t="s">
        <v>380</v>
      </c>
      <c r="F1166" t="s">
        <v>564</v>
      </c>
      <c r="G1166" t="s">
        <v>28</v>
      </c>
      <c r="H1166" s="2">
        <v>42145</v>
      </c>
      <c r="I1166" t="s">
        <v>57</v>
      </c>
      <c r="J1166" t="s">
        <v>33</v>
      </c>
      <c r="K1166" t="str">
        <f t="shared" ca="1" si="112"/>
        <v>OK</v>
      </c>
      <c r="L1166" t="s">
        <v>565</v>
      </c>
      <c r="M1166">
        <v>5</v>
      </c>
      <c r="N1166" s="2">
        <v>46053</v>
      </c>
      <c r="O1166" s="2">
        <v>43718</v>
      </c>
      <c r="P1166" s="4">
        <f t="shared" ca="1" si="110"/>
        <v>4</v>
      </c>
      <c r="Q1166" s="4" t="str">
        <f t="shared" ca="1" si="111"/>
        <v>3-5 Years</v>
      </c>
      <c r="R1166">
        <f t="shared" ca="1" si="113"/>
        <v>0</v>
      </c>
      <c r="S1166" t="s">
        <v>23</v>
      </c>
      <c r="T1166">
        <v>3</v>
      </c>
      <c r="U1166" t="s">
        <v>1394</v>
      </c>
      <c r="V1166" t="s">
        <v>1394</v>
      </c>
      <c r="W1166" t="s">
        <v>1394</v>
      </c>
      <c r="X1166" s="3">
        <v>3</v>
      </c>
      <c r="Y1166" t="s">
        <v>1398</v>
      </c>
      <c r="Z1166">
        <v>40397</v>
      </c>
      <c r="AA1166">
        <v>0.1</v>
      </c>
      <c r="AB1166">
        <v>44436.700000000004</v>
      </c>
    </row>
    <row r="1167" spans="1:28" x14ac:dyDescent="0.35">
      <c r="A1167" t="str">
        <f t="shared" si="108"/>
        <v>EMP1166</v>
      </c>
      <c r="B1167" t="str" cm="1">
        <f t="array" ref="B1167">_xlfn.IFS(
ROW()&lt;=421,"NA",
ROW()&lt;=781,"LATAM",
ROW()&lt;=1021,"EMEA",
TRUE,"APAC"
)</f>
        <v>APAC</v>
      </c>
      <c r="C1167" t="str">
        <f t="shared" si="109"/>
        <v>Singapore</v>
      </c>
      <c r="D1167" t="s">
        <v>44</v>
      </c>
      <c r="E1167" t="s">
        <v>380</v>
      </c>
      <c r="F1167" t="s">
        <v>484</v>
      </c>
      <c r="G1167" t="s">
        <v>28</v>
      </c>
      <c r="H1167" s="2">
        <v>42141</v>
      </c>
      <c r="I1167" t="s">
        <v>29</v>
      </c>
      <c r="J1167" t="s">
        <v>47</v>
      </c>
      <c r="K1167" t="str">
        <f t="shared" ca="1" si="112"/>
        <v>OK</v>
      </c>
      <c r="L1167" t="s">
        <v>485</v>
      </c>
      <c r="M1167">
        <v>5</v>
      </c>
      <c r="N1167" s="2">
        <v>46003</v>
      </c>
      <c r="O1167" s="2" t="s">
        <v>22</v>
      </c>
      <c r="P1167" s="4">
        <f t="shared" ca="1" si="110"/>
        <v>10</v>
      </c>
      <c r="Q1167" s="4" t="str">
        <f t="shared" ca="1" si="111"/>
        <v>6-10 Years</v>
      </c>
      <c r="R1167">
        <f t="shared" ca="1" si="113"/>
        <v>0</v>
      </c>
      <c r="S1167" t="s">
        <v>22</v>
      </c>
      <c r="T1167">
        <v>3</v>
      </c>
      <c r="U1167" t="s">
        <v>1394</v>
      </c>
      <c r="V1167" t="s">
        <v>1394</v>
      </c>
      <c r="W1167" t="s">
        <v>1394</v>
      </c>
      <c r="X1167" s="3">
        <v>1</v>
      </c>
      <c r="Y1167" t="s">
        <v>1397</v>
      </c>
      <c r="Z1167">
        <v>23993</v>
      </c>
      <c r="AA1167">
        <v>0.1</v>
      </c>
      <c r="AB1167">
        <v>26392.300000000003</v>
      </c>
    </row>
    <row r="1168" spans="1:28" x14ac:dyDescent="0.35">
      <c r="A1168" t="str">
        <f t="shared" si="108"/>
        <v>EMP1167</v>
      </c>
      <c r="B1168" t="str" cm="1">
        <f t="array" ref="B1168">_xlfn.IFS(
ROW()&lt;=421,"NA",
ROW()&lt;=781,"LATAM",
ROW()&lt;=1021,"EMEA",
TRUE,"APAC"
)</f>
        <v>APAC</v>
      </c>
      <c r="C1168" t="str">
        <f t="shared" si="109"/>
        <v>Singapore</v>
      </c>
      <c r="D1168" t="s">
        <v>26</v>
      </c>
      <c r="E1168" t="s">
        <v>380</v>
      </c>
      <c r="F1168" t="s">
        <v>600</v>
      </c>
      <c r="G1168" t="s">
        <v>28</v>
      </c>
      <c r="H1168" s="2">
        <v>42140</v>
      </c>
      <c r="I1168" t="s">
        <v>29</v>
      </c>
      <c r="J1168" t="s">
        <v>30</v>
      </c>
      <c r="K1168" t="str">
        <f t="shared" ca="1" si="112"/>
        <v>OK</v>
      </c>
      <c r="L1168" t="s">
        <v>131</v>
      </c>
      <c r="M1168">
        <v>5</v>
      </c>
      <c r="N1168" s="2">
        <v>46062</v>
      </c>
      <c r="O1168" s="2" t="s">
        <v>22</v>
      </c>
      <c r="P1168" s="4">
        <f t="shared" ca="1" si="110"/>
        <v>10</v>
      </c>
      <c r="Q1168" s="4" t="str">
        <f t="shared" ca="1" si="111"/>
        <v>6-10 Years</v>
      </c>
      <c r="R1168">
        <f t="shared" ca="1" si="113"/>
        <v>0</v>
      </c>
      <c r="S1168" t="s">
        <v>22</v>
      </c>
      <c r="T1168">
        <v>3</v>
      </c>
      <c r="U1168" t="s">
        <v>1396</v>
      </c>
      <c r="V1168" t="s">
        <v>1394</v>
      </c>
      <c r="W1168" t="s">
        <v>1394</v>
      </c>
      <c r="X1168" s="3">
        <v>3</v>
      </c>
      <c r="Y1168" t="s">
        <v>1398</v>
      </c>
      <c r="Z1168">
        <v>42787</v>
      </c>
      <c r="AA1168">
        <v>0.1</v>
      </c>
      <c r="AB1168">
        <v>47065.700000000004</v>
      </c>
    </row>
    <row r="1169" spans="1:28" x14ac:dyDescent="0.35">
      <c r="A1169" t="str">
        <f t="shared" si="108"/>
        <v>EMP1168</v>
      </c>
      <c r="B1169" t="str" cm="1">
        <f t="array" ref="B1169">_xlfn.IFS(
ROW()&lt;=421,"NA",
ROW()&lt;=781,"LATAM",
ROW()&lt;=1021,"EMEA",
TRUE,"APAC"
)</f>
        <v>APAC</v>
      </c>
      <c r="C1169" t="str">
        <f t="shared" si="109"/>
        <v>Singapore</v>
      </c>
      <c r="D1169" t="s">
        <v>35</v>
      </c>
      <c r="E1169" t="s">
        <v>380</v>
      </c>
      <c r="F1169" t="s">
        <v>553</v>
      </c>
      <c r="G1169" t="s">
        <v>28</v>
      </c>
      <c r="H1169" s="2">
        <v>42138</v>
      </c>
      <c r="I1169" t="s">
        <v>29</v>
      </c>
      <c r="J1169" t="s">
        <v>36</v>
      </c>
      <c r="K1169" t="str">
        <f t="shared" ca="1" si="112"/>
        <v>OK</v>
      </c>
      <c r="L1169" t="s">
        <v>882</v>
      </c>
      <c r="M1169">
        <v>5</v>
      </c>
      <c r="N1169" s="2">
        <v>46053</v>
      </c>
      <c r="O1169" s="2" t="s">
        <v>22</v>
      </c>
      <c r="P1169" s="4">
        <f t="shared" ca="1" si="110"/>
        <v>10</v>
      </c>
      <c r="Q1169" s="4" t="str">
        <f t="shared" ca="1" si="111"/>
        <v>6-10 Years</v>
      </c>
      <c r="R1169">
        <f t="shared" ca="1" si="113"/>
        <v>0</v>
      </c>
      <c r="S1169" t="s">
        <v>22</v>
      </c>
      <c r="T1169">
        <v>3</v>
      </c>
      <c r="U1169" t="s">
        <v>1394</v>
      </c>
      <c r="V1169" t="s">
        <v>1394</v>
      </c>
      <c r="W1169" t="s">
        <v>1394</v>
      </c>
      <c r="X1169" s="3">
        <v>5</v>
      </c>
      <c r="Y1169" t="s">
        <v>1395</v>
      </c>
      <c r="Z1169">
        <v>38988</v>
      </c>
      <c r="AA1169">
        <v>0.1</v>
      </c>
      <c r="AB1169">
        <v>42886.8</v>
      </c>
    </row>
    <row r="1170" spans="1:28" x14ac:dyDescent="0.35">
      <c r="A1170" t="str">
        <f t="shared" si="108"/>
        <v>EMP1169</v>
      </c>
      <c r="B1170" t="str" cm="1">
        <f t="array" ref="B1170">_xlfn.IFS(
ROW()&lt;=421,"NA",
ROW()&lt;=781,"LATAM",
ROW()&lt;=1021,"EMEA",
TRUE,"APAC"
)</f>
        <v>APAC</v>
      </c>
      <c r="C1170" t="str">
        <f t="shared" si="109"/>
        <v>Singapore</v>
      </c>
      <c r="D1170" t="s">
        <v>32</v>
      </c>
      <c r="E1170" t="s">
        <v>380</v>
      </c>
      <c r="F1170" t="s">
        <v>521</v>
      </c>
      <c r="G1170" t="s">
        <v>28</v>
      </c>
      <c r="H1170" s="2">
        <v>42132</v>
      </c>
      <c r="I1170" t="s">
        <v>29</v>
      </c>
      <c r="J1170" t="s">
        <v>33</v>
      </c>
      <c r="K1170" t="str">
        <f t="shared" ca="1" si="112"/>
        <v>OK</v>
      </c>
      <c r="L1170" t="s">
        <v>1187</v>
      </c>
      <c r="M1170">
        <v>5</v>
      </c>
      <c r="N1170" s="2">
        <v>46033</v>
      </c>
      <c r="O1170" s="2" t="s">
        <v>22</v>
      </c>
      <c r="P1170" s="4">
        <f t="shared" ca="1" si="110"/>
        <v>10</v>
      </c>
      <c r="Q1170" s="4" t="str">
        <f t="shared" ca="1" si="111"/>
        <v>6-10 Years</v>
      </c>
      <c r="R1170">
        <f t="shared" ca="1" si="113"/>
        <v>0</v>
      </c>
      <c r="S1170" t="s">
        <v>22</v>
      </c>
      <c r="T1170">
        <v>3</v>
      </c>
      <c r="U1170" t="s">
        <v>1394</v>
      </c>
      <c r="V1170" t="s">
        <v>1394</v>
      </c>
      <c r="W1170" t="s">
        <v>1394</v>
      </c>
      <c r="X1170" s="3">
        <v>4</v>
      </c>
      <c r="Y1170" t="s">
        <v>1395</v>
      </c>
      <c r="Z1170">
        <v>34616</v>
      </c>
      <c r="AA1170">
        <v>0.1</v>
      </c>
      <c r="AB1170">
        <v>38077.600000000006</v>
      </c>
    </row>
    <row r="1171" spans="1:28" x14ac:dyDescent="0.35">
      <c r="A1171" t="str">
        <f t="shared" si="108"/>
        <v>EMP1170</v>
      </c>
      <c r="B1171" t="str" cm="1">
        <f t="array" ref="B1171">_xlfn.IFS(
ROW()&lt;=421,"NA",
ROW()&lt;=781,"LATAM",
ROW()&lt;=1021,"EMEA",
TRUE,"APAC"
)</f>
        <v>APAC</v>
      </c>
      <c r="C1171" t="str">
        <f t="shared" si="109"/>
        <v>Singapore</v>
      </c>
      <c r="D1171" t="s">
        <v>32</v>
      </c>
      <c r="E1171" t="s">
        <v>145</v>
      </c>
      <c r="F1171" t="s">
        <v>216</v>
      </c>
      <c r="G1171" t="s">
        <v>28</v>
      </c>
      <c r="H1171" s="2">
        <v>42131</v>
      </c>
      <c r="I1171" t="s">
        <v>29</v>
      </c>
      <c r="J1171" t="s">
        <v>33</v>
      </c>
      <c r="K1171" t="str">
        <f t="shared" ca="1" si="112"/>
        <v>OK</v>
      </c>
      <c r="L1171" t="s">
        <v>217</v>
      </c>
      <c r="M1171">
        <v>4</v>
      </c>
      <c r="N1171" s="2">
        <v>46039</v>
      </c>
      <c r="O1171" s="2" t="s">
        <v>22</v>
      </c>
      <c r="P1171" s="4">
        <f t="shared" ca="1" si="110"/>
        <v>10</v>
      </c>
      <c r="Q1171" s="4" t="str">
        <f t="shared" ca="1" si="111"/>
        <v>6-10 Years</v>
      </c>
      <c r="R1171">
        <f t="shared" ca="1" si="113"/>
        <v>0</v>
      </c>
      <c r="S1171" t="s">
        <v>22</v>
      </c>
      <c r="T1171">
        <v>3</v>
      </c>
      <c r="U1171" t="s">
        <v>1394</v>
      </c>
      <c r="V1171" t="s">
        <v>1394</v>
      </c>
      <c r="W1171" t="s">
        <v>1394</v>
      </c>
      <c r="X1171" s="3">
        <v>1</v>
      </c>
      <c r="Y1171" t="s">
        <v>1397</v>
      </c>
      <c r="Z1171">
        <v>71304</v>
      </c>
      <c r="AA1171">
        <v>0.15</v>
      </c>
      <c r="AB1171">
        <v>81999.599999999991</v>
      </c>
    </row>
    <row r="1172" spans="1:28" x14ac:dyDescent="0.35">
      <c r="A1172" t="str">
        <f t="shared" si="108"/>
        <v>EMP1171</v>
      </c>
      <c r="B1172" t="str" cm="1">
        <f t="array" ref="B1172">_xlfn.IFS(
ROW()&lt;=421,"NA",
ROW()&lt;=781,"LATAM",
ROW()&lt;=1021,"EMEA",
TRUE,"APAC"
)</f>
        <v>APAC</v>
      </c>
      <c r="C1172" t="str">
        <f t="shared" si="109"/>
        <v>Singapore</v>
      </c>
      <c r="D1172" t="s">
        <v>38</v>
      </c>
      <c r="E1172" t="s">
        <v>145</v>
      </c>
      <c r="F1172" t="s">
        <v>332</v>
      </c>
      <c r="G1172" t="s">
        <v>53</v>
      </c>
      <c r="H1172" s="2">
        <v>42127</v>
      </c>
      <c r="I1172" t="s">
        <v>29</v>
      </c>
      <c r="J1172" t="s">
        <v>39</v>
      </c>
      <c r="K1172" t="str">
        <f t="shared" ca="1" si="112"/>
        <v>OK</v>
      </c>
      <c r="L1172" t="s">
        <v>343</v>
      </c>
      <c r="M1172">
        <v>4</v>
      </c>
      <c r="N1172" s="2">
        <v>46070</v>
      </c>
      <c r="O1172" s="2" t="s">
        <v>22</v>
      </c>
      <c r="P1172" s="4">
        <f t="shared" ca="1" si="110"/>
        <v>10</v>
      </c>
      <c r="Q1172" s="4" t="str">
        <f t="shared" ca="1" si="111"/>
        <v>6-10 Years</v>
      </c>
      <c r="R1172">
        <f t="shared" ca="1" si="113"/>
        <v>0</v>
      </c>
      <c r="S1172" t="s">
        <v>22</v>
      </c>
      <c r="T1172">
        <v>4</v>
      </c>
      <c r="U1172" t="s">
        <v>1394</v>
      </c>
      <c r="V1172" t="s">
        <v>1394</v>
      </c>
      <c r="W1172" t="s">
        <v>1394</v>
      </c>
      <c r="X1172" s="3">
        <v>2</v>
      </c>
      <c r="Y1172" t="s">
        <v>1397</v>
      </c>
      <c r="Z1172">
        <v>63275</v>
      </c>
      <c r="AA1172">
        <v>0.15</v>
      </c>
      <c r="AB1172">
        <v>72766.25</v>
      </c>
    </row>
    <row r="1173" spans="1:28" x14ac:dyDescent="0.35">
      <c r="A1173" t="str">
        <f t="shared" si="108"/>
        <v>EMP1172</v>
      </c>
      <c r="B1173" t="str" cm="1">
        <f t="array" ref="B1173">_xlfn.IFS(
ROW()&lt;=421,"NA",
ROW()&lt;=781,"LATAM",
ROW()&lt;=1021,"EMEA",
TRUE,"APAC"
)</f>
        <v>APAC</v>
      </c>
      <c r="C1173" t="str">
        <f t="shared" si="109"/>
        <v>Singapore</v>
      </c>
      <c r="D1173" t="s">
        <v>35</v>
      </c>
      <c r="E1173" t="s">
        <v>380</v>
      </c>
      <c r="F1173" t="s">
        <v>600</v>
      </c>
      <c r="G1173" t="s">
        <v>53</v>
      </c>
      <c r="H1173" s="2">
        <v>42122</v>
      </c>
      <c r="I1173" t="s">
        <v>29</v>
      </c>
      <c r="J1173" t="s">
        <v>36</v>
      </c>
      <c r="K1173" t="str">
        <f t="shared" ca="1" si="112"/>
        <v>OK</v>
      </c>
      <c r="L1173" t="s">
        <v>924</v>
      </c>
      <c r="M1173">
        <v>5</v>
      </c>
      <c r="N1173" s="2">
        <v>45999</v>
      </c>
      <c r="O1173" s="2" t="s">
        <v>22</v>
      </c>
      <c r="P1173" s="4">
        <f t="shared" ca="1" si="110"/>
        <v>10</v>
      </c>
      <c r="Q1173" s="4" t="str">
        <f t="shared" ca="1" si="111"/>
        <v>6-10 Years</v>
      </c>
      <c r="R1173">
        <f t="shared" ca="1" si="113"/>
        <v>0</v>
      </c>
      <c r="S1173" t="s">
        <v>22</v>
      </c>
      <c r="T1173">
        <v>3</v>
      </c>
      <c r="U1173" t="s">
        <v>1394</v>
      </c>
      <c r="V1173" t="s">
        <v>1394</v>
      </c>
      <c r="W1173" t="s">
        <v>1394</v>
      </c>
      <c r="X1173" s="3">
        <v>3</v>
      </c>
      <c r="Y1173" t="s">
        <v>1398</v>
      </c>
      <c r="Z1173">
        <v>37911</v>
      </c>
      <c r="AA1173">
        <v>0.1</v>
      </c>
      <c r="AB1173">
        <v>41702.100000000006</v>
      </c>
    </row>
    <row r="1174" spans="1:28" x14ac:dyDescent="0.35">
      <c r="A1174" t="str">
        <f t="shared" si="108"/>
        <v>EMP1173</v>
      </c>
      <c r="B1174" t="str" cm="1">
        <f t="array" ref="B1174">_xlfn.IFS(
ROW()&lt;=421,"NA",
ROW()&lt;=781,"LATAM",
ROW()&lt;=1021,"EMEA",
TRUE,"APAC"
)</f>
        <v>APAC</v>
      </c>
      <c r="C1174" t="str">
        <f t="shared" si="109"/>
        <v>Singapore</v>
      </c>
      <c r="D1174" t="s">
        <v>35</v>
      </c>
      <c r="E1174" t="s">
        <v>69</v>
      </c>
      <c r="F1174" t="s">
        <v>74</v>
      </c>
      <c r="G1174" t="s">
        <v>28</v>
      </c>
      <c r="H1174" s="2">
        <v>42116</v>
      </c>
      <c r="I1174" t="s">
        <v>29</v>
      </c>
      <c r="J1174" t="s">
        <v>36</v>
      </c>
      <c r="K1174" t="str">
        <f t="shared" ca="1" si="112"/>
        <v>OK</v>
      </c>
      <c r="L1174" t="s">
        <v>113</v>
      </c>
      <c r="M1174">
        <v>3</v>
      </c>
      <c r="N1174" s="2">
        <v>46022</v>
      </c>
      <c r="O1174" s="2" t="s">
        <v>22</v>
      </c>
      <c r="P1174" s="4">
        <f t="shared" ca="1" si="110"/>
        <v>10</v>
      </c>
      <c r="Q1174" s="4" t="str">
        <f t="shared" ca="1" si="111"/>
        <v>6-10 Years</v>
      </c>
      <c r="R1174">
        <f t="shared" ca="1" si="113"/>
        <v>0</v>
      </c>
      <c r="S1174" t="s">
        <v>22</v>
      </c>
      <c r="T1174">
        <v>3</v>
      </c>
      <c r="U1174" t="s">
        <v>1394</v>
      </c>
      <c r="V1174" t="s">
        <v>1394</v>
      </c>
      <c r="W1174" t="s">
        <v>1394</v>
      </c>
      <c r="X1174" s="3">
        <v>3</v>
      </c>
      <c r="Y1174" t="s">
        <v>1398</v>
      </c>
      <c r="Z1174">
        <v>120634</v>
      </c>
      <c r="AA1174">
        <v>0.2</v>
      </c>
      <c r="AB1174">
        <v>144760.79999999999</v>
      </c>
    </row>
    <row r="1175" spans="1:28" x14ac:dyDescent="0.35">
      <c r="A1175" t="str">
        <f t="shared" si="108"/>
        <v>EMP1174</v>
      </c>
      <c r="B1175" t="str" cm="1">
        <f t="array" ref="B1175">_xlfn.IFS(
ROW()&lt;=421,"NA",
ROW()&lt;=781,"LATAM",
ROW()&lt;=1021,"EMEA",
TRUE,"APAC"
)</f>
        <v>APAC</v>
      </c>
      <c r="C1175" t="str">
        <f t="shared" si="109"/>
        <v>Singapore</v>
      </c>
      <c r="D1175" t="s">
        <v>26</v>
      </c>
      <c r="E1175" t="s">
        <v>145</v>
      </c>
      <c r="F1175" t="s">
        <v>203</v>
      </c>
      <c r="G1175" t="s">
        <v>53</v>
      </c>
      <c r="H1175" s="2">
        <v>42115</v>
      </c>
      <c r="I1175" t="s">
        <v>29</v>
      </c>
      <c r="J1175" t="s">
        <v>30</v>
      </c>
      <c r="K1175" t="str">
        <f t="shared" ca="1" si="112"/>
        <v>OK</v>
      </c>
      <c r="L1175" t="s">
        <v>341</v>
      </c>
      <c r="M1175">
        <v>4</v>
      </c>
      <c r="N1175" s="2">
        <v>46024</v>
      </c>
      <c r="O1175" s="2" t="s">
        <v>22</v>
      </c>
      <c r="P1175" s="4">
        <f t="shared" ca="1" si="110"/>
        <v>10</v>
      </c>
      <c r="Q1175" s="4" t="str">
        <f t="shared" ca="1" si="111"/>
        <v>6-10 Years</v>
      </c>
      <c r="R1175">
        <f t="shared" ca="1" si="113"/>
        <v>0</v>
      </c>
      <c r="S1175" t="s">
        <v>22</v>
      </c>
      <c r="T1175">
        <v>5</v>
      </c>
      <c r="U1175" t="s">
        <v>1394</v>
      </c>
      <c r="V1175" t="s">
        <v>1394</v>
      </c>
      <c r="W1175" t="s">
        <v>1394</v>
      </c>
      <c r="X1175" s="3">
        <v>2</v>
      </c>
      <c r="Y1175" t="s">
        <v>1397</v>
      </c>
      <c r="Z1175">
        <v>63376</v>
      </c>
      <c r="AA1175">
        <v>0.15</v>
      </c>
      <c r="AB1175">
        <v>72882.399999999994</v>
      </c>
    </row>
    <row r="1176" spans="1:28" x14ac:dyDescent="0.35">
      <c r="A1176" t="str">
        <f t="shared" si="108"/>
        <v>EMP1175</v>
      </c>
      <c r="B1176" t="str" cm="1">
        <f t="array" ref="B1176">_xlfn.IFS(
ROW()&lt;=421,"NA",
ROW()&lt;=781,"LATAM",
ROW()&lt;=1021,"EMEA",
TRUE,"APAC"
)</f>
        <v>APAC</v>
      </c>
      <c r="C1176" t="str">
        <f t="shared" si="109"/>
        <v>Singapore</v>
      </c>
      <c r="D1176" t="s">
        <v>38</v>
      </c>
      <c r="E1176" t="s">
        <v>380</v>
      </c>
      <c r="F1176" t="s">
        <v>506</v>
      </c>
      <c r="G1176" t="s">
        <v>28</v>
      </c>
      <c r="H1176" s="2">
        <v>42113</v>
      </c>
      <c r="I1176" t="s">
        <v>29</v>
      </c>
      <c r="J1176" t="s">
        <v>39</v>
      </c>
      <c r="K1176" t="str">
        <f t="shared" ca="1" si="112"/>
        <v>OK</v>
      </c>
      <c r="L1176" t="s">
        <v>1386</v>
      </c>
      <c r="M1176">
        <v>5</v>
      </c>
      <c r="N1176" s="2">
        <v>46015</v>
      </c>
      <c r="O1176" s="2" t="s">
        <v>22</v>
      </c>
      <c r="P1176" s="4">
        <f t="shared" ca="1" si="110"/>
        <v>10</v>
      </c>
      <c r="Q1176" s="4" t="str">
        <f t="shared" ca="1" si="111"/>
        <v>6-10 Years</v>
      </c>
      <c r="R1176">
        <f t="shared" ca="1" si="113"/>
        <v>0</v>
      </c>
      <c r="S1176" t="s">
        <v>22</v>
      </c>
      <c r="T1176">
        <v>3</v>
      </c>
      <c r="U1176" t="s">
        <v>1394</v>
      </c>
      <c r="V1176" t="s">
        <v>1394</v>
      </c>
      <c r="W1176" t="s">
        <v>1394</v>
      </c>
      <c r="X1176" s="3">
        <v>2</v>
      </c>
      <c r="Y1176" t="s">
        <v>1397</v>
      </c>
      <c r="Z1176">
        <v>33987</v>
      </c>
      <c r="AA1176">
        <v>0.1</v>
      </c>
      <c r="AB1176">
        <v>37385.700000000004</v>
      </c>
    </row>
    <row r="1177" spans="1:28" x14ac:dyDescent="0.35">
      <c r="A1177" t="str">
        <f t="shared" si="108"/>
        <v>EMP1176</v>
      </c>
      <c r="B1177" t="str" cm="1">
        <f t="array" ref="B1177">_xlfn.IFS(
ROW()&lt;=421,"NA",
ROW()&lt;=781,"LATAM",
ROW()&lt;=1021,"EMEA",
TRUE,"APAC"
)</f>
        <v>APAC</v>
      </c>
      <c r="C1177" t="str">
        <f t="shared" si="109"/>
        <v>Singapore</v>
      </c>
      <c r="D1177" t="s">
        <v>26</v>
      </c>
      <c r="E1177" t="s">
        <v>380</v>
      </c>
      <c r="F1177" t="s">
        <v>691</v>
      </c>
      <c r="G1177" t="s">
        <v>28</v>
      </c>
      <c r="H1177" s="2">
        <v>42100</v>
      </c>
      <c r="I1177" t="s">
        <v>29</v>
      </c>
      <c r="J1177" t="s">
        <v>30</v>
      </c>
      <c r="K1177" t="str">
        <f t="shared" ca="1" si="112"/>
        <v>OK</v>
      </c>
      <c r="L1177" t="s">
        <v>692</v>
      </c>
      <c r="M1177">
        <v>5</v>
      </c>
      <c r="N1177" s="2">
        <v>46069</v>
      </c>
      <c r="O1177" s="2" t="s">
        <v>22</v>
      </c>
      <c r="P1177" s="4">
        <f t="shared" ca="1" si="110"/>
        <v>10</v>
      </c>
      <c r="Q1177" s="4" t="str">
        <f t="shared" ca="1" si="111"/>
        <v>6-10 Years</v>
      </c>
      <c r="R1177">
        <f t="shared" ca="1" si="113"/>
        <v>0</v>
      </c>
      <c r="S1177" t="s">
        <v>22</v>
      </c>
      <c r="T1177">
        <v>5</v>
      </c>
      <c r="U1177" t="s">
        <v>1394</v>
      </c>
      <c r="V1177" t="s">
        <v>1394</v>
      </c>
      <c r="W1177" t="s">
        <v>1394</v>
      </c>
      <c r="X1177" s="3">
        <v>5</v>
      </c>
      <c r="Y1177" t="s">
        <v>1395</v>
      </c>
      <c r="Z1177">
        <v>39825</v>
      </c>
      <c r="AA1177">
        <v>0.1</v>
      </c>
      <c r="AB1177">
        <v>43807.5</v>
      </c>
    </row>
    <row r="1178" spans="1:28" x14ac:dyDescent="0.35">
      <c r="A1178" t="str">
        <f t="shared" si="108"/>
        <v>EMP1177</v>
      </c>
      <c r="B1178" t="str" cm="1">
        <f t="array" ref="B1178">_xlfn.IFS(
ROW()&lt;=421,"NA",
ROW()&lt;=781,"LATAM",
ROW()&lt;=1021,"EMEA",
TRUE,"APAC"
)</f>
        <v>APAC</v>
      </c>
      <c r="C1178" t="str">
        <f t="shared" si="109"/>
        <v>Singapore</v>
      </c>
      <c r="D1178" t="s">
        <v>32</v>
      </c>
      <c r="E1178" t="s">
        <v>145</v>
      </c>
      <c r="F1178" t="s">
        <v>283</v>
      </c>
      <c r="G1178" t="s">
        <v>28</v>
      </c>
      <c r="H1178" s="2">
        <v>42085</v>
      </c>
      <c r="I1178" t="s">
        <v>29</v>
      </c>
      <c r="J1178" t="s">
        <v>33</v>
      </c>
      <c r="K1178" t="str">
        <f t="shared" ca="1" si="112"/>
        <v>OK</v>
      </c>
      <c r="L1178" t="s">
        <v>322</v>
      </c>
      <c r="M1178">
        <v>4</v>
      </c>
      <c r="N1178" s="2">
        <v>45989</v>
      </c>
      <c r="O1178" s="2" t="s">
        <v>22</v>
      </c>
      <c r="P1178" s="4">
        <f t="shared" ca="1" si="110"/>
        <v>10</v>
      </c>
      <c r="Q1178" s="4" t="str">
        <f t="shared" ca="1" si="111"/>
        <v>6-10 Years</v>
      </c>
      <c r="R1178">
        <f t="shared" ca="1" si="113"/>
        <v>0</v>
      </c>
      <c r="S1178" t="s">
        <v>22</v>
      </c>
      <c r="T1178">
        <v>4</v>
      </c>
      <c r="U1178" t="s">
        <v>1394</v>
      </c>
      <c r="V1178" t="s">
        <v>1394</v>
      </c>
      <c r="W1178" t="s">
        <v>1394</v>
      </c>
      <c r="X1178" s="3">
        <v>4</v>
      </c>
      <c r="Y1178" t="s">
        <v>1395</v>
      </c>
      <c r="Z1178">
        <v>60749</v>
      </c>
      <c r="AA1178">
        <v>0.15</v>
      </c>
      <c r="AB1178">
        <v>69861.349999999991</v>
      </c>
    </row>
    <row r="1179" spans="1:28" x14ac:dyDescent="0.35">
      <c r="A1179" t="str">
        <f t="shared" si="108"/>
        <v>EMP1178</v>
      </c>
      <c r="B1179" t="str" cm="1">
        <f t="array" ref="B1179">_xlfn.IFS(
ROW()&lt;=421,"NA",
ROW()&lt;=781,"LATAM",
ROW()&lt;=1021,"EMEA",
TRUE,"APAC"
)</f>
        <v>APAC</v>
      </c>
      <c r="C1179" t="str">
        <f t="shared" si="109"/>
        <v>Singapore</v>
      </c>
      <c r="D1179" t="s">
        <v>26</v>
      </c>
      <c r="E1179" t="s">
        <v>145</v>
      </c>
      <c r="F1179" t="s">
        <v>228</v>
      </c>
      <c r="G1179" t="s">
        <v>28</v>
      </c>
      <c r="H1179" s="2">
        <v>42083</v>
      </c>
      <c r="I1179" t="s">
        <v>57</v>
      </c>
      <c r="J1179" t="s">
        <v>30</v>
      </c>
      <c r="K1179" t="str">
        <f t="shared" ca="1" si="112"/>
        <v>OK</v>
      </c>
      <c r="L1179" t="s">
        <v>366</v>
      </c>
      <c r="M1179">
        <v>4</v>
      </c>
      <c r="N1179" s="2">
        <v>46040</v>
      </c>
      <c r="O1179" s="2">
        <v>43120</v>
      </c>
      <c r="P1179" s="4">
        <f t="shared" ca="1" si="110"/>
        <v>2</v>
      </c>
      <c r="Q1179" s="4" t="str">
        <f t="shared" ca="1" si="111"/>
        <v>0-2 Years</v>
      </c>
      <c r="R1179">
        <f t="shared" ca="1" si="113"/>
        <v>1</v>
      </c>
      <c r="S1179" t="s">
        <v>24</v>
      </c>
      <c r="T1179">
        <v>3</v>
      </c>
      <c r="U1179" t="s">
        <v>1394</v>
      </c>
      <c r="V1179" t="s">
        <v>1396</v>
      </c>
      <c r="W1179" t="s">
        <v>1394</v>
      </c>
      <c r="X1179" s="3">
        <v>4</v>
      </c>
      <c r="Y1179" t="s">
        <v>1395</v>
      </c>
      <c r="Z1179">
        <v>78778</v>
      </c>
      <c r="AA1179">
        <v>0.15</v>
      </c>
      <c r="AB1179">
        <v>90594.7</v>
      </c>
    </row>
    <row r="1180" spans="1:28" x14ac:dyDescent="0.35">
      <c r="A1180" t="str">
        <f t="shared" si="108"/>
        <v>EMP1179</v>
      </c>
      <c r="B1180" t="str" cm="1">
        <f t="array" ref="B1180">_xlfn.IFS(
ROW()&lt;=421,"NA",
ROW()&lt;=781,"LATAM",
ROW()&lt;=1021,"EMEA",
TRUE,"APAC"
)</f>
        <v>APAC</v>
      </c>
      <c r="C1180" t="str">
        <f t="shared" si="109"/>
        <v>Singapore</v>
      </c>
      <c r="D1180" t="s">
        <v>35</v>
      </c>
      <c r="E1180" t="s">
        <v>380</v>
      </c>
      <c r="F1180" t="s">
        <v>397</v>
      </c>
      <c r="G1180" t="s">
        <v>28</v>
      </c>
      <c r="H1180" s="2">
        <v>42080</v>
      </c>
      <c r="I1180" t="s">
        <v>29</v>
      </c>
      <c r="J1180" t="s">
        <v>36</v>
      </c>
      <c r="K1180" t="str">
        <f t="shared" ca="1" si="112"/>
        <v>OK</v>
      </c>
      <c r="L1180" t="s">
        <v>668</v>
      </c>
      <c r="M1180">
        <v>5</v>
      </c>
      <c r="N1180" s="2">
        <v>46015</v>
      </c>
      <c r="O1180" s="2" t="s">
        <v>22</v>
      </c>
      <c r="P1180" s="4">
        <f t="shared" ca="1" si="110"/>
        <v>10</v>
      </c>
      <c r="Q1180" s="4" t="str">
        <f t="shared" ca="1" si="111"/>
        <v>6-10 Years</v>
      </c>
      <c r="R1180">
        <f t="shared" ca="1" si="113"/>
        <v>0</v>
      </c>
      <c r="S1180" t="s">
        <v>22</v>
      </c>
      <c r="T1180">
        <v>3</v>
      </c>
      <c r="U1180" t="s">
        <v>1394</v>
      </c>
      <c r="V1180" t="s">
        <v>1394</v>
      </c>
      <c r="W1180" t="s">
        <v>1394</v>
      </c>
      <c r="X1180" s="3">
        <v>4</v>
      </c>
      <c r="Y1180" t="s">
        <v>1395</v>
      </c>
      <c r="Z1180">
        <v>26444</v>
      </c>
      <c r="AA1180">
        <v>0.1</v>
      </c>
      <c r="AB1180">
        <v>29088.400000000001</v>
      </c>
    </row>
    <row r="1181" spans="1:28" x14ac:dyDescent="0.35">
      <c r="A1181" t="str">
        <f t="shared" si="108"/>
        <v>EMP1180</v>
      </c>
      <c r="B1181" t="str" cm="1">
        <f t="array" ref="B1181">_xlfn.IFS(
ROW()&lt;=421,"NA",
ROW()&lt;=781,"LATAM",
ROW()&lt;=1021,"EMEA",
TRUE,"APAC"
)</f>
        <v>APAC</v>
      </c>
      <c r="C1181" t="str">
        <f t="shared" si="109"/>
        <v>Singapore</v>
      </c>
      <c r="D1181" t="s">
        <v>41</v>
      </c>
      <c r="E1181" t="s">
        <v>380</v>
      </c>
      <c r="F1181" t="s">
        <v>385</v>
      </c>
      <c r="G1181" t="s">
        <v>28</v>
      </c>
      <c r="H1181" s="2">
        <v>42078</v>
      </c>
      <c r="I1181" t="s">
        <v>29</v>
      </c>
      <c r="J1181" t="s">
        <v>42</v>
      </c>
      <c r="K1181" t="str">
        <f t="shared" ca="1" si="112"/>
        <v>OK</v>
      </c>
      <c r="L1181" t="s">
        <v>386</v>
      </c>
      <c r="M1181">
        <v>5</v>
      </c>
      <c r="N1181" s="2">
        <v>46069</v>
      </c>
      <c r="O1181" s="2" t="s">
        <v>22</v>
      </c>
      <c r="P1181" s="4">
        <f t="shared" ca="1" si="110"/>
        <v>10</v>
      </c>
      <c r="Q1181" s="4" t="str">
        <f t="shared" ca="1" si="111"/>
        <v>6-10 Years</v>
      </c>
      <c r="R1181">
        <f t="shared" ca="1" si="113"/>
        <v>0</v>
      </c>
      <c r="S1181" t="s">
        <v>22</v>
      </c>
      <c r="T1181">
        <v>3</v>
      </c>
      <c r="U1181" t="s">
        <v>1394</v>
      </c>
      <c r="V1181" t="s">
        <v>1394</v>
      </c>
      <c r="W1181" t="s">
        <v>1394</v>
      </c>
      <c r="X1181" s="3">
        <v>3</v>
      </c>
      <c r="Y1181" t="s">
        <v>1398</v>
      </c>
      <c r="Z1181">
        <v>40999</v>
      </c>
      <c r="AA1181">
        <v>0.1</v>
      </c>
      <c r="AB1181">
        <v>45098.9</v>
      </c>
    </row>
    <row r="1182" spans="1:28" x14ac:dyDescent="0.35">
      <c r="A1182" t="str">
        <f t="shared" si="108"/>
        <v>EMP1181</v>
      </c>
      <c r="B1182" t="str" cm="1">
        <f t="array" ref="B1182">_xlfn.IFS(
ROW()&lt;=421,"NA",
ROW()&lt;=781,"LATAM",
ROW()&lt;=1021,"EMEA",
TRUE,"APAC"
)</f>
        <v>APAC</v>
      </c>
      <c r="C1182" t="str">
        <f t="shared" si="109"/>
        <v>Singapore</v>
      </c>
      <c r="D1182" t="s">
        <v>38</v>
      </c>
      <c r="E1182" t="s">
        <v>380</v>
      </c>
      <c r="F1182" t="s">
        <v>1106</v>
      </c>
      <c r="G1182" t="s">
        <v>53</v>
      </c>
      <c r="H1182" s="2">
        <v>42073</v>
      </c>
      <c r="I1182" t="s">
        <v>29</v>
      </c>
      <c r="J1182" t="s">
        <v>39</v>
      </c>
      <c r="K1182" t="str">
        <f t="shared" ca="1" si="112"/>
        <v>OK</v>
      </c>
      <c r="L1182" t="s">
        <v>755</v>
      </c>
      <c r="M1182">
        <v>5</v>
      </c>
      <c r="N1182" s="2">
        <v>46066</v>
      </c>
      <c r="O1182" s="2" t="s">
        <v>22</v>
      </c>
      <c r="P1182" s="4">
        <f t="shared" ca="1" si="110"/>
        <v>10</v>
      </c>
      <c r="Q1182" s="4" t="str">
        <f t="shared" ca="1" si="111"/>
        <v>6-10 Years</v>
      </c>
      <c r="R1182">
        <f t="shared" ca="1" si="113"/>
        <v>0</v>
      </c>
      <c r="S1182" t="s">
        <v>22</v>
      </c>
      <c r="T1182">
        <v>4</v>
      </c>
      <c r="U1182" t="s">
        <v>1396</v>
      </c>
      <c r="V1182" t="s">
        <v>1396</v>
      </c>
      <c r="W1182" t="s">
        <v>1396</v>
      </c>
      <c r="X1182" s="3">
        <v>3</v>
      </c>
      <c r="Y1182" t="s">
        <v>1398</v>
      </c>
      <c r="Z1182">
        <v>27170</v>
      </c>
      <c r="AA1182">
        <v>0.1</v>
      </c>
      <c r="AB1182">
        <v>29887.000000000004</v>
      </c>
    </row>
    <row r="1183" spans="1:28" x14ac:dyDescent="0.35">
      <c r="A1183" t="str">
        <f t="shared" si="108"/>
        <v>EMP1182</v>
      </c>
      <c r="B1183" t="str" cm="1">
        <f t="array" ref="B1183">_xlfn.IFS(
ROW()&lt;=421,"NA",
ROW()&lt;=781,"LATAM",
ROW()&lt;=1021,"EMEA",
TRUE,"APAC"
)</f>
        <v>APAC</v>
      </c>
      <c r="C1183" t="str">
        <f t="shared" si="109"/>
        <v>Singapore</v>
      </c>
      <c r="D1183" t="s">
        <v>26</v>
      </c>
      <c r="E1183" t="s">
        <v>380</v>
      </c>
      <c r="F1183" t="s">
        <v>631</v>
      </c>
      <c r="G1183" t="s">
        <v>28</v>
      </c>
      <c r="H1183" s="2">
        <v>42072</v>
      </c>
      <c r="I1183" t="s">
        <v>57</v>
      </c>
      <c r="J1183" t="s">
        <v>30</v>
      </c>
      <c r="K1183" t="str">
        <f t="shared" ca="1" si="112"/>
        <v>OK</v>
      </c>
      <c r="L1183" t="s">
        <v>979</v>
      </c>
      <c r="M1183">
        <v>5</v>
      </c>
      <c r="N1183" s="2">
        <v>46067</v>
      </c>
      <c r="O1183" s="2">
        <v>44322</v>
      </c>
      <c r="P1183" s="4">
        <f t="shared" ca="1" si="110"/>
        <v>6</v>
      </c>
      <c r="Q1183" s="4" t="str">
        <f t="shared" ca="1" si="111"/>
        <v>6-10 Years</v>
      </c>
      <c r="R1183">
        <f t="shared" ca="1" si="113"/>
        <v>0</v>
      </c>
      <c r="S1183" t="s">
        <v>24</v>
      </c>
      <c r="T1183">
        <v>3</v>
      </c>
      <c r="U1183" t="s">
        <v>1394</v>
      </c>
      <c r="V1183" t="s">
        <v>1394</v>
      </c>
      <c r="W1183" t="s">
        <v>1394</v>
      </c>
      <c r="X1183" s="3">
        <v>4</v>
      </c>
      <c r="Y1183" t="s">
        <v>1395</v>
      </c>
      <c r="Z1183">
        <v>42575</v>
      </c>
      <c r="AA1183">
        <v>0.1</v>
      </c>
      <c r="AB1183">
        <v>46832.500000000007</v>
      </c>
    </row>
    <row r="1184" spans="1:28" x14ac:dyDescent="0.35">
      <c r="A1184" t="str">
        <f t="shared" si="108"/>
        <v>EMP1183</v>
      </c>
      <c r="B1184" t="str" cm="1">
        <f t="array" ref="B1184">_xlfn.IFS(
ROW()&lt;=421,"NA",
ROW()&lt;=781,"LATAM",
ROW()&lt;=1021,"EMEA",
TRUE,"APAC"
)</f>
        <v>APAC</v>
      </c>
      <c r="C1184" t="str">
        <f t="shared" si="109"/>
        <v>Singapore</v>
      </c>
      <c r="D1184" t="s">
        <v>44</v>
      </c>
      <c r="E1184" t="s">
        <v>145</v>
      </c>
      <c r="F1184" t="s">
        <v>324</v>
      </c>
      <c r="G1184" t="s">
        <v>28</v>
      </c>
      <c r="H1184" s="2">
        <v>42068</v>
      </c>
      <c r="I1184" t="s">
        <v>29</v>
      </c>
      <c r="J1184" t="s">
        <v>47</v>
      </c>
      <c r="K1184" t="str">
        <f t="shared" ca="1" si="112"/>
        <v>OK</v>
      </c>
      <c r="L1184" t="s">
        <v>327</v>
      </c>
      <c r="M1184">
        <v>4</v>
      </c>
      <c r="N1184" s="2">
        <v>46007</v>
      </c>
      <c r="O1184" s="2" t="s">
        <v>22</v>
      </c>
      <c r="P1184" s="4">
        <f t="shared" ca="1" si="110"/>
        <v>10</v>
      </c>
      <c r="Q1184" s="4" t="str">
        <f t="shared" ca="1" si="111"/>
        <v>6-10 Years</v>
      </c>
      <c r="R1184">
        <f t="shared" ca="1" si="113"/>
        <v>0</v>
      </c>
      <c r="S1184" t="s">
        <v>22</v>
      </c>
      <c r="T1184">
        <v>3</v>
      </c>
      <c r="U1184" t="s">
        <v>1394</v>
      </c>
      <c r="V1184" t="s">
        <v>1394</v>
      </c>
      <c r="W1184" t="s">
        <v>1394</v>
      </c>
      <c r="X1184" s="3">
        <v>5</v>
      </c>
      <c r="Y1184" t="s">
        <v>1395</v>
      </c>
      <c r="Z1184">
        <v>77754</v>
      </c>
      <c r="AA1184">
        <v>0.15</v>
      </c>
      <c r="AB1184">
        <v>89417.099999999991</v>
      </c>
    </row>
    <row r="1185" spans="1:28" x14ac:dyDescent="0.35">
      <c r="A1185" t="str">
        <f t="shared" si="108"/>
        <v>EMP1184</v>
      </c>
      <c r="B1185" t="str" cm="1">
        <f t="array" ref="B1185">_xlfn.IFS(
ROW()&lt;=421,"NA",
ROW()&lt;=781,"LATAM",
ROW()&lt;=1021,"EMEA",
TRUE,"APAC"
)</f>
        <v>APAC</v>
      </c>
      <c r="C1185" t="str">
        <f t="shared" si="109"/>
        <v>Singapore</v>
      </c>
      <c r="D1185" t="s">
        <v>26</v>
      </c>
      <c r="E1185" t="s">
        <v>380</v>
      </c>
      <c r="F1185" t="s">
        <v>625</v>
      </c>
      <c r="G1185" t="s">
        <v>28</v>
      </c>
      <c r="H1185" s="2">
        <v>42068</v>
      </c>
      <c r="I1185" t="s">
        <v>29</v>
      </c>
      <c r="J1185" t="s">
        <v>30</v>
      </c>
      <c r="K1185" t="str">
        <f t="shared" ca="1" si="112"/>
        <v>OK</v>
      </c>
      <c r="L1185" t="s">
        <v>626</v>
      </c>
      <c r="M1185">
        <v>5</v>
      </c>
      <c r="N1185" s="2">
        <v>46028</v>
      </c>
      <c r="O1185" s="2" t="s">
        <v>22</v>
      </c>
      <c r="P1185" s="4">
        <f t="shared" ca="1" si="110"/>
        <v>10</v>
      </c>
      <c r="Q1185" s="4" t="str">
        <f t="shared" ca="1" si="111"/>
        <v>6-10 Years</v>
      </c>
      <c r="R1185">
        <f t="shared" ca="1" si="113"/>
        <v>0</v>
      </c>
      <c r="S1185" t="s">
        <v>22</v>
      </c>
      <c r="T1185">
        <v>3</v>
      </c>
      <c r="U1185" t="s">
        <v>1394</v>
      </c>
      <c r="V1185" t="s">
        <v>1394</v>
      </c>
      <c r="W1185" t="s">
        <v>1394</v>
      </c>
      <c r="X1185" s="3">
        <v>1</v>
      </c>
      <c r="Y1185" t="s">
        <v>1397</v>
      </c>
      <c r="Z1185">
        <v>44419</v>
      </c>
      <c r="AA1185">
        <v>0.1</v>
      </c>
      <c r="AB1185">
        <v>48860.9</v>
      </c>
    </row>
    <row r="1186" spans="1:28" x14ac:dyDescent="0.35">
      <c r="A1186" t="str">
        <f t="shared" si="108"/>
        <v>EMP1185</v>
      </c>
      <c r="B1186" t="str" cm="1">
        <f t="array" ref="B1186">_xlfn.IFS(
ROW()&lt;=421,"NA",
ROW()&lt;=781,"LATAM",
ROW()&lt;=1021,"EMEA",
TRUE,"APAC"
)</f>
        <v>APAC</v>
      </c>
      <c r="C1186" t="str">
        <f t="shared" si="109"/>
        <v>Singapore</v>
      </c>
      <c r="D1186" t="s">
        <v>41</v>
      </c>
      <c r="E1186" t="s">
        <v>69</v>
      </c>
      <c r="F1186" t="s">
        <v>74</v>
      </c>
      <c r="G1186" t="s">
        <v>28</v>
      </c>
      <c r="H1186" s="2">
        <v>42067</v>
      </c>
      <c r="I1186" t="s">
        <v>29</v>
      </c>
      <c r="J1186" t="s">
        <v>42</v>
      </c>
      <c r="K1186" t="str">
        <f t="shared" ca="1" si="112"/>
        <v>OK</v>
      </c>
      <c r="L1186" t="s">
        <v>75</v>
      </c>
      <c r="M1186">
        <v>3</v>
      </c>
      <c r="N1186" s="2">
        <v>45996</v>
      </c>
      <c r="O1186" s="2" t="s">
        <v>22</v>
      </c>
      <c r="P1186" s="4">
        <f t="shared" ca="1" si="110"/>
        <v>10</v>
      </c>
      <c r="Q1186" s="4" t="str">
        <f t="shared" ca="1" si="111"/>
        <v>6-10 Years</v>
      </c>
      <c r="R1186">
        <f t="shared" ca="1" si="113"/>
        <v>0</v>
      </c>
      <c r="S1186" t="s">
        <v>22</v>
      </c>
      <c r="T1186">
        <v>3</v>
      </c>
      <c r="U1186" t="s">
        <v>1394</v>
      </c>
      <c r="V1186" t="s">
        <v>1394</v>
      </c>
      <c r="W1186" t="s">
        <v>1394</v>
      </c>
      <c r="X1186" s="3">
        <v>5</v>
      </c>
      <c r="Y1186" t="s">
        <v>1395</v>
      </c>
      <c r="Z1186">
        <v>119370</v>
      </c>
      <c r="AA1186">
        <v>0.2</v>
      </c>
      <c r="AB1186">
        <v>143244</v>
      </c>
    </row>
    <row r="1187" spans="1:28" x14ac:dyDescent="0.35">
      <c r="A1187" t="str">
        <f t="shared" si="108"/>
        <v>EMP1186</v>
      </c>
      <c r="B1187" t="str" cm="1">
        <f t="array" ref="B1187">_xlfn.IFS(
ROW()&lt;=421,"NA",
ROW()&lt;=781,"LATAM",
ROW()&lt;=1021,"EMEA",
TRUE,"APAC"
)</f>
        <v>APAC</v>
      </c>
      <c r="C1187" t="str">
        <f t="shared" si="109"/>
        <v>Singapore</v>
      </c>
      <c r="D1187" t="s">
        <v>41</v>
      </c>
      <c r="E1187" t="s">
        <v>380</v>
      </c>
      <c r="F1187" t="s">
        <v>452</v>
      </c>
      <c r="G1187" t="s">
        <v>28</v>
      </c>
      <c r="H1187" s="2">
        <v>42066</v>
      </c>
      <c r="I1187" t="s">
        <v>29</v>
      </c>
      <c r="J1187" t="s">
        <v>42</v>
      </c>
      <c r="K1187" t="str">
        <f t="shared" ca="1" si="112"/>
        <v>OK</v>
      </c>
      <c r="L1187" t="s">
        <v>453</v>
      </c>
      <c r="M1187">
        <v>5</v>
      </c>
      <c r="N1187" s="2">
        <v>46016</v>
      </c>
      <c r="O1187" s="2" t="s">
        <v>22</v>
      </c>
      <c r="P1187" s="4">
        <f t="shared" ca="1" si="110"/>
        <v>10</v>
      </c>
      <c r="Q1187" s="4" t="str">
        <f t="shared" ca="1" si="111"/>
        <v>6-10 Years</v>
      </c>
      <c r="R1187">
        <f t="shared" ca="1" si="113"/>
        <v>0</v>
      </c>
      <c r="S1187" t="s">
        <v>22</v>
      </c>
      <c r="T1187">
        <v>3</v>
      </c>
      <c r="U1187" t="s">
        <v>1394</v>
      </c>
      <c r="V1187" t="s">
        <v>1394</v>
      </c>
      <c r="W1187" t="s">
        <v>1394</v>
      </c>
      <c r="X1187" s="3">
        <v>4</v>
      </c>
      <c r="Y1187" t="s">
        <v>1395</v>
      </c>
      <c r="Z1187">
        <v>43169</v>
      </c>
      <c r="AA1187">
        <v>0.1</v>
      </c>
      <c r="AB1187">
        <v>47485.9</v>
      </c>
    </row>
    <row r="1188" spans="1:28" x14ac:dyDescent="0.35">
      <c r="A1188" t="str">
        <f t="shared" si="108"/>
        <v>EMP1187</v>
      </c>
      <c r="B1188" t="str" cm="1">
        <f t="array" ref="B1188">_xlfn.IFS(
ROW()&lt;=421,"NA",
ROW()&lt;=781,"LATAM",
ROW()&lt;=1021,"EMEA",
TRUE,"APAC"
)</f>
        <v>APAC</v>
      </c>
      <c r="C1188" t="str">
        <f t="shared" si="109"/>
        <v>Singapore</v>
      </c>
      <c r="D1188" t="s">
        <v>32</v>
      </c>
      <c r="E1188" t="s">
        <v>380</v>
      </c>
      <c r="F1188" t="s">
        <v>444</v>
      </c>
      <c r="G1188" t="s">
        <v>28</v>
      </c>
      <c r="H1188" s="2">
        <v>42064</v>
      </c>
      <c r="I1188" t="s">
        <v>29</v>
      </c>
      <c r="J1188" t="s">
        <v>33</v>
      </c>
      <c r="K1188" t="str">
        <f t="shared" ca="1" si="112"/>
        <v>OK</v>
      </c>
      <c r="L1188" t="s">
        <v>1053</v>
      </c>
      <c r="M1188">
        <v>5</v>
      </c>
      <c r="N1188" s="2">
        <v>46011</v>
      </c>
      <c r="O1188" s="2" t="s">
        <v>22</v>
      </c>
      <c r="P1188" s="4">
        <f t="shared" ca="1" si="110"/>
        <v>11</v>
      </c>
      <c r="Q1188" s="4" t="str">
        <f t="shared" ca="1" si="111"/>
        <v>10+ Years</v>
      </c>
      <c r="R1188">
        <f t="shared" ca="1" si="113"/>
        <v>0</v>
      </c>
      <c r="S1188" t="s">
        <v>22</v>
      </c>
      <c r="T1188">
        <v>4</v>
      </c>
      <c r="U1188" t="s">
        <v>1394</v>
      </c>
      <c r="V1188" t="s">
        <v>1394</v>
      </c>
      <c r="W1188" t="s">
        <v>1394</v>
      </c>
      <c r="X1188" s="3">
        <v>4</v>
      </c>
      <c r="Y1188" t="s">
        <v>1395</v>
      </c>
      <c r="Z1188">
        <v>33644</v>
      </c>
      <c r="AA1188">
        <v>0.1</v>
      </c>
      <c r="AB1188">
        <v>37008.400000000001</v>
      </c>
    </row>
    <row r="1189" spans="1:28" x14ac:dyDescent="0.35">
      <c r="A1189" t="str">
        <f t="shared" si="108"/>
        <v>EMP1188</v>
      </c>
      <c r="B1189" t="str" cm="1">
        <f t="array" ref="B1189">_xlfn.IFS(
ROW()&lt;=421,"NA",
ROW()&lt;=781,"LATAM",
ROW()&lt;=1021,"EMEA",
TRUE,"APAC"
)</f>
        <v>APAC</v>
      </c>
      <c r="C1189" t="str">
        <f t="shared" si="109"/>
        <v>Singapore</v>
      </c>
      <c r="D1189" t="s">
        <v>44</v>
      </c>
      <c r="E1189" t="s">
        <v>380</v>
      </c>
      <c r="F1189" t="s">
        <v>584</v>
      </c>
      <c r="G1189" t="s">
        <v>28</v>
      </c>
      <c r="H1189" s="2">
        <v>42063</v>
      </c>
      <c r="I1189" t="s">
        <v>29</v>
      </c>
      <c r="J1189" t="s">
        <v>47</v>
      </c>
      <c r="K1189" t="str">
        <f t="shared" ca="1" si="112"/>
        <v>OK</v>
      </c>
      <c r="L1189" t="s">
        <v>1046</v>
      </c>
      <c r="M1189">
        <v>5</v>
      </c>
      <c r="N1189" s="2">
        <v>45989</v>
      </c>
      <c r="O1189" s="2" t="s">
        <v>22</v>
      </c>
      <c r="P1189" s="4">
        <f t="shared" ca="1" si="110"/>
        <v>11</v>
      </c>
      <c r="Q1189" s="4" t="str">
        <f t="shared" ca="1" si="111"/>
        <v>10+ Years</v>
      </c>
      <c r="R1189">
        <f t="shared" ca="1" si="113"/>
        <v>0</v>
      </c>
      <c r="S1189" t="s">
        <v>22</v>
      </c>
      <c r="T1189">
        <v>4</v>
      </c>
      <c r="U1189" t="s">
        <v>1394</v>
      </c>
      <c r="V1189" t="s">
        <v>1394</v>
      </c>
      <c r="W1189" t="s">
        <v>1394</v>
      </c>
      <c r="X1189" s="3">
        <v>1</v>
      </c>
      <c r="Y1189" t="s">
        <v>1397</v>
      </c>
      <c r="Z1189">
        <v>20809</v>
      </c>
      <c r="AA1189">
        <v>0.1</v>
      </c>
      <c r="AB1189">
        <v>22889.9</v>
      </c>
    </row>
    <row r="1190" spans="1:28" x14ac:dyDescent="0.35">
      <c r="A1190" t="str">
        <f t="shared" si="108"/>
        <v>EMP1189</v>
      </c>
      <c r="B1190" t="str" cm="1">
        <f t="array" ref="B1190">_xlfn.IFS(
ROW()&lt;=421,"NA",
ROW()&lt;=781,"LATAM",
ROW()&lt;=1021,"EMEA",
TRUE,"APAC"
)</f>
        <v>APAC</v>
      </c>
      <c r="C1190" t="str">
        <f t="shared" si="109"/>
        <v>Singapore</v>
      </c>
      <c r="D1190" t="s">
        <v>32</v>
      </c>
      <c r="E1190" t="s">
        <v>145</v>
      </c>
      <c r="F1190" t="s">
        <v>156</v>
      </c>
      <c r="G1190" t="s">
        <v>28</v>
      </c>
      <c r="H1190" s="2">
        <v>42061</v>
      </c>
      <c r="I1190" t="s">
        <v>29</v>
      </c>
      <c r="J1190" t="s">
        <v>33</v>
      </c>
      <c r="K1190" t="str">
        <f t="shared" ca="1" si="112"/>
        <v>OK</v>
      </c>
      <c r="L1190" t="s">
        <v>379</v>
      </c>
      <c r="M1190">
        <v>4</v>
      </c>
      <c r="N1190" s="2">
        <v>45996</v>
      </c>
      <c r="O1190" s="2" t="s">
        <v>22</v>
      </c>
      <c r="P1190" s="4">
        <f t="shared" ca="1" si="110"/>
        <v>11</v>
      </c>
      <c r="Q1190" s="4" t="str">
        <f t="shared" ca="1" si="111"/>
        <v>10+ Years</v>
      </c>
      <c r="R1190">
        <f t="shared" ca="1" si="113"/>
        <v>0</v>
      </c>
      <c r="S1190" t="s">
        <v>22</v>
      </c>
      <c r="T1190">
        <v>2</v>
      </c>
      <c r="U1190" t="s">
        <v>1394</v>
      </c>
      <c r="V1190" t="s">
        <v>1394</v>
      </c>
      <c r="W1190" t="s">
        <v>1394</v>
      </c>
      <c r="X1190" s="3">
        <v>4</v>
      </c>
      <c r="Y1190" t="s">
        <v>1395</v>
      </c>
      <c r="Z1190">
        <v>71211</v>
      </c>
      <c r="AA1190">
        <v>0.15</v>
      </c>
      <c r="AB1190">
        <v>81892.649999999994</v>
      </c>
    </row>
    <row r="1191" spans="1:28" x14ac:dyDescent="0.35">
      <c r="A1191" t="str">
        <f t="shared" si="108"/>
        <v>EMP1190</v>
      </c>
      <c r="B1191" t="str" cm="1">
        <f t="array" ref="B1191">_xlfn.IFS(
ROW()&lt;=421,"NA",
ROW()&lt;=781,"LATAM",
ROW()&lt;=1021,"EMEA",
TRUE,"APAC"
)</f>
        <v>APAC</v>
      </c>
      <c r="C1191" t="str">
        <f t="shared" si="109"/>
        <v>Singapore</v>
      </c>
      <c r="D1191" t="s">
        <v>44</v>
      </c>
      <c r="E1191" t="s">
        <v>380</v>
      </c>
      <c r="F1191" t="s">
        <v>968</v>
      </c>
      <c r="G1191" t="s">
        <v>28</v>
      </c>
      <c r="H1191" s="2">
        <v>42060</v>
      </c>
      <c r="I1191" t="s">
        <v>29</v>
      </c>
      <c r="J1191" t="s">
        <v>47</v>
      </c>
      <c r="K1191" t="str">
        <f t="shared" ca="1" si="112"/>
        <v>OK</v>
      </c>
      <c r="L1191" t="s">
        <v>969</v>
      </c>
      <c r="M1191">
        <v>5</v>
      </c>
      <c r="N1191" s="2">
        <v>45993</v>
      </c>
      <c r="O1191" s="2" t="s">
        <v>22</v>
      </c>
      <c r="P1191" s="4">
        <f t="shared" ca="1" si="110"/>
        <v>11</v>
      </c>
      <c r="Q1191" s="4" t="str">
        <f t="shared" ca="1" si="111"/>
        <v>10+ Years</v>
      </c>
      <c r="R1191">
        <f t="shared" ca="1" si="113"/>
        <v>0</v>
      </c>
      <c r="S1191" t="s">
        <v>22</v>
      </c>
      <c r="T1191">
        <v>4</v>
      </c>
      <c r="U1191" t="s">
        <v>1396</v>
      </c>
      <c r="V1191" t="s">
        <v>1394</v>
      </c>
      <c r="W1191" t="s">
        <v>1394</v>
      </c>
      <c r="X1191" s="3">
        <v>4</v>
      </c>
      <c r="Y1191" t="s">
        <v>1395</v>
      </c>
      <c r="Z1191">
        <v>49840</v>
      </c>
      <c r="AA1191">
        <v>0.1</v>
      </c>
      <c r="AB1191">
        <v>54824.000000000007</v>
      </c>
    </row>
    <row r="1192" spans="1:28" x14ac:dyDescent="0.35">
      <c r="A1192" t="str">
        <f t="shared" si="108"/>
        <v>EMP1191</v>
      </c>
      <c r="B1192" t="str" cm="1">
        <f t="array" ref="B1192">_xlfn.IFS(
ROW()&lt;=421,"NA",
ROW()&lt;=781,"LATAM",
ROW()&lt;=1021,"EMEA",
TRUE,"APAC"
)</f>
        <v>APAC</v>
      </c>
      <c r="C1192" t="str">
        <f t="shared" si="109"/>
        <v>Singapore</v>
      </c>
      <c r="D1192" t="s">
        <v>26</v>
      </c>
      <c r="E1192" t="s">
        <v>380</v>
      </c>
      <c r="F1192" t="s">
        <v>402</v>
      </c>
      <c r="G1192" t="s">
        <v>28</v>
      </c>
      <c r="H1192" s="2">
        <v>42057</v>
      </c>
      <c r="I1192" t="s">
        <v>29</v>
      </c>
      <c r="J1192" t="s">
        <v>30</v>
      </c>
      <c r="K1192" t="str">
        <f t="shared" ca="1" si="112"/>
        <v>⚠ Review</v>
      </c>
      <c r="L1192" t="s">
        <v>858</v>
      </c>
      <c r="M1192">
        <v>5</v>
      </c>
      <c r="N1192" s="2">
        <v>45991</v>
      </c>
      <c r="O1192" s="2" t="s">
        <v>22</v>
      </c>
      <c r="P1192" s="4">
        <f t="shared" ca="1" si="110"/>
        <v>11</v>
      </c>
      <c r="Q1192" s="4" t="str">
        <f t="shared" ca="1" si="111"/>
        <v>10+ Years</v>
      </c>
      <c r="R1192">
        <f t="shared" ca="1" si="113"/>
        <v>0</v>
      </c>
      <c r="S1192" t="s">
        <v>22</v>
      </c>
      <c r="T1192">
        <v>4</v>
      </c>
      <c r="U1192" t="s">
        <v>1396</v>
      </c>
      <c r="V1192" t="s">
        <v>1394</v>
      </c>
      <c r="W1192" t="s">
        <v>1394</v>
      </c>
      <c r="X1192" s="3">
        <v>0</v>
      </c>
      <c r="Y1192" t="s">
        <v>1398</v>
      </c>
      <c r="Z1192">
        <v>39932</v>
      </c>
      <c r="AA1192">
        <v>0.1</v>
      </c>
      <c r="AB1192">
        <v>43925.200000000004</v>
      </c>
    </row>
    <row r="1193" spans="1:28" x14ac:dyDescent="0.35">
      <c r="A1193" t="str">
        <f t="shared" si="108"/>
        <v>EMP1192</v>
      </c>
      <c r="B1193" t="str" cm="1">
        <f t="array" ref="B1193">_xlfn.IFS(
ROW()&lt;=421,"NA",
ROW()&lt;=781,"LATAM",
ROW()&lt;=1021,"EMEA",
TRUE,"APAC"
)</f>
        <v>APAC</v>
      </c>
      <c r="C1193" t="str">
        <f t="shared" si="109"/>
        <v>Singapore</v>
      </c>
      <c r="D1193" t="s">
        <v>41</v>
      </c>
      <c r="E1193" t="s">
        <v>380</v>
      </c>
      <c r="F1193" t="s">
        <v>971</v>
      </c>
      <c r="G1193" t="s">
        <v>28</v>
      </c>
      <c r="H1193" s="2">
        <v>42057</v>
      </c>
      <c r="I1193" t="s">
        <v>29</v>
      </c>
      <c r="J1193" t="s">
        <v>42</v>
      </c>
      <c r="K1193" t="str">
        <f t="shared" ca="1" si="112"/>
        <v>OK</v>
      </c>
      <c r="L1193" t="s">
        <v>1307</v>
      </c>
      <c r="M1193">
        <v>5</v>
      </c>
      <c r="N1193" s="2">
        <v>46063</v>
      </c>
      <c r="O1193" s="2" t="s">
        <v>22</v>
      </c>
      <c r="P1193" s="4">
        <f t="shared" ca="1" si="110"/>
        <v>11</v>
      </c>
      <c r="Q1193" s="4" t="str">
        <f t="shared" ca="1" si="111"/>
        <v>10+ Years</v>
      </c>
      <c r="R1193">
        <f t="shared" ca="1" si="113"/>
        <v>0</v>
      </c>
      <c r="S1193" t="s">
        <v>22</v>
      </c>
      <c r="T1193">
        <v>2</v>
      </c>
      <c r="U1193" t="s">
        <v>1394</v>
      </c>
      <c r="V1193" t="s">
        <v>1394</v>
      </c>
      <c r="W1193" t="s">
        <v>1394</v>
      </c>
      <c r="X1193" s="3">
        <v>4</v>
      </c>
      <c r="Y1193" t="s">
        <v>1395</v>
      </c>
      <c r="Z1193">
        <v>23764</v>
      </c>
      <c r="AA1193">
        <v>0.1</v>
      </c>
      <c r="AB1193">
        <v>26140.400000000001</v>
      </c>
    </row>
    <row r="1194" spans="1:28" x14ac:dyDescent="0.35">
      <c r="A1194" t="str">
        <f t="shared" si="108"/>
        <v>EMP1193</v>
      </c>
      <c r="B1194" t="str" cm="1">
        <f t="array" ref="B1194">_xlfn.IFS(
ROW()&lt;=421,"NA",
ROW()&lt;=781,"LATAM",
ROW()&lt;=1021,"EMEA",
TRUE,"APAC"
)</f>
        <v>APAC</v>
      </c>
      <c r="C1194" t="str">
        <f t="shared" si="109"/>
        <v>Singapore</v>
      </c>
      <c r="D1194" t="s">
        <v>44</v>
      </c>
      <c r="E1194" t="s">
        <v>380</v>
      </c>
      <c r="F1194" t="s">
        <v>570</v>
      </c>
      <c r="G1194" t="s">
        <v>28</v>
      </c>
      <c r="H1194" s="2">
        <v>42056</v>
      </c>
      <c r="I1194" t="s">
        <v>29</v>
      </c>
      <c r="J1194" t="s">
        <v>47</v>
      </c>
      <c r="K1194" t="str">
        <f t="shared" ca="1" si="112"/>
        <v>OK</v>
      </c>
      <c r="L1194" t="s">
        <v>571</v>
      </c>
      <c r="M1194">
        <v>5</v>
      </c>
      <c r="N1194" s="2">
        <v>46022</v>
      </c>
      <c r="O1194" s="2" t="s">
        <v>22</v>
      </c>
      <c r="P1194" s="4">
        <f t="shared" ca="1" si="110"/>
        <v>11</v>
      </c>
      <c r="Q1194" s="4" t="str">
        <f t="shared" ca="1" si="111"/>
        <v>10+ Years</v>
      </c>
      <c r="R1194">
        <f t="shared" ca="1" si="113"/>
        <v>0</v>
      </c>
      <c r="S1194" t="s">
        <v>22</v>
      </c>
      <c r="T1194">
        <v>2</v>
      </c>
      <c r="U1194" t="s">
        <v>1394</v>
      </c>
      <c r="V1194" t="s">
        <v>1394</v>
      </c>
      <c r="W1194" t="s">
        <v>1394</v>
      </c>
      <c r="X1194" s="3">
        <v>2</v>
      </c>
      <c r="Y1194" t="s">
        <v>1397</v>
      </c>
      <c r="Z1194">
        <v>24841</v>
      </c>
      <c r="AA1194">
        <v>0.1</v>
      </c>
      <c r="AB1194">
        <v>27325.100000000002</v>
      </c>
    </row>
    <row r="1195" spans="1:28" x14ac:dyDescent="0.35">
      <c r="A1195" t="str">
        <f t="shared" si="108"/>
        <v>EMP1194</v>
      </c>
      <c r="B1195" t="str" cm="1">
        <f t="array" ref="B1195">_xlfn.IFS(
ROW()&lt;=421,"NA",
ROW()&lt;=781,"LATAM",
ROW()&lt;=1021,"EMEA",
TRUE,"APAC"
)</f>
        <v>APAC</v>
      </c>
      <c r="C1195" t="str">
        <f t="shared" si="109"/>
        <v>Singapore</v>
      </c>
      <c r="D1195" t="s">
        <v>26</v>
      </c>
      <c r="E1195" t="s">
        <v>380</v>
      </c>
      <c r="F1195" t="s">
        <v>794</v>
      </c>
      <c r="G1195" t="s">
        <v>28</v>
      </c>
      <c r="H1195" s="2">
        <v>42052</v>
      </c>
      <c r="I1195" t="s">
        <v>57</v>
      </c>
      <c r="J1195" t="s">
        <v>30</v>
      </c>
      <c r="K1195" t="str">
        <f t="shared" ca="1" si="112"/>
        <v>OK</v>
      </c>
      <c r="L1195" t="s">
        <v>1235</v>
      </c>
      <c r="M1195">
        <v>5</v>
      </c>
      <c r="N1195" s="2">
        <v>46035</v>
      </c>
      <c r="O1195" s="2">
        <v>44187</v>
      </c>
      <c r="P1195" s="4">
        <f t="shared" ca="1" si="110"/>
        <v>5</v>
      </c>
      <c r="Q1195" s="4" t="str">
        <f t="shared" ca="1" si="111"/>
        <v>3-5 Years</v>
      </c>
      <c r="R1195">
        <f t="shared" ca="1" si="113"/>
        <v>0</v>
      </c>
      <c r="S1195" t="s">
        <v>23</v>
      </c>
      <c r="T1195">
        <v>5</v>
      </c>
      <c r="U1195" t="s">
        <v>1394</v>
      </c>
      <c r="V1195" t="s">
        <v>1394</v>
      </c>
      <c r="W1195" t="s">
        <v>1394</v>
      </c>
      <c r="X1195" s="3">
        <v>3</v>
      </c>
      <c r="Y1195" t="s">
        <v>1398</v>
      </c>
      <c r="Z1195">
        <v>32888</v>
      </c>
      <c r="AA1195">
        <v>0.1</v>
      </c>
      <c r="AB1195">
        <v>36176.800000000003</v>
      </c>
    </row>
    <row r="1196" spans="1:28" x14ac:dyDescent="0.35">
      <c r="A1196" t="str">
        <f t="shared" si="108"/>
        <v>EMP1195</v>
      </c>
      <c r="B1196" t="str" cm="1">
        <f t="array" ref="B1196">_xlfn.IFS(
ROW()&lt;=421,"NA",
ROW()&lt;=781,"LATAM",
ROW()&lt;=1021,"EMEA",
TRUE,"APAC"
)</f>
        <v>APAC</v>
      </c>
      <c r="C1196" t="str">
        <f t="shared" si="109"/>
        <v>Singapore</v>
      </c>
      <c r="D1196" t="s">
        <v>44</v>
      </c>
      <c r="E1196" t="s">
        <v>380</v>
      </c>
      <c r="F1196" t="s">
        <v>545</v>
      </c>
      <c r="G1196" t="s">
        <v>28</v>
      </c>
      <c r="H1196" s="2">
        <v>42051</v>
      </c>
      <c r="I1196" t="s">
        <v>29</v>
      </c>
      <c r="J1196" t="s">
        <v>47</v>
      </c>
      <c r="K1196" t="str">
        <f t="shared" ca="1" si="112"/>
        <v>⚠ Review</v>
      </c>
      <c r="L1196" t="s">
        <v>1197</v>
      </c>
      <c r="M1196">
        <v>5</v>
      </c>
      <c r="N1196" s="2">
        <v>46070</v>
      </c>
      <c r="O1196" s="2" t="s">
        <v>22</v>
      </c>
      <c r="P1196" s="4">
        <f t="shared" ca="1" si="110"/>
        <v>11</v>
      </c>
      <c r="Q1196" s="4" t="str">
        <f t="shared" ca="1" si="111"/>
        <v>10+ Years</v>
      </c>
      <c r="R1196">
        <f t="shared" ca="1" si="113"/>
        <v>0</v>
      </c>
      <c r="S1196" t="s">
        <v>22</v>
      </c>
      <c r="T1196">
        <v>4</v>
      </c>
      <c r="U1196" t="s">
        <v>1394</v>
      </c>
      <c r="V1196" t="s">
        <v>1394</v>
      </c>
      <c r="W1196" t="s">
        <v>1394</v>
      </c>
      <c r="X1196" s="3">
        <v>5</v>
      </c>
      <c r="Y1196" t="s">
        <v>1395</v>
      </c>
      <c r="AA1196">
        <v>0.1</v>
      </c>
      <c r="AB1196">
        <v>49865.200000000004</v>
      </c>
    </row>
    <row r="1197" spans="1:28" x14ac:dyDescent="0.35">
      <c r="A1197" t="str">
        <f t="shared" si="108"/>
        <v>EMP1196</v>
      </c>
      <c r="B1197" t="str" cm="1">
        <f t="array" ref="B1197">_xlfn.IFS(
ROW()&lt;=421,"NA",
ROW()&lt;=781,"LATAM",
ROW()&lt;=1021,"EMEA",
TRUE,"APAC"
)</f>
        <v>APAC</v>
      </c>
      <c r="C1197" t="str">
        <f t="shared" si="109"/>
        <v>Singapore</v>
      </c>
      <c r="D1197" t="s">
        <v>38</v>
      </c>
      <c r="E1197" t="s">
        <v>380</v>
      </c>
      <c r="F1197" t="s">
        <v>535</v>
      </c>
      <c r="G1197" t="s">
        <v>28</v>
      </c>
      <c r="H1197" s="2">
        <v>42050</v>
      </c>
      <c r="I1197" t="s">
        <v>29</v>
      </c>
      <c r="J1197" t="s">
        <v>39</v>
      </c>
      <c r="K1197" t="str">
        <f t="shared" ca="1" si="112"/>
        <v>OK</v>
      </c>
      <c r="L1197" t="s">
        <v>1257</v>
      </c>
      <c r="M1197">
        <v>5</v>
      </c>
      <c r="N1197" s="2">
        <v>46019</v>
      </c>
      <c r="O1197" s="2" t="s">
        <v>22</v>
      </c>
      <c r="P1197" s="4">
        <f t="shared" ca="1" si="110"/>
        <v>11</v>
      </c>
      <c r="Q1197" s="4" t="str">
        <f t="shared" ca="1" si="111"/>
        <v>10+ Years</v>
      </c>
      <c r="R1197">
        <f t="shared" ca="1" si="113"/>
        <v>0</v>
      </c>
      <c r="S1197" t="s">
        <v>22</v>
      </c>
      <c r="T1197">
        <v>3</v>
      </c>
      <c r="U1197" t="s">
        <v>1394</v>
      </c>
      <c r="V1197" t="s">
        <v>1394</v>
      </c>
      <c r="W1197" t="s">
        <v>1394</v>
      </c>
      <c r="X1197" s="3">
        <v>5</v>
      </c>
      <c r="Y1197" t="s">
        <v>1395</v>
      </c>
      <c r="Z1197">
        <v>47299</v>
      </c>
      <c r="AA1197">
        <v>0.1</v>
      </c>
      <c r="AB1197">
        <v>52028.9</v>
      </c>
    </row>
    <row r="1198" spans="1:28" x14ac:dyDescent="0.35">
      <c r="A1198" t="str">
        <f t="shared" si="108"/>
        <v>EMP1197</v>
      </c>
      <c r="B1198" t="str" cm="1">
        <f t="array" ref="B1198">_xlfn.IFS(
ROW()&lt;=421,"NA",
ROW()&lt;=781,"LATAM",
ROW()&lt;=1021,"EMEA",
TRUE,"APAC"
)</f>
        <v>APAC</v>
      </c>
      <c r="C1198" t="str">
        <f t="shared" si="109"/>
        <v>Singapore</v>
      </c>
      <c r="D1198" t="s">
        <v>38</v>
      </c>
      <c r="E1198" t="s">
        <v>380</v>
      </c>
      <c r="F1198" t="s">
        <v>706</v>
      </c>
      <c r="G1198" t="s">
        <v>28</v>
      </c>
      <c r="H1198" s="2">
        <v>42045</v>
      </c>
      <c r="I1198" t="s">
        <v>29</v>
      </c>
      <c r="J1198" t="s">
        <v>39</v>
      </c>
      <c r="K1198" t="str">
        <f t="shared" ca="1" si="112"/>
        <v>⚠ Review</v>
      </c>
      <c r="L1198" t="s">
        <v>763</v>
      </c>
      <c r="M1198">
        <v>5</v>
      </c>
      <c r="N1198" s="2">
        <v>46004</v>
      </c>
      <c r="O1198" s="2" t="s">
        <v>22</v>
      </c>
      <c r="P1198" s="4">
        <f t="shared" ca="1" si="110"/>
        <v>11</v>
      </c>
      <c r="Q1198" s="4" t="str">
        <f t="shared" ca="1" si="111"/>
        <v>10+ Years</v>
      </c>
      <c r="R1198">
        <f t="shared" ca="1" si="113"/>
        <v>0</v>
      </c>
      <c r="S1198" t="s">
        <v>22</v>
      </c>
      <c r="T1198">
        <v>4</v>
      </c>
      <c r="U1198" t="s">
        <v>1394</v>
      </c>
      <c r="V1198" t="s">
        <v>1394</v>
      </c>
      <c r="W1198" t="s">
        <v>1394</v>
      </c>
      <c r="X1198" s="3">
        <v>0</v>
      </c>
      <c r="Y1198" t="s">
        <v>1397</v>
      </c>
      <c r="Z1198">
        <v>43692</v>
      </c>
      <c r="AA1198">
        <v>0.1</v>
      </c>
      <c r="AB1198">
        <v>48061.200000000004</v>
      </c>
    </row>
    <row r="1199" spans="1:28" x14ac:dyDescent="0.35">
      <c r="A1199" t="str">
        <f t="shared" si="108"/>
        <v>EMP1198</v>
      </c>
      <c r="B1199" t="str" cm="1">
        <f t="array" ref="B1199">_xlfn.IFS(
ROW()&lt;=421,"NA",
ROW()&lt;=781,"LATAM",
ROW()&lt;=1021,"EMEA",
TRUE,"APAC"
)</f>
        <v>APAC</v>
      </c>
      <c r="C1199" t="str">
        <f t="shared" si="109"/>
        <v>Singapore</v>
      </c>
      <c r="D1199" t="s">
        <v>26</v>
      </c>
      <c r="E1199" t="s">
        <v>145</v>
      </c>
      <c r="F1199" t="s">
        <v>201</v>
      </c>
      <c r="G1199" t="s">
        <v>28</v>
      </c>
      <c r="H1199" s="2">
        <v>42043</v>
      </c>
      <c r="I1199" t="s">
        <v>29</v>
      </c>
      <c r="J1199" t="s">
        <v>30</v>
      </c>
      <c r="K1199" t="str">
        <f t="shared" ca="1" si="112"/>
        <v>OK</v>
      </c>
      <c r="L1199" t="s">
        <v>231</v>
      </c>
      <c r="M1199">
        <v>4</v>
      </c>
      <c r="N1199" s="2">
        <v>46033</v>
      </c>
      <c r="O1199" s="2" t="s">
        <v>22</v>
      </c>
      <c r="P1199" s="4">
        <f t="shared" ca="1" si="110"/>
        <v>11</v>
      </c>
      <c r="Q1199" s="4" t="str">
        <f t="shared" ca="1" si="111"/>
        <v>10+ Years</v>
      </c>
      <c r="R1199">
        <f t="shared" ca="1" si="113"/>
        <v>0</v>
      </c>
      <c r="S1199" t="s">
        <v>22</v>
      </c>
      <c r="T1199">
        <v>2</v>
      </c>
      <c r="U1199" t="s">
        <v>1394</v>
      </c>
      <c r="V1199" t="s">
        <v>1394</v>
      </c>
      <c r="W1199" t="s">
        <v>1394</v>
      </c>
      <c r="X1199" s="3">
        <v>4</v>
      </c>
      <c r="Y1199" t="s">
        <v>1395</v>
      </c>
      <c r="Z1199">
        <v>66825</v>
      </c>
      <c r="AA1199">
        <v>0.15</v>
      </c>
      <c r="AB1199">
        <v>76848.75</v>
      </c>
    </row>
    <row r="1200" spans="1:28" x14ac:dyDescent="0.35">
      <c r="A1200" t="str">
        <f t="shared" si="108"/>
        <v>EMP1199</v>
      </c>
      <c r="B1200" t="str" cm="1">
        <f t="array" ref="B1200">_xlfn.IFS(
ROW()&lt;=421,"NA",
ROW()&lt;=781,"LATAM",
ROW()&lt;=1021,"EMEA",
TRUE,"APAC"
)</f>
        <v>APAC</v>
      </c>
      <c r="C1200" t="str">
        <f t="shared" si="109"/>
        <v>Singapore</v>
      </c>
      <c r="D1200" t="s">
        <v>35</v>
      </c>
      <c r="E1200" t="s">
        <v>380</v>
      </c>
      <c r="F1200" t="s">
        <v>429</v>
      </c>
      <c r="G1200" t="s">
        <v>53</v>
      </c>
      <c r="H1200" s="2">
        <v>42015</v>
      </c>
      <c r="I1200" t="s">
        <v>57</v>
      </c>
      <c r="J1200" t="s">
        <v>36</v>
      </c>
      <c r="K1200" t="str">
        <f t="shared" ca="1" si="112"/>
        <v>OK</v>
      </c>
      <c r="L1200" t="s">
        <v>1266</v>
      </c>
      <c r="M1200">
        <v>5</v>
      </c>
      <c r="N1200" s="2">
        <v>45991</v>
      </c>
      <c r="O1200" s="2">
        <v>42662</v>
      </c>
      <c r="P1200" s="4">
        <f t="shared" ca="1" si="110"/>
        <v>1</v>
      </c>
      <c r="Q1200" s="4" t="str">
        <f t="shared" ca="1" si="111"/>
        <v>0-2 Years</v>
      </c>
      <c r="R1200">
        <f t="shared" ca="1" si="113"/>
        <v>1</v>
      </c>
      <c r="S1200" t="s">
        <v>23</v>
      </c>
      <c r="T1200">
        <v>4</v>
      </c>
      <c r="U1200" t="s">
        <v>1394</v>
      </c>
      <c r="V1200" t="s">
        <v>1394</v>
      </c>
      <c r="W1200" t="s">
        <v>1394</v>
      </c>
      <c r="X1200" s="3">
        <v>5</v>
      </c>
      <c r="Y1200" t="s">
        <v>1395</v>
      </c>
      <c r="Z1200">
        <v>20423</v>
      </c>
      <c r="AA1200">
        <v>0.1</v>
      </c>
      <c r="AB1200">
        <v>22465.300000000003</v>
      </c>
    </row>
    <row r="1201" spans="1:28" x14ac:dyDescent="0.35">
      <c r="A1201" t="str">
        <f t="shared" si="108"/>
        <v>EMP1200</v>
      </c>
      <c r="B1201" t="str" cm="1">
        <f t="array" ref="B1201">_xlfn.IFS(
ROW()&lt;=421,"NA",
ROW()&lt;=781,"LATAM",
ROW()&lt;=1021,"EMEA",
TRUE,"APAC"
)</f>
        <v>APAC</v>
      </c>
      <c r="C1201" t="str">
        <f t="shared" si="109"/>
        <v>Singapore</v>
      </c>
      <c r="D1201" t="s">
        <v>35</v>
      </c>
      <c r="E1201" t="s">
        <v>69</v>
      </c>
      <c r="F1201" t="s">
        <v>94</v>
      </c>
      <c r="G1201" t="s">
        <v>28</v>
      </c>
      <c r="H1201" s="2">
        <v>42007</v>
      </c>
      <c r="I1201" t="s">
        <v>29</v>
      </c>
      <c r="J1201" t="s">
        <v>36</v>
      </c>
      <c r="K1201" t="str">
        <f t="shared" ca="1" si="112"/>
        <v>OK</v>
      </c>
      <c r="L1201" t="s">
        <v>133</v>
      </c>
      <c r="M1201">
        <v>3</v>
      </c>
      <c r="N1201" s="2">
        <v>46001</v>
      </c>
      <c r="O1201" s="2" t="s">
        <v>22</v>
      </c>
      <c r="P1201" s="4">
        <f t="shared" ca="1" si="110"/>
        <v>11</v>
      </c>
      <c r="Q1201" s="4" t="str">
        <f t="shared" ca="1" si="111"/>
        <v>10+ Years</v>
      </c>
      <c r="R1201">
        <f t="shared" ca="1" si="113"/>
        <v>0</v>
      </c>
      <c r="S1201" t="s">
        <v>22</v>
      </c>
      <c r="T1201">
        <v>5</v>
      </c>
      <c r="U1201" t="s">
        <v>1394</v>
      </c>
      <c r="V1201" t="s">
        <v>1394</v>
      </c>
      <c r="W1201" t="s">
        <v>1394</v>
      </c>
      <c r="X1201" s="3">
        <v>1</v>
      </c>
      <c r="Y1201" t="s">
        <v>1397</v>
      </c>
      <c r="Z1201">
        <v>126166</v>
      </c>
      <c r="AA1201">
        <v>0.2</v>
      </c>
      <c r="AB1201">
        <v>151399.19999999998</v>
      </c>
    </row>
  </sheetData>
  <autoFilter ref="A1:AB1201" xr:uid="{C82F218C-51A2-44AC-B955-7CEEE260D6E8}"/>
  <dataValidations count="4">
    <dataValidation type="list" allowBlank="1" showInputMessage="1" showErrorMessage="1" sqref="B1:B1048576" xr:uid="{22905A99-4774-407C-9225-262540941A5C}">
      <formula1>"North America,Europe,Asia,LatAm"</formula1>
    </dataValidation>
    <dataValidation type="list" allowBlank="1" showInputMessage="1" showErrorMessage="1" sqref="I1:I1048576" xr:uid="{88777FAE-08BF-4BBD-8BA0-F822A9CA89F3}">
      <formula1>"Active,Inactive"</formula1>
    </dataValidation>
    <dataValidation type="list" allowBlank="1" showInputMessage="1" showErrorMessage="1" sqref="D1:D1048576" xr:uid="{6E9E0630-B36E-4892-B869-ADBDA45008EA}">
      <formula1>"Operations,Sales,IT,Finance,HR,Supply Chain"</formula1>
    </dataValidation>
    <dataValidation type="date" operator="lessThan" allowBlank="1" showInputMessage="1" showErrorMessage="1" sqref="H567:H1048576 H446:H456 H458 H460:H473 H476:H477 H479:H489 H491:H500 H502:H519 H521:H529 H531:H540 H542:H562 H564:H565 H204:H216 H192:H197 H199:H202 H43:H162 H218:H219 H222:H226 H229:H233 H235:H236 H180:H190 H169:H178 H167 H165 H1:H5 H7:H9 H11 H13:H18 H20:H31 H33:H38 H41 H238:H444" xr:uid="{0E2875C6-6357-4CA1-B990-899F13B6F31C}">
      <formula1>46076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5AFC-B8EF-47E9-B5F4-56508EDAC220}">
  <dimension ref="A1:E81"/>
  <sheetViews>
    <sheetView workbookViewId="0">
      <selection activeCell="C2" sqref="C2"/>
    </sheetView>
  </sheetViews>
  <sheetFormatPr defaultRowHeight="14.5" x14ac:dyDescent="0.35"/>
  <cols>
    <col min="1" max="1" width="12.6328125" customWidth="1"/>
    <col min="2" max="2" width="12.90625" customWidth="1"/>
    <col min="3" max="3" width="8" customWidth="1"/>
    <col min="4" max="4" width="15.26953125" customWidth="1"/>
    <col min="5" max="5" width="17" customWidth="1"/>
    <col min="6" max="6" width="12.453125" bestFit="1" customWidth="1"/>
  </cols>
  <sheetData>
    <row r="1" spans="1:5" x14ac:dyDescent="0.35">
      <c r="A1" t="s">
        <v>1414</v>
      </c>
      <c r="B1" t="s">
        <v>3</v>
      </c>
      <c r="C1" t="s">
        <v>1</v>
      </c>
      <c r="D1" t="s">
        <v>1415</v>
      </c>
      <c r="E1" t="s">
        <v>1416</v>
      </c>
    </row>
    <row r="2" spans="1:5" x14ac:dyDescent="0.35">
      <c r="A2" t="str">
        <f>"VAC"&amp;TEXT(ROW()-1,"000")</f>
        <v>VAC001</v>
      </c>
      <c r="B2" t="s">
        <v>44</v>
      </c>
      <c r="C2" t="str" cm="1">
        <f t="array" ref="C2">_xlfn.IFS(
ROW()&lt;=28,"NA",
ROW()&lt;=52,"LATAM",
ROW()&lt;=64,"EMEA",
TRUE,"APAC"
)</f>
        <v>NA</v>
      </c>
      <c r="D2">
        <v>99090</v>
      </c>
      <c r="E2" t="s">
        <v>1394</v>
      </c>
    </row>
    <row r="3" spans="1:5" x14ac:dyDescent="0.35">
      <c r="A3" t="str">
        <f t="shared" ref="A3:A66" si="0">"VAC"&amp;TEXT(ROW()-1,"000")</f>
        <v>VAC002</v>
      </c>
      <c r="B3" t="s">
        <v>38</v>
      </c>
      <c r="C3" t="str" cm="1">
        <f t="array" ref="C3">_xlfn.IFS(
ROW()&lt;=28,"NA",
ROW()&lt;=52,"LATAM",
ROW()&lt;=64,"EMEA",
TRUE,"APAC"
)</f>
        <v>NA</v>
      </c>
      <c r="D3">
        <v>91927</v>
      </c>
      <c r="E3" t="s">
        <v>1396</v>
      </c>
    </row>
    <row r="4" spans="1:5" x14ac:dyDescent="0.35">
      <c r="A4" t="str">
        <f t="shared" si="0"/>
        <v>VAC003</v>
      </c>
      <c r="B4" t="s">
        <v>32</v>
      </c>
      <c r="C4" t="str" cm="1">
        <f t="array" ref="C4">_xlfn.IFS(
ROW()&lt;=28,"NA",
ROW()&lt;=52,"LATAM",
ROW()&lt;=64,"EMEA",
TRUE,"APAC"
)</f>
        <v>NA</v>
      </c>
      <c r="D4">
        <v>101223</v>
      </c>
      <c r="E4" t="s">
        <v>1394</v>
      </c>
    </row>
    <row r="5" spans="1:5" x14ac:dyDescent="0.35">
      <c r="A5" t="str">
        <f t="shared" si="0"/>
        <v>VAC004</v>
      </c>
      <c r="B5" t="s">
        <v>41</v>
      </c>
      <c r="C5" t="str" cm="1">
        <f t="array" ref="C5">_xlfn.IFS(
ROW()&lt;=28,"NA",
ROW()&lt;=52,"LATAM",
ROW()&lt;=64,"EMEA",
TRUE,"APAC"
)</f>
        <v>NA</v>
      </c>
      <c r="D5">
        <v>114478</v>
      </c>
      <c r="E5" t="s">
        <v>1394</v>
      </c>
    </row>
    <row r="6" spans="1:5" x14ac:dyDescent="0.35">
      <c r="A6" t="str">
        <f t="shared" si="0"/>
        <v>VAC005</v>
      </c>
      <c r="B6" t="s">
        <v>44</v>
      </c>
      <c r="C6" t="str" cm="1">
        <f t="array" ref="C6">_xlfn.IFS(
ROW()&lt;=28,"NA",
ROW()&lt;=52,"LATAM",
ROW()&lt;=64,"EMEA",
TRUE,"APAC"
)</f>
        <v>NA</v>
      </c>
      <c r="D6">
        <v>45428</v>
      </c>
      <c r="E6" t="s">
        <v>1394</v>
      </c>
    </row>
    <row r="7" spans="1:5" x14ac:dyDescent="0.35">
      <c r="A7" t="str">
        <f t="shared" si="0"/>
        <v>VAC006</v>
      </c>
      <c r="B7" t="s">
        <v>35</v>
      </c>
      <c r="C7" t="str" cm="1">
        <f t="array" ref="C7">_xlfn.IFS(
ROW()&lt;=28,"NA",
ROW()&lt;=52,"LATAM",
ROW()&lt;=64,"EMEA",
TRUE,"APAC"
)</f>
        <v>NA</v>
      </c>
      <c r="D7">
        <v>90933</v>
      </c>
      <c r="E7" t="s">
        <v>1396</v>
      </c>
    </row>
    <row r="8" spans="1:5" x14ac:dyDescent="0.35">
      <c r="A8" t="str">
        <f t="shared" si="0"/>
        <v>VAC007</v>
      </c>
      <c r="B8" t="s">
        <v>44</v>
      </c>
      <c r="C8" t="str" cm="1">
        <f t="array" ref="C8">_xlfn.IFS(
ROW()&lt;=28,"NA",
ROW()&lt;=52,"LATAM",
ROW()&lt;=64,"EMEA",
TRUE,"APAC"
)</f>
        <v>NA</v>
      </c>
      <c r="D8">
        <v>72190</v>
      </c>
      <c r="E8" t="s">
        <v>1394</v>
      </c>
    </row>
    <row r="9" spans="1:5" x14ac:dyDescent="0.35">
      <c r="A9" t="str">
        <f t="shared" si="0"/>
        <v>VAC008</v>
      </c>
      <c r="B9" t="s">
        <v>44</v>
      </c>
      <c r="C9" t="str" cm="1">
        <f t="array" ref="C9">_xlfn.IFS(
ROW()&lt;=28,"NA",
ROW()&lt;=52,"LATAM",
ROW()&lt;=64,"EMEA",
TRUE,"APAC"
)</f>
        <v>NA</v>
      </c>
      <c r="D9">
        <v>44017</v>
      </c>
      <c r="E9" t="s">
        <v>1394</v>
      </c>
    </row>
    <row r="10" spans="1:5" x14ac:dyDescent="0.35">
      <c r="A10" t="str">
        <f t="shared" si="0"/>
        <v>VAC009</v>
      </c>
      <c r="B10" t="s">
        <v>35</v>
      </c>
      <c r="C10" t="str" cm="1">
        <f t="array" ref="C10">_xlfn.IFS(
ROW()&lt;=28,"NA",
ROW()&lt;=52,"LATAM",
ROW()&lt;=64,"EMEA",
TRUE,"APAC"
)</f>
        <v>NA</v>
      </c>
      <c r="D10">
        <v>65088</v>
      </c>
      <c r="E10" t="s">
        <v>1394</v>
      </c>
    </row>
    <row r="11" spans="1:5" x14ac:dyDescent="0.35">
      <c r="A11" t="str">
        <f t="shared" si="0"/>
        <v>VAC010</v>
      </c>
      <c r="B11" t="s">
        <v>41</v>
      </c>
      <c r="C11" t="str" cm="1">
        <f t="array" ref="C11">_xlfn.IFS(
ROW()&lt;=28,"NA",
ROW()&lt;=52,"LATAM",
ROW()&lt;=64,"EMEA",
TRUE,"APAC"
)</f>
        <v>NA</v>
      </c>
      <c r="D11">
        <v>61228</v>
      </c>
      <c r="E11" t="s">
        <v>1394</v>
      </c>
    </row>
    <row r="12" spans="1:5" x14ac:dyDescent="0.35">
      <c r="A12" t="str">
        <f t="shared" si="0"/>
        <v>VAC011</v>
      </c>
      <c r="B12" t="s">
        <v>44</v>
      </c>
      <c r="C12" t="str" cm="1">
        <f t="array" ref="C12">_xlfn.IFS(
ROW()&lt;=28,"NA",
ROW()&lt;=52,"LATAM",
ROW()&lt;=64,"EMEA",
TRUE,"APAC"
)</f>
        <v>NA</v>
      </c>
      <c r="D12">
        <v>80429</v>
      </c>
      <c r="E12" t="s">
        <v>1394</v>
      </c>
    </row>
    <row r="13" spans="1:5" x14ac:dyDescent="0.35">
      <c r="A13" t="str">
        <f t="shared" si="0"/>
        <v>VAC012</v>
      </c>
      <c r="B13" t="s">
        <v>35</v>
      </c>
      <c r="C13" t="str" cm="1">
        <f t="array" ref="C13">_xlfn.IFS(
ROW()&lt;=28,"NA",
ROW()&lt;=52,"LATAM",
ROW()&lt;=64,"EMEA",
TRUE,"APAC"
)</f>
        <v>NA</v>
      </c>
      <c r="D13">
        <v>104485</v>
      </c>
      <c r="E13" t="s">
        <v>1394</v>
      </c>
    </row>
    <row r="14" spans="1:5" x14ac:dyDescent="0.35">
      <c r="A14" t="str">
        <f t="shared" si="0"/>
        <v>VAC013</v>
      </c>
      <c r="B14" t="s">
        <v>35</v>
      </c>
      <c r="C14" t="str" cm="1">
        <f t="array" ref="C14">_xlfn.IFS(
ROW()&lt;=28,"NA",
ROW()&lt;=52,"LATAM",
ROW()&lt;=64,"EMEA",
TRUE,"APAC"
)</f>
        <v>NA</v>
      </c>
      <c r="D14">
        <v>51918</v>
      </c>
      <c r="E14" t="s">
        <v>1394</v>
      </c>
    </row>
    <row r="15" spans="1:5" x14ac:dyDescent="0.35">
      <c r="A15" t="str">
        <f t="shared" si="0"/>
        <v>VAC014</v>
      </c>
      <c r="B15" t="s">
        <v>38</v>
      </c>
      <c r="C15" t="str" cm="1">
        <f t="array" ref="C15">_xlfn.IFS(
ROW()&lt;=28,"NA",
ROW()&lt;=52,"LATAM",
ROW()&lt;=64,"EMEA",
TRUE,"APAC"
)</f>
        <v>NA</v>
      </c>
      <c r="D15">
        <v>78803</v>
      </c>
      <c r="E15" t="s">
        <v>1396</v>
      </c>
    </row>
    <row r="16" spans="1:5" x14ac:dyDescent="0.35">
      <c r="A16" t="str">
        <f t="shared" si="0"/>
        <v>VAC015</v>
      </c>
      <c r="B16" t="s">
        <v>35</v>
      </c>
      <c r="C16" t="str" cm="1">
        <f t="array" ref="C16">_xlfn.IFS(
ROW()&lt;=28,"NA",
ROW()&lt;=52,"LATAM",
ROW()&lt;=64,"EMEA",
TRUE,"APAC"
)</f>
        <v>NA</v>
      </c>
      <c r="D16">
        <v>58771</v>
      </c>
      <c r="E16" t="s">
        <v>1394</v>
      </c>
    </row>
    <row r="17" spans="1:5" x14ac:dyDescent="0.35">
      <c r="A17" t="str">
        <f t="shared" si="0"/>
        <v>VAC016</v>
      </c>
      <c r="B17" t="s">
        <v>26</v>
      </c>
      <c r="C17" t="str" cm="1">
        <f t="array" ref="C17">_xlfn.IFS(
ROW()&lt;=28,"NA",
ROW()&lt;=52,"LATAM",
ROW()&lt;=64,"EMEA",
TRUE,"APAC"
)</f>
        <v>NA</v>
      </c>
      <c r="D17">
        <v>48459</v>
      </c>
      <c r="E17" t="s">
        <v>1394</v>
      </c>
    </row>
    <row r="18" spans="1:5" x14ac:dyDescent="0.35">
      <c r="A18" t="str">
        <f t="shared" si="0"/>
        <v>VAC017</v>
      </c>
      <c r="B18" t="s">
        <v>44</v>
      </c>
      <c r="C18" t="str" cm="1">
        <f t="array" ref="C18">_xlfn.IFS(
ROW()&lt;=28,"NA",
ROW()&lt;=52,"LATAM",
ROW()&lt;=64,"EMEA",
TRUE,"APAC"
)</f>
        <v>NA</v>
      </c>
      <c r="D18">
        <v>78378</v>
      </c>
      <c r="E18" t="s">
        <v>1394</v>
      </c>
    </row>
    <row r="19" spans="1:5" x14ac:dyDescent="0.35">
      <c r="A19" t="str">
        <f t="shared" si="0"/>
        <v>VAC018</v>
      </c>
      <c r="B19" t="s">
        <v>38</v>
      </c>
      <c r="C19" t="str" cm="1">
        <f t="array" ref="C19">_xlfn.IFS(
ROW()&lt;=28,"NA",
ROW()&lt;=52,"LATAM",
ROW()&lt;=64,"EMEA",
TRUE,"APAC"
)</f>
        <v>NA</v>
      </c>
      <c r="D19">
        <v>32572</v>
      </c>
      <c r="E19" t="s">
        <v>1394</v>
      </c>
    </row>
    <row r="20" spans="1:5" x14ac:dyDescent="0.35">
      <c r="A20" t="str">
        <f t="shared" si="0"/>
        <v>VAC019</v>
      </c>
      <c r="B20" t="s">
        <v>32</v>
      </c>
      <c r="C20" t="str" cm="1">
        <f t="array" ref="C20">_xlfn.IFS(
ROW()&lt;=28,"NA",
ROW()&lt;=52,"LATAM",
ROW()&lt;=64,"EMEA",
TRUE,"APAC"
)</f>
        <v>NA</v>
      </c>
      <c r="D20">
        <v>76217</v>
      </c>
      <c r="E20" t="s">
        <v>1394</v>
      </c>
    </row>
    <row r="21" spans="1:5" x14ac:dyDescent="0.35">
      <c r="A21" t="str">
        <f t="shared" si="0"/>
        <v>VAC020</v>
      </c>
      <c r="B21" t="s">
        <v>44</v>
      </c>
      <c r="C21" t="str" cm="1">
        <f t="array" ref="C21">_xlfn.IFS(
ROW()&lt;=28,"NA",
ROW()&lt;=52,"LATAM",
ROW()&lt;=64,"EMEA",
TRUE,"APAC"
)</f>
        <v>NA</v>
      </c>
      <c r="D21">
        <v>119705</v>
      </c>
      <c r="E21" t="s">
        <v>1394</v>
      </c>
    </row>
    <row r="22" spans="1:5" x14ac:dyDescent="0.35">
      <c r="A22" t="str">
        <f t="shared" si="0"/>
        <v>VAC021</v>
      </c>
      <c r="B22" t="s">
        <v>35</v>
      </c>
      <c r="C22" t="str" cm="1">
        <f t="array" ref="C22">_xlfn.IFS(
ROW()&lt;=28,"NA",
ROW()&lt;=52,"LATAM",
ROW()&lt;=64,"EMEA",
TRUE,"APAC"
)</f>
        <v>NA</v>
      </c>
      <c r="D22">
        <v>53074</v>
      </c>
      <c r="E22" t="s">
        <v>1396</v>
      </c>
    </row>
    <row r="23" spans="1:5" x14ac:dyDescent="0.35">
      <c r="A23" t="str">
        <f t="shared" si="0"/>
        <v>VAC022</v>
      </c>
      <c r="B23" t="s">
        <v>44</v>
      </c>
      <c r="C23" t="str" cm="1">
        <f t="array" ref="C23">_xlfn.IFS(
ROW()&lt;=28,"NA",
ROW()&lt;=52,"LATAM",
ROW()&lt;=64,"EMEA",
TRUE,"APAC"
)</f>
        <v>NA</v>
      </c>
      <c r="D23">
        <v>61782</v>
      </c>
      <c r="E23" t="s">
        <v>1394</v>
      </c>
    </row>
    <row r="24" spans="1:5" x14ac:dyDescent="0.35">
      <c r="A24" t="str">
        <f t="shared" si="0"/>
        <v>VAC023</v>
      </c>
      <c r="B24" t="s">
        <v>35</v>
      </c>
      <c r="C24" t="str" cm="1">
        <f t="array" ref="C24">_xlfn.IFS(
ROW()&lt;=28,"NA",
ROW()&lt;=52,"LATAM",
ROW()&lt;=64,"EMEA",
TRUE,"APAC"
)</f>
        <v>NA</v>
      </c>
      <c r="D24">
        <v>36366</v>
      </c>
      <c r="E24" t="s">
        <v>1394</v>
      </c>
    </row>
    <row r="25" spans="1:5" x14ac:dyDescent="0.35">
      <c r="A25" t="str">
        <f t="shared" si="0"/>
        <v>VAC024</v>
      </c>
      <c r="B25" t="s">
        <v>38</v>
      </c>
      <c r="C25" t="str" cm="1">
        <f t="array" ref="C25">_xlfn.IFS(
ROW()&lt;=28,"NA",
ROW()&lt;=52,"LATAM",
ROW()&lt;=64,"EMEA",
TRUE,"APAC"
)</f>
        <v>NA</v>
      </c>
      <c r="D25">
        <v>77216</v>
      </c>
      <c r="E25" t="s">
        <v>1394</v>
      </c>
    </row>
    <row r="26" spans="1:5" x14ac:dyDescent="0.35">
      <c r="A26" t="str">
        <f t="shared" si="0"/>
        <v>VAC025</v>
      </c>
      <c r="B26" t="s">
        <v>38</v>
      </c>
      <c r="C26" t="str" cm="1">
        <f t="array" ref="C26">_xlfn.IFS(
ROW()&lt;=28,"NA",
ROW()&lt;=52,"LATAM",
ROW()&lt;=64,"EMEA",
TRUE,"APAC"
)</f>
        <v>NA</v>
      </c>
      <c r="D26">
        <v>76600</v>
      </c>
      <c r="E26" t="s">
        <v>1396</v>
      </c>
    </row>
    <row r="27" spans="1:5" x14ac:dyDescent="0.35">
      <c r="A27" t="str">
        <f t="shared" si="0"/>
        <v>VAC026</v>
      </c>
      <c r="B27" t="s">
        <v>35</v>
      </c>
      <c r="C27" t="str" cm="1">
        <f t="array" ref="C27">_xlfn.IFS(
ROW()&lt;=28,"NA",
ROW()&lt;=52,"LATAM",
ROW()&lt;=64,"EMEA",
TRUE,"APAC"
)</f>
        <v>NA</v>
      </c>
      <c r="D27">
        <v>34720</v>
      </c>
      <c r="E27" t="s">
        <v>1394</v>
      </c>
    </row>
    <row r="28" spans="1:5" x14ac:dyDescent="0.35">
      <c r="A28" t="str">
        <f t="shared" si="0"/>
        <v>VAC027</v>
      </c>
      <c r="B28" t="s">
        <v>44</v>
      </c>
      <c r="C28" t="str" cm="1">
        <f t="array" ref="C28">_xlfn.IFS(
ROW()&lt;=28,"NA",
ROW()&lt;=52,"LATAM",
ROW()&lt;=64,"EMEA",
TRUE,"APAC"
)</f>
        <v>NA</v>
      </c>
      <c r="D28">
        <v>66662</v>
      </c>
      <c r="E28" t="s">
        <v>1394</v>
      </c>
    </row>
    <row r="29" spans="1:5" x14ac:dyDescent="0.35">
      <c r="A29" t="str">
        <f t="shared" si="0"/>
        <v>VAC028</v>
      </c>
      <c r="B29" t="s">
        <v>32</v>
      </c>
      <c r="C29" t="str" cm="1">
        <f t="array" ref="C29">_xlfn.IFS(
ROW()&lt;=28,"NA",
ROW()&lt;=52,"LATAM",
ROW()&lt;=64,"EMEA",
TRUE,"APAC"
)</f>
        <v>LATAM</v>
      </c>
      <c r="D29">
        <v>42645</v>
      </c>
      <c r="E29" t="s">
        <v>1396</v>
      </c>
    </row>
    <row r="30" spans="1:5" x14ac:dyDescent="0.35">
      <c r="A30" t="str">
        <f t="shared" si="0"/>
        <v>VAC029</v>
      </c>
      <c r="B30" t="s">
        <v>32</v>
      </c>
      <c r="C30" t="str" cm="1">
        <f t="array" ref="C30">_xlfn.IFS(
ROW()&lt;=28,"NA",
ROW()&lt;=52,"LATAM",
ROW()&lt;=64,"EMEA",
TRUE,"APAC"
)</f>
        <v>LATAM</v>
      </c>
      <c r="D30">
        <v>85231</v>
      </c>
      <c r="E30" t="s">
        <v>1394</v>
      </c>
    </row>
    <row r="31" spans="1:5" x14ac:dyDescent="0.35">
      <c r="A31" t="str">
        <f t="shared" si="0"/>
        <v>VAC030</v>
      </c>
      <c r="B31" t="s">
        <v>44</v>
      </c>
      <c r="C31" t="str" cm="1">
        <f t="array" ref="C31">_xlfn.IFS(
ROW()&lt;=28,"NA",
ROW()&lt;=52,"LATAM",
ROW()&lt;=64,"EMEA",
TRUE,"APAC"
)</f>
        <v>LATAM</v>
      </c>
      <c r="D31">
        <v>88625</v>
      </c>
      <c r="E31" t="s">
        <v>1394</v>
      </c>
    </row>
    <row r="32" spans="1:5" x14ac:dyDescent="0.35">
      <c r="A32" t="str">
        <f t="shared" si="0"/>
        <v>VAC031</v>
      </c>
      <c r="B32" t="s">
        <v>26</v>
      </c>
      <c r="C32" t="str" cm="1">
        <f t="array" ref="C32">_xlfn.IFS(
ROW()&lt;=28,"NA",
ROW()&lt;=52,"LATAM",
ROW()&lt;=64,"EMEA",
TRUE,"APAC"
)</f>
        <v>LATAM</v>
      </c>
      <c r="D32">
        <v>94295</v>
      </c>
      <c r="E32" t="s">
        <v>1394</v>
      </c>
    </row>
    <row r="33" spans="1:5" x14ac:dyDescent="0.35">
      <c r="A33" t="str">
        <f t="shared" si="0"/>
        <v>VAC032</v>
      </c>
      <c r="B33" t="s">
        <v>38</v>
      </c>
      <c r="C33" t="str" cm="1">
        <f t="array" ref="C33">_xlfn.IFS(
ROW()&lt;=28,"NA",
ROW()&lt;=52,"LATAM",
ROW()&lt;=64,"EMEA",
TRUE,"APAC"
)</f>
        <v>LATAM</v>
      </c>
      <c r="D33">
        <v>118595</v>
      </c>
      <c r="E33" t="s">
        <v>1394</v>
      </c>
    </row>
    <row r="34" spans="1:5" x14ac:dyDescent="0.35">
      <c r="A34" t="str">
        <f t="shared" si="0"/>
        <v>VAC033</v>
      </c>
      <c r="B34" t="s">
        <v>35</v>
      </c>
      <c r="C34" t="str" cm="1">
        <f t="array" ref="C34">_xlfn.IFS(
ROW()&lt;=28,"NA",
ROW()&lt;=52,"LATAM",
ROW()&lt;=64,"EMEA",
TRUE,"APAC"
)</f>
        <v>LATAM</v>
      </c>
      <c r="D34">
        <v>39643</v>
      </c>
      <c r="E34" t="s">
        <v>1396</v>
      </c>
    </row>
    <row r="35" spans="1:5" x14ac:dyDescent="0.35">
      <c r="A35" t="str">
        <f t="shared" si="0"/>
        <v>VAC034</v>
      </c>
      <c r="B35" t="s">
        <v>32</v>
      </c>
      <c r="C35" t="str" cm="1">
        <f t="array" ref="C35">_xlfn.IFS(
ROW()&lt;=28,"NA",
ROW()&lt;=52,"LATAM",
ROW()&lt;=64,"EMEA",
TRUE,"APAC"
)</f>
        <v>LATAM</v>
      </c>
      <c r="D35">
        <v>42862</v>
      </c>
      <c r="E35" t="s">
        <v>1394</v>
      </c>
    </row>
    <row r="36" spans="1:5" x14ac:dyDescent="0.35">
      <c r="A36" t="str">
        <f t="shared" si="0"/>
        <v>VAC035</v>
      </c>
      <c r="B36" t="s">
        <v>44</v>
      </c>
      <c r="C36" t="str" cm="1">
        <f t="array" ref="C36">_xlfn.IFS(
ROW()&lt;=28,"NA",
ROW()&lt;=52,"LATAM",
ROW()&lt;=64,"EMEA",
TRUE,"APAC"
)</f>
        <v>LATAM</v>
      </c>
      <c r="D36">
        <v>45902</v>
      </c>
      <c r="E36" t="s">
        <v>1394</v>
      </c>
    </row>
    <row r="37" spans="1:5" x14ac:dyDescent="0.35">
      <c r="A37" t="str">
        <f t="shared" si="0"/>
        <v>VAC036</v>
      </c>
      <c r="B37" t="s">
        <v>26</v>
      </c>
      <c r="C37" t="str" cm="1">
        <f t="array" ref="C37">_xlfn.IFS(
ROW()&lt;=28,"NA",
ROW()&lt;=52,"LATAM",
ROW()&lt;=64,"EMEA",
TRUE,"APAC"
)</f>
        <v>LATAM</v>
      </c>
      <c r="D37">
        <v>95173</v>
      </c>
      <c r="E37" t="s">
        <v>1394</v>
      </c>
    </row>
    <row r="38" spans="1:5" x14ac:dyDescent="0.35">
      <c r="A38" t="str">
        <f t="shared" si="0"/>
        <v>VAC037</v>
      </c>
      <c r="B38" t="s">
        <v>35</v>
      </c>
      <c r="C38" t="str" cm="1">
        <f t="array" ref="C38">_xlfn.IFS(
ROW()&lt;=28,"NA",
ROW()&lt;=52,"LATAM",
ROW()&lt;=64,"EMEA",
TRUE,"APAC"
)</f>
        <v>LATAM</v>
      </c>
      <c r="D38">
        <v>119615</v>
      </c>
      <c r="E38" t="s">
        <v>1394</v>
      </c>
    </row>
    <row r="39" spans="1:5" x14ac:dyDescent="0.35">
      <c r="A39" t="str">
        <f t="shared" si="0"/>
        <v>VAC038</v>
      </c>
      <c r="B39" t="s">
        <v>26</v>
      </c>
      <c r="C39" t="str" cm="1">
        <f t="array" ref="C39">_xlfn.IFS(
ROW()&lt;=28,"NA",
ROW()&lt;=52,"LATAM",
ROW()&lt;=64,"EMEA",
TRUE,"APAC"
)</f>
        <v>LATAM</v>
      </c>
      <c r="D39">
        <v>78280</v>
      </c>
      <c r="E39" t="s">
        <v>1396</v>
      </c>
    </row>
    <row r="40" spans="1:5" x14ac:dyDescent="0.35">
      <c r="A40" t="str">
        <f t="shared" si="0"/>
        <v>VAC039</v>
      </c>
      <c r="B40" t="s">
        <v>38</v>
      </c>
      <c r="C40" t="str" cm="1">
        <f t="array" ref="C40">_xlfn.IFS(
ROW()&lt;=28,"NA",
ROW()&lt;=52,"LATAM",
ROW()&lt;=64,"EMEA",
TRUE,"APAC"
)</f>
        <v>LATAM</v>
      </c>
      <c r="D40">
        <v>77747</v>
      </c>
      <c r="E40" t="s">
        <v>1394</v>
      </c>
    </row>
    <row r="41" spans="1:5" x14ac:dyDescent="0.35">
      <c r="A41" t="str">
        <f t="shared" si="0"/>
        <v>VAC040</v>
      </c>
      <c r="B41" t="s">
        <v>41</v>
      </c>
      <c r="C41" t="str" cm="1">
        <f t="array" ref="C41">_xlfn.IFS(
ROW()&lt;=28,"NA",
ROW()&lt;=52,"LATAM",
ROW()&lt;=64,"EMEA",
TRUE,"APAC"
)</f>
        <v>LATAM</v>
      </c>
      <c r="D41">
        <v>50135</v>
      </c>
      <c r="E41" t="s">
        <v>1394</v>
      </c>
    </row>
    <row r="42" spans="1:5" x14ac:dyDescent="0.35">
      <c r="A42" t="str">
        <f t="shared" si="0"/>
        <v>VAC041</v>
      </c>
      <c r="B42" t="s">
        <v>32</v>
      </c>
      <c r="C42" t="str" cm="1">
        <f t="array" ref="C42">_xlfn.IFS(
ROW()&lt;=28,"NA",
ROW()&lt;=52,"LATAM",
ROW()&lt;=64,"EMEA",
TRUE,"APAC"
)</f>
        <v>LATAM</v>
      </c>
      <c r="D42">
        <v>31848</v>
      </c>
      <c r="E42" t="s">
        <v>1396</v>
      </c>
    </row>
    <row r="43" spans="1:5" x14ac:dyDescent="0.35">
      <c r="A43" t="str">
        <f t="shared" si="0"/>
        <v>VAC042</v>
      </c>
      <c r="B43" t="s">
        <v>35</v>
      </c>
      <c r="C43" t="str" cm="1">
        <f t="array" ref="C43">_xlfn.IFS(
ROW()&lt;=28,"NA",
ROW()&lt;=52,"LATAM",
ROW()&lt;=64,"EMEA",
TRUE,"APAC"
)</f>
        <v>LATAM</v>
      </c>
      <c r="D43">
        <v>80850</v>
      </c>
      <c r="E43" t="s">
        <v>1394</v>
      </c>
    </row>
    <row r="44" spans="1:5" x14ac:dyDescent="0.35">
      <c r="A44" t="str">
        <f t="shared" si="0"/>
        <v>VAC043</v>
      </c>
      <c r="B44" t="s">
        <v>44</v>
      </c>
      <c r="C44" t="str" cm="1">
        <f t="array" ref="C44">_xlfn.IFS(
ROW()&lt;=28,"NA",
ROW()&lt;=52,"LATAM",
ROW()&lt;=64,"EMEA",
TRUE,"APAC"
)</f>
        <v>LATAM</v>
      </c>
      <c r="D44">
        <v>74582</v>
      </c>
      <c r="E44" t="s">
        <v>1396</v>
      </c>
    </row>
    <row r="45" spans="1:5" x14ac:dyDescent="0.35">
      <c r="A45" t="str">
        <f t="shared" si="0"/>
        <v>VAC044</v>
      </c>
      <c r="B45" t="s">
        <v>26</v>
      </c>
      <c r="C45" t="str" cm="1">
        <f t="array" ref="C45">_xlfn.IFS(
ROW()&lt;=28,"NA",
ROW()&lt;=52,"LATAM",
ROW()&lt;=64,"EMEA",
TRUE,"APAC"
)</f>
        <v>LATAM</v>
      </c>
      <c r="D45">
        <v>87317</v>
      </c>
      <c r="E45" t="s">
        <v>1394</v>
      </c>
    </row>
    <row r="46" spans="1:5" x14ac:dyDescent="0.35">
      <c r="A46" t="str">
        <f t="shared" si="0"/>
        <v>VAC045</v>
      </c>
      <c r="B46" t="s">
        <v>35</v>
      </c>
      <c r="C46" t="str" cm="1">
        <f t="array" ref="C46">_xlfn.IFS(
ROW()&lt;=28,"NA",
ROW()&lt;=52,"LATAM",
ROW()&lt;=64,"EMEA",
TRUE,"APAC"
)</f>
        <v>LATAM</v>
      </c>
      <c r="D46">
        <v>99619</v>
      </c>
      <c r="E46" t="s">
        <v>1394</v>
      </c>
    </row>
    <row r="47" spans="1:5" x14ac:dyDescent="0.35">
      <c r="A47" t="str">
        <f t="shared" si="0"/>
        <v>VAC046</v>
      </c>
      <c r="B47" t="s">
        <v>26</v>
      </c>
      <c r="C47" t="str" cm="1">
        <f t="array" ref="C47">_xlfn.IFS(
ROW()&lt;=28,"NA",
ROW()&lt;=52,"LATAM",
ROW()&lt;=64,"EMEA",
TRUE,"APAC"
)</f>
        <v>LATAM</v>
      </c>
      <c r="D47">
        <v>91711</v>
      </c>
      <c r="E47" t="s">
        <v>1394</v>
      </c>
    </row>
    <row r="48" spans="1:5" x14ac:dyDescent="0.35">
      <c r="A48" t="str">
        <f t="shared" si="0"/>
        <v>VAC047</v>
      </c>
      <c r="B48" t="s">
        <v>35</v>
      </c>
      <c r="C48" t="str" cm="1">
        <f t="array" ref="C48">_xlfn.IFS(
ROW()&lt;=28,"NA",
ROW()&lt;=52,"LATAM",
ROW()&lt;=64,"EMEA",
TRUE,"APAC"
)</f>
        <v>LATAM</v>
      </c>
      <c r="D48">
        <v>64603</v>
      </c>
      <c r="E48" t="s">
        <v>1394</v>
      </c>
    </row>
    <row r="49" spans="1:5" x14ac:dyDescent="0.35">
      <c r="A49" t="str">
        <f t="shared" si="0"/>
        <v>VAC048</v>
      </c>
      <c r="B49" t="s">
        <v>35</v>
      </c>
      <c r="C49" t="str" cm="1">
        <f t="array" ref="C49">_xlfn.IFS(
ROW()&lt;=28,"NA",
ROW()&lt;=52,"LATAM",
ROW()&lt;=64,"EMEA",
TRUE,"APAC"
)</f>
        <v>LATAM</v>
      </c>
      <c r="D49">
        <v>75322</v>
      </c>
      <c r="E49" t="s">
        <v>1394</v>
      </c>
    </row>
    <row r="50" spans="1:5" x14ac:dyDescent="0.35">
      <c r="A50" t="str">
        <f t="shared" si="0"/>
        <v>VAC049</v>
      </c>
      <c r="B50" t="s">
        <v>26</v>
      </c>
      <c r="C50" t="str" cm="1">
        <f t="array" ref="C50">_xlfn.IFS(
ROW()&lt;=28,"NA",
ROW()&lt;=52,"LATAM",
ROW()&lt;=64,"EMEA",
TRUE,"APAC"
)</f>
        <v>LATAM</v>
      </c>
      <c r="D50">
        <v>99446</v>
      </c>
      <c r="E50" t="s">
        <v>1394</v>
      </c>
    </row>
    <row r="51" spans="1:5" x14ac:dyDescent="0.35">
      <c r="A51" t="str">
        <f t="shared" si="0"/>
        <v>VAC050</v>
      </c>
      <c r="B51" t="s">
        <v>44</v>
      </c>
      <c r="C51" t="str" cm="1">
        <f t="array" ref="C51">_xlfn.IFS(
ROW()&lt;=28,"NA",
ROW()&lt;=52,"LATAM",
ROW()&lt;=64,"EMEA",
TRUE,"APAC"
)</f>
        <v>LATAM</v>
      </c>
      <c r="D51">
        <v>86026</v>
      </c>
      <c r="E51" t="s">
        <v>1394</v>
      </c>
    </row>
    <row r="52" spans="1:5" x14ac:dyDescent="0.35">
      <c r="A52" t="str">
        <f t="shared" si="0"/>
        <v>VAC051</v>
      </c>
      <c r="B52" t="s">
        <v>26</v>
      </c>
      <c r="C52" t="str" cm="1">
        <f t="array" ref="C52">_xlfn.IFS(
ROW()&lt;=28,"NA",
ROW()&lt;=52,"LATAM",
ROW()&lt;=64,"EMEA",
TRUE,"APAC"
)</f>
        <v>LATAM</v>
      </c>
      <c r="D52">
        <v>107964</v>
      </c>
      <c r="E52" t="s">
        <v>1394</v>
      </c>
    </row>
    <row r="53" spans="1:5" x14ac:dyDescent="0.35">
      <c r="A53" t="str">
        <f t="shared" si="0"/>
        <v>VAC052</v>
      </c>
      <c r="B53" t="s">
        <v>32</v>
      </c>
      <c r="C53" t="str" cm="1">
        <f t="array" ref="C53">_xlfn.IFS(
ROW()&lt;=28,"NA",
ROW()&lt;=52,"LATAM",
ROW()&lt;=64,"EMEA",
TRUE,"APAC"
)</f>
        <v>EMEA</v>
      </c>
      <c r="D53">
        <v>76035</v>
      </c>
      <c r="E53" t="s">
        <v>1394</v>
      </c>
    </row>
    <row r="54" spans="1:5" x14ac:dyDescent="0.35">
      <c r="A54" t="str">
        <f t="shared" si="0"/>
        <v>VAC053</v>
      </c>
      <c r="B54" t="s">
        <v>32</v>
      </c>
      <c r="C54" t="str" cm="1">
        <f t="array" ref="C54">_xlfn.IFS(
ROW()&lt;=28,"NA",
ROW()&lt;=52,"LATAM",
ROW()&lt;=64,"EMEA",
TRUE,"APAC"
)</f>
        <v>EMEA</v>
      </c>
      <c r="D54">
        <v>80550</v>
      </c>
      <c r="E54" t="s">
        <v>1394</v>
      </c>
    </row>
    <row r="55" spans="1:5" x14ac:dyDescent="0.35">
      <c r="A55" t="str">
        <f t="shared" si="0"/>
        <v>VAC054</v>
      </c>
      <c r="B55" t="s">
        <v>41</v>
      </c>
      <c r="C55" t="str" cm="1">
        <f t="array" ref="C55">_xlfn.IFS(
ROW()&lt;=28,"NA",
ROW()&lt;=52,"LATAM",
ROW()&lt;=64,"EMEA",
TRUE,"APAC"
)</f>
        <v>EMEA</v>
      </c>
      <c r="D55">
        <v>108640</v>
      </c>
      <c r="E55" t="s">
        <v>1394</v>
      </c>
    </row>
    <row r="56" spans="1:5" x14ac:dyDescent="0.35">
      <c r="A56" t="str">
        <f t="shared" si="0"/>
        <v>VAC055</v>
      </c>
      <c r="B56" t="s">
        <v>44</v>
      </c>
      <c r="C56" t="str" cm="1">
        <f t="array" ref="C56">_xlfn.IFS(
ROW()&lt;=28,"NA",
ROW()&lt;=52,"LATAM",
ROW()&lt;=64,"EMEA",
TRUE,"APAC"
)</f>
        <v>EMEA</v>
      </c>
      <c r="D56">
        <v>83209</v>
      </c>
      <c r="E56" t="s">
        <v>1394</v>
      </c>
    </row>
    <row r="57" spans="1:5" x14ac:dyDescent="0.35">
      <c r="A57" t="str">
        <f t="shared" si="0"/>
        <v>VAC056</v>
      </c>
      <c r="B57" t="s">
        <v>26</v>
      </c>
      <c r="C57" t="str" cm="1">
        <f t="array" ref="C57">_xlfn.IFS(
ROW()&lt;=28,"NA",
ROW()&lt;=52,"LATAM",
ROW()&lt;=64,"EMEA",
TRUE,"APAC"
)</f>
        <v>EMEA</v>
      </c>
      <c r="D57">
        <v>54944</v>
      </c>
      <c r="E57" t="s">
        <v>1394</v>
      </c>
    </row>
    <row r="58" spans="1:5" x14ac:dyDescent="0.35">
      <c r="A58" t="str">
        <f t="shared" si="0"/>
        <v>VAC057</v>
      </c>
      <c r="B58" t="s">
        <v>32</v>
      </c>
      <c r="C58" t="str" cm="1">
        <f t="array" ref="C58">_xlfn.IFS(
ROW()&lt;=28,"NA",
ROW()&lt;=52,"LATAM",
ROW()&lt;=64,"EMEA",
TRUE,"APAC"
)</f>
        <v>EMEA</v>
      </c>
      <c r="D58">
        <v>94887</v>
      </c>
      <c r="E58" t="s">
        <v>1394</v>
      </c>
    </row>
    <row r="59" spans="1:5" x14ac:dyDescent="0.35">
      <c r="A59" t="str">
        <f t="shared" si="0"/>
        <v>VAC058</v>
      </c>
      <c r="B59" t="s">
        <v>26</v>
      </c>
      <c r="C59" t="str" cm="1">
        <f t="array" ref="C59">_xlfn.IFS(
ROW()&lt;=28,"NA",
ROW()&lt;=52,"LATAM",
ROW()&lt;=64,"EMEA",
TRUE,"APAC"
)</f>
        <v>EMEA</v>
      </c>
      <c r="D59">
        <v>94244</v>
      </c>
      <c r="E59" t="s">
        <v>1394</v>
      </c>
    </row>
    <row r="60" spans="1:5" x14ac:dyDescent="0.35">
      <c r="A60" t="str">
        <f t="shared" si="0"/>
        <v>VAC059</v>
      </c>
      <c r="B60" t="s">
        <v>44</v>
      </c>
      <c r="C60" t="str" cm="1">
        <f t="array" ref="C60">_xlfn.IFS(
ROW()&lt;=28,"NA",
ROW()&lt;=52,"LATAM",
ROW()&lt;=64,"EMEA",
TRUE,"APAC"
)</f>
        <v>EMEA</v>
      </c>
      <c r="D60">
        <v>66388</v>
      </c>
      <c r="E60" t="s">
        <v>1394</v>
      </c>
    </row>
    <row r="61" spans="1:5" x14ac:dyDescent="0.35">
      <c r="A61" t="str">
        <f t="shared" si="0"/>
        <v>VAC060</v>
      </c>
      <c r="B61" t="s">
        <v>26</v>
      </c>
      <c r="C61" t="str" cm="1">
        <f t="array" ref="C61">_xlfn.IFS(
ROW()&lt;=28,"NA",
ROW()&lt;=52,"LATAM",
ROW()&lt;=64,"EMEA",
TRUE,"APAC"
)</f>
        <v>EMEA</v>
      </c>
      <c r="D61">
        <v>87712</v>
      </c>
      <c r="E61" t="s">
        <v>1394</v>
      </c>
    </row>
    <row r="62" spans="1:5" x14ac:dyDescent="0.35">
      <c r="A62" t="str">
        <f t="shared" si="0"/>
        <v>VAC061</v>
      </c>
      <c r="B62" t="s">
        <v>32</v>
      </c>
      <c r="C62" t="str" cm="1">
        <f t="array" ref="C62">_xlfn.IFS(
ROW()&lt;=28,"NA",
ROW()&lt;=52,"LATAM",
ROW()&lt;=64,"EMEA",
TRUE,"APAC"
)</f>
        <v>EMEA</v>
      </c>
      <c r="D62">
        <v>42956</v>
      </c>
      <c r="E62" t="s">
        <v>1396</v>
      </c>
    </row>
    <row r="63" spans="1:5" x14ac:dyDescent="0.35">
      <c r="A63" t="str">
        <f t="shared" si="0"/>
        <v>VAC062</v>
      </c>
      <c r="B63" t="s">
        <v>44</v>
      </c>
      <c r="C63" t="str" cm="1">
        <f t="array" ref="C63">_xlfn.IFS(
ROW()&lt;=28,"NA",
ROW()&lt;=52,"LATAM",
ROW()&lt;=64,"EMEA",
TRUE,"APAC"
)</f>
        <v>EMEA</v>
      </c>
      <c r="D63">
        <v>104480</v>
      </c>
      <c r="E63" t="s">
        <v>1394</v>
      </c>
    </row>
    <row r="64" spans="1:5" x14ac:dyDescent="0.35">
      <c r="A64" t="str">
        <f t="shared" si="0"/>
        <v>VAC063</v>
      </c>
      <c r="B64" t="s">
        <v>38</v>
      </c>
      <c r="C64" t="str" cm="1">
        <f t="array" ref="C64">_xlfn.IFS(
ROW()&lt;=28,"NA",
ROW()&lt;=52,"LATAM",
ROW()&lt;=64,"EMEA",
TRUE,"APAC"
)</f>
        <v>EMEA</v>
      </c>
      <c r="D64">
        <v>97657</v>
      </c>
      <c r="E64" t="s">
        <v>1396</v>
      </c>
    </row>
    <row r="65" spans="1:5" x14ac:dyDescent="0.35">
      <c r="A65" t="str">
        <f t="shared" si="0"/>
        <v>VAC064</v>
      </c>
      <c r="B65" t="s">
        <v>32</v>
      </c>
      <c r="C65" t="str" cm="1">
        <f t="array" ref="C65">_xlfn.IFS(
ROW()&lt;=28,"NA",
ROW()&lt;=52,"LATAM",
ROW()&lt;=64,"EMEA",
TRUE,"APAC"
)</f>
        <v>APAC</v>
      </c>
      <c r="D65">
        <v>113925</v>
      </c>
      <c r="E65" t="s">
        <v>1396</v>
      </c>
    </row>
    <row r="66" spans="1:5" x14ac:dyDescent="0.35">
      <c r="A66" t="str">
        <f t="shared" si="0"/>
        <v>VAC065</v>
      </c>
      <c r="B66" t="s">
        <v>35</v>
      </c>
      <c r="C66" t="str" cm="1">
        <f t="array" ref="C66">_xlfn.IFS(
ROW()&lt;=28,"NA",
ROW()&lt;=52,"LATAM",
ROW()&lt;=64,"EMEA",
TRUE,"APAC"
)</f>
        <v>APAC</v>
      </c>
      <c r="D66">
        <v>41156</v>
      </c>
      <c r="E66" t="s">
        <v>1394</v>
      </c>
    </row>
    <row r="67" spans="1:5" x14ac:dyDescent="0.35">
      <c r="A67" t="str">
        <f t="shared" ref="A67:A81" si="1">"VAC"&amp;TEXT(ROW()-1,"000")</f>
        <v>VAC066</v>
      </c>
      <c r="B67" t="s">
        <v>38</v>
      </c>
      <c r="C67" t="str" cm="1">
        <f t="array" ref="C67">_xlfn.IFS(
ROW()&lt;=28,"NA",
ROW()&lt;=52,"LATAM",
ROW()&lt;=64,"EMEA",
TRUE,"APAC"
)</f>
        <v>APAC</v>
      </c>
      <c r="D67">
        <v>59992</v>
      </c>
      <c r="E67" t="s">
        <v>1394</v>
      </c>
    </row>
    <row r="68" spans="1:5" x14ac:dyDescent="0.35">
      <c r="A68" t="str">
        <f t="shared" si="1"/>
        <v>VAC067</v>
      </c>
      <c r="B68" t="s">
        <v>35</v>
      </c>
      <c r="C68" t="str" cm="1">
        <f t="array" ref="C68">_xlfn.IFS(
ROW()&lt;=28,"NA",
ROW()&lt;=52,"LATAM",
ROW()&lt;=64,"EMEA",
TRUE,"APAC"
)</f>
        <v>APAC</v>
      </c>
      <c r="D68">
        <v>58103</v>
      </c>
      <c r="E68" t="s">
        <v>1394</v>
      </c>
    </row>
    <row r="69" spans="1:5" x14ac:dyDescent="0.35">
      <c r="A69" t="str">
        <f t="shared" si="1"/>
        <v>VAC068</v>
      </c>
      <c r="B69" t="s">
        <v>32</v>
      </c>
      <c r="C69" t="str" cm="1">
        <f t="array" ref="C69">_xlfn.IFS(
ROW()&lt;=28,"NA",
ROW()&lt;=52,"LATAM",
ROW()&lt;=64,"EMEA",
TRUE,"APAC"
)</f>
        <v>APAC</v>
      </c>
      <c r="D69">
        <v>35456</v>
      </c>
      <c r="E69" t="s">
        <v>1394</v>
      </c>
    </row>
    <row r="70" spans="1:5" x14ac:dyDescent="0.35">
      <c r="A70" t="str">
        <f t="shared" si="1"/>
        <v>VAC069</v>
      </c>
      <c r="B70" t="s">
        <v>41</v>
      </c>
      <c r="C70" t="str" cm="1">
        <f t="array" ref="C70">_xlfn.IFS(
ROW()&lt;=28,"NA",
ROW()&lt;=52,"LATAM",
ROW()&lt;=64,"EMEA",
TRUE,"APAC"
)</f>
        <v>APAC</v>
      </c>
      <c r="D70">
        <v>99237</v>
      </c>
      <c r="E70" t="s">
        <v>1394</v>
      </c>
    </row>
    <row r="71" spans="1:5" x14ac:dyDescent="0.35">
      <c r="A71" t="str">
        <f t="shared" si="1"/>
        <v>VAC070</v>
      </c>
      <c r="B71" t="s">
        <v>32</v>
      </c>
      <c r="C71" t="str" cm="1">
        <f t="array" ref="C71">_xlfn.IFS(
ROW()&lt;=28,"NA",
ROW()&lt;=52,"LATAM",
ROW()&lt;=64,"EMEA",
TRUE,"APAC"
)</f>
        <v>APAC</v>
      </c>
      <c r="D71">
        <v>111747</v>
      </c>
      <c r="E71" t="s">
        <v>1396</v>
      </c>
    </row>
    <row r="72" spans="1:5" x14ac:dyDescent="0.35">
      <c r="A72" t="str">
        <f t="shared" si="1"/>
        <v>VAC071</v>
      </c>
      <c r="B72" t="s">
        <v>38</v>
      </c>
      <c r="C72" t="str" cm="1">
        <f t="array" ref="C72">_xlfn.IFS(
ROW()&lt;=28,"NA",
ROW()&lt;=52,"LATAM",
ROW()&lt;=64,"EMEA",
TRUE,"APAC"
)</f>
        <v>APAC</v>
      </c>
      <c r="D72">
        <v>44775</v>
      </c>
      <c r="E72" t="s">
        <v>1394</v>
      </c>
    </row>
    <row r="73" spans="1:5" x14ac:dyDescent="0.35">
      <c r="A73" t="str">
        <f t="shared" si="1"/>
        <v>VAC072</v>
      </c>
      <c r="B73" t="s">
        <v>26</v>
      </c>
      <c r="C73" t="str" cm="1">
        <f t="array" ref="C73">_xlfn.IFS(
ROW()&lt;=28,"NA",
ROW()&lt;=52,"LATAM",
ROW()&lt;=64,"EMEA",
TRUE,"APAC"
)</f>
        <v>APAC</v>
      </c>
      <c r="D73">
        <v>81488</v>
      </c>
      <c r="E73" t="s">
        <v>1394</v>
      </c>
    </row>
    <row r="74" spans="1:5" x14ac:dyDescent="0.35">
      <c r="A74" t="str">
        <f t="shared" si="1"/>
        <v>VAC073</v>
      </c>
      <c r="B74" t="s">
        <v>26</v>
      </c>
      <c r="C74" t="str" cm="1">
        <f t="array" ref="C74">_xlfn.IFS(
ROW()&lt;=28,"NA",
ROW()&lt;=52,"LATAM",
ROW()&lt;=64,"EMEA",
TRUE,"APAC"
)</f>
        <v>APAC</v>
      </c>
      <c r="D74">
        <v>31322</v>
      </c>
      <c r="E74" t="s">
        <v>1394</v>
      </c>
    </row>
    <row r="75" spans="1:5" x14ac:dyDescent="0.35">
      <c r="A75" t="str">
        <f t="shared" si="1"/>
        <v>VAC074</v>
      </c>
      <c r="B75" t="s">
        <v>38</v>
      </c>
      <c r="C75" t="str" cm="1">
        <f t="array" ref="C75">_xlfn.IFS(
ROW()&lt;=28,"NA",
ROW()&lt;=52,"LATAM",
ROW()&lt;=64,"EMEA",
TRUE,"APAC"
)</f>
        <v>APAC</v>
      </c>
      <c r="D75">
        <v>78384</v>
      </c>
      <c r="E75" t="s">
        <v>1394</v>
      </c>
    </row>
    <row r="76" spans="1:5" x14ac:dyDescent="0.35">
      <c r="A76" t="str">
        <f t="shared" si="1"/>
        <v>VAC075</v>
      </c>
      <c r="B76" t="s">
        <v>26</v>
      </c>
      <c r="C76" t="str" cm="1">
        <f t="array" ref="C76">_xlfn.IFS(
ROW()&lt;=28,"NA",
ROW()&lt;=52,"LATAM",
ROW()&lt;=64,"EMEA",
TRUE,"APAC"
)</f>
        <v>APAC</v>
      </c>
      <c r="D76">
        <v>65614</v>
      </c>
      <c r="E76" t="s">
        <v>1394</v>
      </c>
    </row>
    <row r="77" spans="1:5" x14ac:dyDescent="0.35">
      <c r="A77" t="str">
        <f t="shared" si="1"/>
        <v>VAC076</v>
      </c>
      <c r="B77" t="s">
        <v>41</v>
      </c>
      <c r="C77" t="str" cm="1">
        <f t="array" ref="C77">_xlfn.IFS(
ROW()&lt;=28,"NA",
ROW()&lt;=52,"LATAM",
ROW()&lt;=64,"EMEA",
TRUE,"APAC"
)</f>
        <v>APAC</v>
      </c>
      <c r="D77">
        <v>118861</v>
      </c>
      <c r="E77" t="s">
        <v>1394</v>
      </c>
    </row>
    <row r="78" spans="1:5" x14ac:dyDescent="0.35">
      <c r="A78" t="str">
        <f t="shared" si="1"/>
        <v>VAC077</v>
      </c>
      <c r="B78" t="s">
        <v>26</v>
      </c>
      <c r="C78" t="str" cm="1">
        <f t="array" ref="C78">_xlfn.IFS(
ROW()&lt;=28,"NA",
ROW()&lt;=52,"LATAM",
ROW()&lt;=64,"EMEA",
TRUE,"APAC"
)</f>
        <v>APAC</v>
      </c>
      <c r="D78">
        <v>108572</v>
      </c>
      <c r="E78" t="s">
        <v>1394</v>
      </c>
    </row>
    <row r="79" spans="1:5" x14ac:dyDescent="0.35">
      <c r="A79" t="str">
        <f t="shared" si="1"/>
        <v>VAC078</v>
      </c>
      <c r="B79" t="s">
        <v>26</v>
      </c>
      <c r="C79" t="str" cm="1">
        <f t="array" ref="C79">_xlfn.IFS(
ROW()&lt;=28,"NA",
ROW()&lt;=52,"LATAM",
ROW()&lt;=64,"EMEA",
TRUE,"APAC"
)</f>
        <v>APAC</v>
      </c>
      <c r="D79">
        <v>43376</v>
      </c>
      <c r="E79" t="s">
        <v>1394</v>
      </c>
    </row>
    <row r="80" spans="1:5" x14ac:dyDescent="0.35">
      <c r="A80" t="str">
        <f t="shared" si="1"/>
        <v>VAC079</v>
      </c>
      <c r="B80" t="s">
        <v>44</v>
      </c>
      <c r="C80" t="str" cm="1">
        <f t="array" ref="C80">_xlfn.IFS(
ROW()&lt;=28,"NA",
ROW()&lt;=52,"LATAM",
ROW()&lt;=64,"EMEA",
TRUE,"APAC"
)</f>
        <v>APAC</v>
      </c>
      <c r="D80">
        <v>95518</v>
      </c>
      <c r="E80" t="s">
        <v>1394</v>
      </c>
    </row>
    <row r="81" spans="1:5" x14ac:dyDescent="0.35">
      <c r="A81" t="str">
        <f t="shared" si="1"/>
        <v>VAC080</v>
      </c>
      <c r="B81" t="s">
        <v>41</v>
      </c>
      <c r="C81" t="str" cm="1">
        <f t="array" ref="C81">_xlfn.IFS(
ROW()&lt;=28,"NA",
ROW()&lt;=52,"LATAM",
ROW()&lt;=64,"EMEA",
TRUE,"APAC"
)</f>
        <v>APAC</v>
      </c>
      <c r="D81">
        <v>51821</v>
      </c>
      <c r="E81" t="s">
        <v>1394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B5E9-B318-4BAC-9B46-5CF30F744F46}">
  <dimension ref="A1:F20"/>
  <sheetViews>
    <sheetView workbookViewId="0">
      <selection activeCell="C5" sqref="C5"/>
    </sheetView>
  </sheetViews>
  <sheetFormatPr defaultRowHeight="14.5" x14ac:dyDescent="0.35"/>
  <cols>
    <col min="1" max="1" width="14.90625" customWidth="1"/>
    <col min="2" max="2" width="18.36328125" customWidth="1"/>
    <col min="3" max="4" width="12.08984375" customWidth="1"/>
    <col min="5" max="5" width="19.08984375" customWidth="1"/>
    <col min="6" max="6" width="11.08984375" customWidth="1"/>
  </cols>
  <sheetData>
    <row r="1" spans="1:6" x14ac:dyDescent="0.35">
      <c r="A1" t="s">
        <v>1</v>
      </c>
      <c r="B1" t="s">
        <v>1417</v>
      </c>
      <c r="C1" t="s">
        <v>1418</v>
      </c>
      <c r="D1" t="s">
        <v>1419</v>
      </c>
      <c r="E1" t="s">
        <v>1420</v>
      </c>
      <c r="F1" t="s">
        <v>1421</v>
      </c>
    </row>
    <row r="2" spans="1:6" x14ac:dyDescent="0.35">
      <c r="A2" s="9" t="s">
        <v>1422</v>
      </c>
      <c r="B2" t="s">
        <v>1423</v>
      </c>
      <c r="C2" t="str">
        <f>IF(A2="NA","Deploy",
IF(A2="LATAM","Test",
IF(A2="EMEA","Build","Design")))</f>
        <v>Design</v>
      </c>
      <c r="D2">
        <v>84</v>
      </c>
      <c r="E2">
        <v>91</v>
      </c>
      <c r="F2">
        <v>95</v>
      </c>
    </row>
    <row r="3" spans="1:6" x14ac:dyDescent="0.35">
      <c r="A3" t="s">
        <v>1422</v>
      </c>
      <c r="B3" t="s">
        <v>1425</v>
      </c>
      <c r="C3" t="s">
        <v>1424</v>
      </c>
      <c r="D3">
        <v>75</v>
      </c>
      <c r="E3">
        <v>93</v>
      </c>
      <c r="F3">
        <v>90</v>
      </c>
    </row>
    <row r="4" spans="1:6" x14ac:dyDescent="0.35">
      <c r="A4" t="s">
        <v>1422</v>
      </c>
      <c r="B4" t="s">
        <v>1426</v>
      </c>
      <c r="C4" t="s">
        <v>1427</v>
      </c>
      <c r="D4">
        <v>80</v>
      </c>
      <c r="E4">
        <v>91</v>
      </c>
      <c r="F4">
        <v>94</v>
      </c>
    </row>
    <row r="5" spans="1:6" x14ac:dyDescent="0.35">
      <c r="A5" t="s">
        <v>1422</v>
      </c>
      <c r="B5" t="s">
        <v>1428</v>
      </c>
      <c r="C5" t="s">
        <v>1427</v>
      </c>
      <c r="D5">
        <v>88</v>
      </c>
      <c r="E5">
        <v>92</v>
      </c>
      <c r="F5">
        <v>86</v>
      </c>
    </row>
    <row r="7" spans="1:6" x14ac:dyDescent="0.35">
      <c r="A7" t="s">
        <v>1429</v>
      </c>
      <c r="B7" t="s">
        <v>1423</v>
      </c>
      <c r="C7" t="s">
        <v>1424</v>
      </c>
      <c r="D7">
        <v>75</v>
      </c>
      <c r="E7">
        <v>94</v>
      </c>
      <c r="F7">
        <v>87</v>
      </c>
    </row>
    <row r="8" spans="1:6" x14ac:dyDescent="0.35">
      <c r="A8" t="s">
        <v>1429</v>
      </c>
      <c r="B8" t="s">
        <v>1425</v>
      </c>
      <c r="C8" t="s">
        <v>1427</v>
      </c>
      <c r="D8">
        <v>80</v>
      </c>
      <c r="E8">
        <v>91</v>
      </c>
      <c r="F8">
        <v>88</v>
      </c>
    </row>
    <row r="9" spans="1:6" x14ac:dyDescent="0.35">
      <c r="A9" t="s">
        <v>1429</v>
      </c>
      <c r="B9" t="s">
        <v>1426</v>
      </c>
      <c r="C9" t="s">
        <v>1424</v>
      </c>
      <c r="D9">
        <v>72</v>
      </c>
      <c r="E9">
        <v>92</v>
      </c>
      <c r="F9">
        <v>85</v>
      </c>
    </row>
    <row r="10" spans="1:6" x14ac:dyDescent="0.35">
      <c r="A10" t="s">
        <v>1429</v>
      </c>
      <c r="B10" t="s">
        <v>1428</v>
      </c>
      <c r="C10" t="s">
        <v>1424</v>
      </c>
      <c r="D10">
        <v>69</v>
      </c>
      <c r="E10">
        <v>93</v>
      </c>
      <c r="F10">
        <v>88</v>
      </c>
    </row>
    <row r="12" spans="1:6" x14ac:dyDescent="0.35">
      <c r="A12" t="s">
        <v>1430</v>
      </c>
      <c r="B12" t="s">
        <v>1423</v>
      </c>
      <c r="C12" t="s">
        <v>1431</v>
      </c>
      <c r="D12">
        <v>63</v>
      </c>
      <c r="E12">
        <v>91</v>
      </c>
      <c r="F12">
        <v>88</v>
      </c>
    </row>
    <row r="13" spans="1:6" x14ac:dyDescent="0.35">
      <c r="A13" t="s">
        <v>1430</v>
      </c>
      <c r="B13" t="s">
        <v>1425</v>
      </c>
      <c r="C13" t="s">
        <v>1424</v>
      </c>
      <c r="D13">
        <v>69</v>
      </c>
      <c r="E13">
        <v>95</v>
      </c>
      <c r="F13">
        <v>97</v>
      </c>
    </row>
    <row r="14" spans="1:6" x14ac:dyDescent="0.35">
      <c r="A14" t="s">
        <v>1430</v>
      </c>
      <c r="B14" t="s">
        <v>1426</v>
      </c>
      <c r="C14" t="s">
        <v>1424</v>
      </c>
      <c r="D14">
        <v>83</v>
      </c>
      <c r="E14">
        <v>91</v>
      </c>
      <c r="F14">
        <v>91</v>
      </c>
    </row>
    <row r="15" spans="1:6" x14ac:dyDescent="0.35">
      <c r="A15" t="s">
        <v>1430</v>
      </c>
      <c r="B15" t="s">
        <v>1428</v>
      </c>
      <c r="C15" t="s">
        <v>1427</v>
      </c>
      <c r="D15">
        <v>88</v>
      </c>
      <c r="E15">
        <v>96</v>
      </c>
      <c r="F15">
        <v>95</v>
      </c>
    </row>
    <row r="17" spans="1:6" x14ac:dyDescent="0.35">
      <c r="A17" t="s">
        <v>1432</v>
      </c>
      <c r="B17" t="s">
        <v>1423</v>
      </c>
      <c r="C17" t="s">
        <v>1424</v>
      </c>
      <c r="D17">
        <v>77</v>
      </c>
      <c r="E17">
        <v>92</v>
      </c>
      <c r="F17">
        <v>96</v>
      </c>
    </row>
    <row r="18" spans="1:6" x14ac:dyDescent="0.35">
      <c r="A18" t="s">
        <v>1432</v>
      </c>
      <c r="B18" t="s">
        <v>1425</v>
      </c>
      <c r="C18" t="s">
        <v>1431</v>
      </c>
      <c r="D18">
        <v>40</v>
      </c>
      <c r="E18">
        <v>92</v>
      </c>
      <c r="F18">
        <v>96</v>
      </c>
    </row>
    <row r="19" spans="1:6" x14ac:dyDescent="0.35">
      <c r="A19" t="s">
        <v>1432</v>
      </c>
      <c r="B19" t="s">
        <v>1426</v>
      </c>
      <c r="C19" t="s">
        <v>1427</v>
      </c>
      <c r="D19">
        <v>80</v>
      </c>
      <c r="E19">
        <v>97</v>
      </c>
      <c r="F19">
        <v>86</v>
      </c>
    </row>
    <row r="20" spans="1:6" x14ac:dyDescent="0.35">
      <c r="A20" t="s">
        <v>1432</v>
      </c>
      <c r="B20" t="s">
        <v>1428</v>
      </c>
      <c r="C20" t="s">
        <v>1424</v>
      </c>
      <c r="D20">
        <v>79</v>
      </c>
      <c r="E20">
        <v>90</v>
      </c>
      <c r="F20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888E-97B5-4567-AEC9-86EEE571CA63}">
  <dimension ref="A1:Y1206"/>
  <sheetViews>
    <sheetView workbookViewId="0">
      <selection activeCell="A2" sqref="A2:A7"/>
    </sheetView>
  </sheetViews>
  <sheetFormatPr defaultRowHeight="14.5" x14ac:dyDescent="0.35"/>
  <cols>
    <col min="1" max="1" width="11.1796875" bestFit="1" customWidth="1"/>
    <col min="2" max="2" width="13.90625" customWidth="1"/>
    <col min="3" max="3" width="9" bestFit="1" customWidth="1"/>
    <col min="4" max="4" width="18.453125" bestFit="1" customWidth="1"/>
    <col min="5" max="5" width="8.453125" bestFit="1" customWidth="1"/>
    <col min="6" max="6" width="10.36328125" bestFit="1" customWidth="1"/>
    <col min="7" max="7" width="29.81640625" bestFit="1" customWidth="1"/>
    <col min="8" max="8" width="10.08984375" bestFit="1" customWidth="1"/>
    <col min="9" max="9" width="19.81640625" bestFit="1" customWidth="1"/>
    <col min="10" max="10" width="15.81640625" bestFit="1" customWidth="1"/>
    <col min="11" max="11" width="11" bestFit="1" customWidth="1"/>
    <col min="12" max="12" width="5.1796875" bestFit="1" customWidth="1"/>
    <col min="13" max="13" width="15.26953125" bestFit="1" customWidth="1"/>
    <col min="14" max="14" width="11.7265625" bestFit="1" customWidth="1"/>
    <col min="15" max="15" width="11.26953125" bestFit="1" customWidth="1"/>
    <col min="16" max="16" width="15.08984375" bestFit="1" customWidth="1"/>
    <col min="17" max="17" width="16.36328125" bestFit="1" customWidth="1"/>
    <col min="18" max="18" width="12.08984375" bestFit="1" customWidth="1"/>
    <col min="19" max="19" width="11.08984375" bestFit="1" customWidth="1"/>
    <col min="20" max="20" width="15.90625" bestFit="1" customWidth="1"/>
    <col min="21" max="21" width="16.36328125" bestFit="1" customWidth="1"/>
    <col min="22" max="22" width="11.36328125" bestFit="1" customWidth="1"/>
    <col min="23" max="23" width="10.54296875" bestFit="1" customWidth="1"/>
    <col min="24" max="24" width="8.1796875" bestFit="1" customWidth="1"/>
    <col min="25" max="25" width="18.7265625" bestFit="1" customWidth="1"/>
  </cols>
  <sheetData>
    <row r="1" spans="1:4" x14ac:dyDescent="0.35">
      <c r="A1" t="s">
        <v>3</v>
      </c>
      <c r="B1" t="s">
        <v>1433</v>
      </c>
      <c r="C1" t="s">
        <v>1434</v>
      </c>
      <c r="D1" t="s">
        <v>1435</v>
      </c>
    </row>
    <row r="2" spans="1:4" x14ac:dyDescent="0.35">
      <c r="A2" t="s">
        <v>41</v>
      </c>
      <c r="B2">
        <v>108287905</v>
      </c>
      <c r="C2">
        <v>0.23</v>
      </c>
      <c r="D2">
        <v>0.4</v>
      </c>
    </row>
    <row r="3" spans="1:4" x14ac:dyDescent="0.35">
      <c r="A3" t="s">
        <v>44</v>
      </c>
      <c r="B3">
        <v>86708693</v>
      </c>
      <c r="C3">
        <v>0.31</v>
      </c>
      <c r="D3">
        <v>0.3</v>
      </c>
    </row>
    <row r="4" spans="1:4" x14ac:dyDescent="0.35">
      <c r="A4" t="s">
        <v>26</v>
      </c>
      <c r="B4">
        <v>70942514</v>
      </c>
      <c r="C4">
        <v>0.28999999999999998</v>
      </c>
      <c r="D4">
        <v>0.31</v>
      </c>
    </row>
    <row r="5" spans="1:4" x14ac:dyDescent="0.35">
      <c r="A5" t="s">
        <v>32</v>
      </c>
      <c r="B5">
        <v>80169910</v>
      </c>
      <c r="C5">
        <v>0.3</v>
      </c>
      <c r="D5">
        <v>0.39</v>
      </c>
    </row>
    <row r="6" spans="1:4" x14ac:dyDescent="0.35">
      <c r="A6" t="s">
        <v>35</v>
      </c>
      <c r="B6">
        <v>58155382</v>
      </c>
      <c r="C6">
        <v>0.24</v>
      </c>
      <c r="D6">
        <v>0.35</v>
      </c>
    </row>
    <row r="7" spans="1:4" x14ac:dyDescent="0.35">
      <c r="A7" t="s">
        <v>38</v>
      </c>
      <c r="B7">
        <v>92191222</v>
      </c>
      <c r="C7">
        <v>0.21</v>
      </c>
      <c r="D7">
        <v>0.35</v>
      </c>
    </row>
    <row r="1202" spans="6:25" x14ac:dyDescent="0.35">
      <c r="F1202" t="s">
        <v>393</v>
      </c>
      <c r="G1202" t="s">
        <v>28</v>
      </c>
      <c r="H1202" s="2">
        <v>43834</v>
      </c>
      <c r="I1202" t="s">
        <v>29</v>
      </c>
      <c r="J1202" t="e">
        <v>#N/A</v>
      </c>
      <c r="K1202" t="s">
        <v>1389</v>
      </c>
      <c r="L1202" t="e">
        <v>#N/A</v>
      </c>
      <c r="M1202" s="2" t="s">
        <v>22</v>
      </c>
      <c r="N1202" s="4">
        <v>6</v>
      </c>
      <c r="O1202" s="4" t="str" cm="1">
        <f t="array" ref="O1202">_xlfn.IFS(
N1202&lt;=2,"0-2 Years",
N1202&lt;=5,"3-5 Years",
N1202&lt;=10,"6-10 Years",
TRUE,"10+ Years"
)</f>
        <v>6-10 Years</v>
      </c>
      <c r="P1202" t="s">
        <v>22</v>
      </c>
      <c r="Q1202">
        <v>5</v>
      </c>
      <c r="R1202" t="s">
        <v>1396</v>
      </c>
      <c r="S1202" t="s">
        <v>1394</v>
      </c>
      <c r="T1202" t="s">
        <v>1394</v>
      </c>
      <c r="U1202" s="3">
        <v>2</v>
      </c>
      <c r="V1202" t="s">
        <v>1397</v>
      </c>
      <c r="W1202">
        <v>45729</v>
      </c>
      <c r="X1202">
        <v>0.1</v>
      </c>
      <c r="Y1202">
        <v>50301.9</v>
      </c>
    </row>
    <row r="1203" spans="6:25" x14ac:dyDescent="0.35">
      <c r="F1203" t="s">
        <v>387</v>
      </c>
      <c r="G1203" t="s">
        <v>28</v>
      </c>
      <c r="H1203" s="2">
        <v>42499</v>
      </c>
      <c r="I1203" t="s">
        <v>29</v>
      </c>
      <c r="J1203" t="e">
        <v>#N/A</v>
      </c>
      <c r="K1203" t="s">
        <v>1390</v>
      </c>
      <c r="L1203" t="e">
        <v>#N/A</v>
      </c>
      <c r="M1203" s="2" t="s">
        <v>22</v>
      </c>
      <c r="N1203" s="4">
        <v>10</v>
      </c>
      <c r="O1203" s="4" t="str" cm="1">
        <f t="array" ref="O1203">_xlfn.IFS(
N1203&lt;=2,"0-2 Years",
N1203&lt;=5,"3-5 Years",
N1203&lt;=10,"6-10 Years",
TRUE,"10+ Years"
)</f>
        <v>6-10 Years</v>
      </c>
      <c r="P1203" t="s">
        <v>22</v>
      </c>
      <c r="Q1203">
        <v>4</v>
      </c>
      <c r="R1203" t="s">
        <v>1394</v>
      </c>
      <c r="S1203" t="s">
        <v>1396</v>
      </c>
      <c r="T1203" t="s">
        <v>1394</v>
      </c>
      <c r="U1203" s="3">
        <v>2</v>
      </c>
      <c r="V1203" t="s">
        <v>1397</v>
      </c>
      <c r="W1203">
        <v>43831</v>
      </c>
      <c r="X1203">
        <v>0.1</v>
      </c>
      <c r="Y1203">
        <v>48214.100000000006</v>
      </c>
    </row>
    <row r="1204" spans="6:25" x14ac:dyDescent="0.35">
      <c r="F1204" t="s">
        <v>807</v>
      </c>
      <c r="G1204" t="s">
        <v>28</v>
      </c>
      <c r="H1204" s="2">
        <v>46028</v>
      </c>
      <c r="I1204" t="s">
        <v>57</v>
      </c>
      <c r="J1204" t="e">
        <v>#N/A</v>
      </c>
      <c r="K1204" t="s">
        <v>1391</v>
      </c>
      <c r="L1204" t="e">
        <v>#N/A</v>
      </c>
      <c r="M1204" s="2">
        <v>46071</v>
      </c>
      <c r="N1204" s="4">
        <v>0</v>
      </c>
      <c r="O1204" s="4" t="str" cm="1">
        <f t="array" ref="O1204">_xlfn.IFS(
N1204&lt;=2,"0-2 Years",
N1204&lt;=5,"3-5 Years",
N1204&lt;=10,"6-10 Years",
TRUE,"10+ Years"
)</f>
        <v>0-2 Years</v>
      </c>
      <c r="P1204" t="s">
        <v>23</v>
      </c>
      <c r="Q1204">
        <v>3</v>
      </c>
      <c r="R1204" t="s">
        <v>1394</v>
      </c>
      <c r="S1204" t="s">
        <v>1394</v>
      </c>
      <c r="T1204" t="s">
        <v>1394</v>
      </c>
      <c r="U1204" s="3">
        <v>5</v>
      </c>
      <c r="V1204" t="s">
        <v>1395</v>
      </c>
      <c r="W1204">
        <v>30283</v>
      </c>
      <c r="X1204">
        <v>0.1</v>
      </c>
      <c r="Y1204">
        <v>33311.300000000003</v>
      </c>
    </row>
    <row r="1205" spans="6:25" x14ac:dyDescent="0.35">
      <c r="F1205" t="s">
        <v>582</v>
      </c>
      <c r="G1205" t="s">
        <v>28</v>
      </c>
      <c r="H1205" s="2">
        <v>42962</v>
      </c>
      <c r="I1205" t="s">
        <v>57</v>
      </c>
      <c r="J1205" t="e">
        <v>#N/A</v>
      </c>
      <c r="K1205" t="s">
        <v>1392</v>
      </c>
      <c r="L1205" t="e">
        <v>#N/A</v>
      </c>
      <c r="M1205" s="2">
        <v>44546</v>
      </c>
      <c r="N1205" s="4">
        <v>4</v>
      </c>
      <c r="O1205" s="4" t="str" cm="1">
        <f t="array" ref="O1205">_xlfn.IFS(
N1205&lt;=2,"0-2 Years",
N1205&lt;=5,"3-5 Years",
N1205&lt;=10,"6-10 Years",
TRUE,"10+ Years"
)</f>
        <v>3-5 Years</v>
      </c>
      <c r="P1205" t="s">
        <v>24</v>
      </c>
      <c r="Q1205">
        <v>5</v>
      </c>
      <c r="R1205" t="s">
        <v>1394</v>
      </c>
      <c r="S1205" t="s">
        <v>1396</v>
      </c>
      <c r="T1205" t="s">
        <v>1394</v>
      </c>
      <c r="U1205" s="3">
        <v>5</v>
      </c>
      <c r="V1205" t="s">
        <v>1395</v>
      </c>
      <c r="W1205">
        <v>20352</v>
      </c>
      <c r="X1205">
        <v>0.1</v>
      </c>
      <c r="Y1205">
        <v>22387.200000000001</v>
      </c>
    </row>
    <row r="1206" spans="6:25" x14ac:dyDescent="0.35">
      <c r="F1206" t="s">
        <v>504</v>
      </c>
      <c r="G1206" t="s">
        <v>28</v>
      </c>
      <c r="H1206" s="2">
        <v>42450</v>
      </c>
      <c r="I1206" t="s">
        <v>29</v>
      </c>
      <c r="J1206" t="e">
        <v>#N/A</v>
      </c>
      <c r="K1206" t="s">
        <v>1393</v>
      </c>
      <c r="L1206" t="e">
        <v>#N/A</v>
      </c>
      <c r="M1206" s="2" t="s">
        <v>22</v>
      </c>
      <c r="N1206" s="4">
        <v>10</v>
      </c>
      <c r="O1206" s="4" t="str" cm="1">
        <f t="array" ref="O1206">_xlfn.IFS(
N1206&lt;=2,"0-2 Years",
N1206&lt;=5,"3-5 Years",
N1206&lt;=10,"6-10 Years",
TRUE,"10+ Years"
)</f>
        <v>6-10 Years</v>
      </c>
      <c r="P1206" t="s">
        <v>22</v>
      </c>
      <c r="Q1206">
        <v>3</v>
      </c>
      <c r="R1206" t="s">
        <v>1394</v>
      </c>
      <c r="S1206" t="s">
        <v>1394</v>
      </c>
      <c r="T1206" t="s">
        <v>1394</v>
      </c>
      <c r="U1206" s="3">
        <v>3</v>
      </c>
      <c r="V1206" t="s">
        <v>1398</v>
      </c>
      <c r="W1206">
        <v>30522</v>
      </c>
      <c r="X1206">
        <v>0.1</v>
      </c>
      <c r="Y1206">
        <v>33574.200000000004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WORKFORCE CONTROL SNAPSHOT</vt:lpstr>
      <vt:lpstr>Workforce Structure</vt:lpstr>
      <vt:lpstr>Tenure Stability</vt:lpstr>
      <vt:lpstr>Early Tenure Risk by Division</vt:lpstr>
      <vt:lpstr>SPAN OF CONTROL</vt:lpstr>
      <vt:lpstr>Employee_Master</vt:lpstr>
      <vt:lpstr>Vacancy_Planning</vt:lpstr>
      <vt:lpstr>HRIS_Program</vt:lpstr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G.</dc:creator>
  <cp:lastModifiedBy>Jesús G.</cp:lastModifiedBy>
  <dcterms:created xsi:type="dcterms:W3CDTF">2026-02-18T02:37:05Z</dcterms:created>
  <dcterms:modified xsi:type="dcterms:W3CDTF">2026-03-03T04:29:41Z</dcterms:modified>
</cp:coreProperties>
</file>